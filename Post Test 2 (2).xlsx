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RNANDA\SKILL\Excell\Bootcamp Excell\BOOTCAMP EXCEL BATCH 13\01. Mini Task dan Poat test\"/>
    </mc:Choice>
  </mc:AlternateContent>
  <xr:revisionPtr revIDLastSave="0" documentId="13_ncr:1_{08DB24E5-9028-4F85-83FF-CD17B5AB3E7D}" xr6:coauthVersionLast="47" xr6:coauthVersionMax="47" xr10:uidLastSave="{00000000-0000-0000-0000-000000000000}"/>
  <bookViews>
    <workbookView xWindow="-120" yWindow="-120" windowWidth="20730" windowHeight="11040" xr2:uid="{9E9505B6-AC95-4924-BDEB-4A16E94F9573}"/>
  </bookViews>
  <sheets>
    <sheet name="Original" sheetId="1" r:id="rId1"/>
    <sheet name="Helper" sheetId="2" r:id="rId2"/>
  </sheets>
  <definedNames>
    <definedName name="_xlnm._FilterDatabase" localSheetId="0" hidden="1">Original!$A$1:$I$994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2" l="1"/>
  <c r="D9" i="2"/>
  <c r="D10" i="2"/>
  <c r="D11" i="2"/>
  <c r="D12" i="2"/>
  <c r="C14" i="2"/>
  <c r="A995" i="1"/>
  <c r="C30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C27" i="2"/>
  <c r="C26" i="2"/>
  <c r="C25" i="2"/>
  <c r="C24" i="2"/>
  <c r="C19" i="2"/>
  <c r="E995" i="1"/>
  <c r="C13" i="2" s="1"/>
  <c r="C11" i="2"/>
  <c r="C10" i="2"/>
  <c r="C9" i="2"/>
  <c r="C12" i="2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G3" i="1"/>
  <c r="H3" i="1" s="1"/>
  <c r="G4" i="1"/>
  <c r="H4" i="1" s="1"/>
  <c r="G5" i="1"/>
  <c r="H5" i="1" s="1"/>
  <c r="G6" i="1"/>
  <c r="H6" i="1" s="1"/>
  <c r="G7" i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2" i="1"/>
  <c r="H2" i="1" s="1"/>
  <c r="B30" i="2" l="1"/>
  <c r="B19" i="2"/>
  <c r="H7" i="1"/>
  <c r="H995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3" i="1"/>
  <c r="D2" i="1"/>
  <c r="B17" i="2" s="1"/>
  <c r="N156" i="1" l="1" a="1"/>
  <c r="N1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<sst xmlns="http://schemas.openxmlformats.org/spreadsheetml/2006/main" count="2026" uniqueCount="1044">
  <si>
    <t>Nama Karyawan</t>
  </si>
  <si>
    <t>Tanggal Lahir</t>
  </si>
  <si>
    <t>Divisi</t>
  </si>
  <si>
    <t>Mulai Kerja</t>
  </si>
  <si>
    <t>Gaji Pokok</t>
  </si>
  <si>
    <t xml:space="preserve">Bonus </t>
  </si>
  <si>
    <t>Kara Lynn Joyce</t>
  </si>
  <si>
    <t>Marketing and Sales</t>
  </si>
  <si>
    <t>Michael Phelps</t>
  </si>
  <si>
    <t>Natalie Coughlin</t>
  </si>
  <si>
    <t>After Sales</t>
  </si>
  <si>
    <t>Aleksey Nemov</t>
  </si>
  <si>
    <t>Alicia Coutts</t>
  </si>
  <si>
    <t>Missy Franklin</t>
  </si>
  <si>
    <t>Administrasi</t>
  </si>
  <si>
    <t>Ryan Lochte</t>
  </si>
  <si>
    <t>Irina Tolkunova</t>
  </si>
  <si>
    <t>Allison Schmitt</t>
  </si>
  <si>
    <t>Ian Thorpe</t>
  </si>
  <si>
    <t xml:space="preserve">Marketing and Sales  </t>
  </si>
  <si>
    <t>Dara Torres</t>
  </si>
  <si>
    <t>Cindy Klassen</t>
  </si>
  <si>
    <t>After  Sales</t>
  </si>
  <si>
    <t>Nastia Liukin</t>
  </si>
  <si>
    <t>After SaIes</t>
  </si>
  <si>
    <t>Marit Bjørgen</t>
  </si>
  <si>
    <t xml:space="preserve">After Sales  </t>
  </si>
  <si>
    <t>Sun Yang</t>
  </si>
  <si>
    <t>Kirsty Coventry</t>
  </si>
  <si>
    <t>Libby Lenton Trickett</t>
  </si>
  <si>
    <t>Inge de Bruijn</t>
  </si>
  <si>
    <t xml:space="preserve"> After Sales</t>
  </si>
  <si>
    <t>Petria Thomas</t>
  </si>
  <si>
    <t>Gary Hall Jr.</t>
  </si>
  <si>
    <t>Michael Klim</t>
  </si>
  <si>
    <t>Susie O'Neill</t>
  </si>
  <si>
    <t>Jenny Thompson</t>
  </si>
  <si>
    <t>Pieter van Hoogenband</t>
  </si>
  <si>
    <t>An Hyeon Su</t>
  </si>
  <si>
    <t>Aliya Mustafina</t>
  </si>
  <si>
    <t>Shawn Johnson</t>
  </si>
  <si>
    <t>Dmitry Sautin</t>
  </si>
  <si>
    <t>Leontien Zijlaard Moorsel</t>
  </si>
  <si>
    <t>Petter Northug Jr.</t>
  </si>
  <si>
    <t>Ole Einar Bjørndalen</t>
  </si>
  <si>
    <t>Janica Kostelic</t>
  </si>
  <si>
    <t>Nathan Adrian</t>
  </si>
  <si>
    <t>Irek Zinnurov</t>
  </si>
  <si>
    <t>Yannick Agnel</t>
  </si>
  <si>
    <t>Brittany Elmslie</t>
  </si>
  <si>
    <t>Matt Grevers</t>
  </si>
  <si>
    <t>Ryosuke Irie</t>
  </si>
  <si>
    <t>Cullen Jones</t>
  </si>
  <si>
    <t>Ranomi Kromowidjojo</t>
  </si>
  <si>
    <t>Camille Muffat</t>
  </si>
  <si>
    <t>Mel Schlanger</t>
  </si>
  <si>
    <t>Emily Seebohm</t>
  </si>
  <si>
    <t>Rebecca Soni</t>
  </si>
  <si>
    <t>Satomi Suzuki</t>
  </si>
  <si>
    <t>Dana Vollmer</t>
  </si>
  <si>
    <t>Alain Bernard</t>
  </si>
  <si>
    <t>After and Sales</t>
  </si>
  <si>
    <t>László Cseh Jr.</t>
  </si>
  <si>
    <t>Margaret Hoelzer</t>
  </si>
  <si>
    <t>Katie Hoff</t>
  </si>
  <si>
    <t>Leisel Jones</t>
  </si>
  <si>
    <t>Kosuke Kitajima</t>
  </si>
  <si>
    <t>Andrew Lauterstein</t>
  </si>
  <si>
    <t>Jason Lezak</t>
  </si>
  <si>
    <t>Pang Jiaying</t>
  </si>
  <si>
    <t>Aaron Peirsol</t>
  </si>
  <si>
    <t>Steph Rice</t>
  </si>
  <si>
    <t>Jess Schipper</t>
  </si>
  <si>
    <t>Eamon Sullivan</t>
  </si>
  <si>
    <t>Amanda Beard</t>
  </si>
  <si>
    <t>Antje Buschschulte</t>
  </si>
  <si>
    <t>Ian Crocker</t>
  </si>
  <si>
    <t>Grant Hackett</t>
  </si>
  <si>
    <t>Brendan Hansen</t>
  </si>
  <si>
    <t>Afterr Sales</t>
  </si>
  <si>
    <t>Jodie Henry</t>
  </si>
  <si>
    <t>Otylia Jedrzejczak</t>
  </si>
  <si>
    <t>Laure Manaudou</t>
  </si>
  <si>
    <t>Marketting and Sales</t>
  </si>
  <si>
    <t>Kaitlin Sandeno</t>
  </si>
  <si>
    <t>Roland Schoeman</t>
  </si>
  <si>
    <t>Pieter van den Hoogenband</t>
  </si>
  <si>
    <t>Therese Alshammar</t>
  </si>
  <si>
    <t>Yana Klochkova</t>
  </si>
  <si>
    <t>Lenny Krayzelburg</t>
  </si>
  <si>
    <t>Marketing and Salee</t>
  </si>
  <si>
    <t>Massimiliano Rosolino</t>
  </si>
  <si>
    <t>Matt Welsh</t>
  </si>
  <si>
    <t>Lee Jeong Su</t>
  </si>
  <si>
    <t>Apolo Anton Ohno</t>
  </si>
  <si>
    <t>Wang Meng</t>
  </si>
  <si>
    <t>Jin Seon Yu</t>
  </si>
  <si>
    <t>Lee Ho Seok</t>
  </si>
  <si>
    <t>Marc Gagnon</t>
  </si>
  <si>
    <t>Yang Yang (A)</t>
  </si>
  <si>
    <t>Stephanie Beckert</t>
  </si>
  <si>
    <t>Martina Sáblíková</t>
  </si>
  <si>
    <t>Enrico Fabris</t>
  </si>
  <si>
    <t>Chad Hedrick</t>
  </si>
  <si>
    <t>Jochem Uytdehaage</t>
  </si>
  <si>
    <t>Sabine Völker</t>
  </si>
  <si>
    <t>Gregor Schlierenzauer</t>
  </si>
  <si>
    <t>Lars Bystøl</t>
  </si>
  <si>
    <t>Johnny Spillane</t>
  </si>
  <si>
    <t>Felix Gottwald</t>
  </si>
  <si>
    <t>Georg Hettich</t>
  </si>
  <si>
    <t>Samppa Lajunen</t>
  </si>
  <si>
    <t>Aly Raisman</t>
  </si>
  <si>
    <t>Kohei Uchimura</t>
  </si>
  <si>
    <t>Zou Kai</t>
  </si>
  <si>
    <t>Cheng Fei</t>
  </si>
  <si>
    <t>Yang Wei</t>
  </si>
  <si>
    <t>After Salles</t>
  </si>
  <si>
    <t>Yang Yilin</t>
  </si>
  <si>
    <t>Marian Dragulescu</t>
  </si>
  <si>
    <t>Paul Hamm</t>
  </si>
  <si>
    <t>Carly Patterson</t>
  </si>
  <si>
    <t>Catalina Ponor</t>
  </si>
  <si>
    <t>Simona Amânar</t>
  </si>
  <si>
    <t>Svetlana Khorkina</t>
  </si>
  <si>
    <t>Yekaterina Lobaznyuk</t>
  </si>
  <si>
    <t>Yelena Zamolodchikova</t>
  </si>
  <si>
    <t>Guo Shuang</t>
  </si>
  <si>
    <t>Chris Hoy</t>
  </si>
  <si>
    <t>Bradley Wiggins</t>
  </si>
  <si>
    <t>Florian Rousseau</t>
  </si>
  <si>
    <t>Justyna Kowalczyk</t>
  </si>
  <si>
    <t>Johan Olsson</t>
  </si>
  <si>
    <t>Stefania Belmondo</t>
  </si>
  <si>
    <t>Yuliya Chepalova</t>
  </si>
  <si>
    <t>Frode Estil</t>
  </si>
  <si>
    <t>Bente Skari Martinsen</t>
  </si>
  <si>
    <t>Magdalena Neuner</t>
  </si>
  <si>
    <t>Emil Hegle Svendsen</t>
  </si>
  <si>
    <t>Albina Akhatova</t>
  </si>
  <si>
    <t>Sven Fischer</t>
  </si>
  <si>
    <t>Martina Glagow Beck</t>
  </si>
  <si>
    <t>Michael Greis</t>
  </si>
  <si>
    <t>Kati Wilhelm</t>
  </si>
  <si>
    <t>Yohan Blake</t>
  </si>
  <si>
    <t>Usain Bolt</t>
  </si>
  <si>
    <t>Allyson Felix</t>
  </si>
  <si>
    <t>Shelly Ann Fraser Pryce</t>
  </si>
  <si>
    <t>Carmelita Jeter</t>
  </si>
  <si>
    <t>Veronica Campbell Brown</t>
  </si>
  <si>
    <t>Justin Gatlin</t>
  </si>
  <si>
    <t>Bode Miller</t>
  </si>
  <si>
    <t>Aksel Lund Svindal</t>
  </si>
  <si>
    <t>Anja Pärson</t>
  </si>
  <si>
    <t>Stephan Eberharter</t>
  </si>
  <si>
    <t>Ding Ning</t>
  </si>
  <si>
    <t>Feng Tian Wei</t>
  </si>
  <si>
    <t>Li Xiaoxia</t>
  </si>
  <si>
    <t>Dmitrij Ovtcharov</t>
  </si>
  <si>
    <t>Wang Hao</t>
  </si>
  <si>
    <t>Zhang Jike</t>
  </si>
  <si>
    <t>Guo Yue</t>
  </si>
  <si>
    <t>Ma Lin</t>
  </si>
  <si>
    <t>Wang Liqin</t>
  </si>
  <si>
    <t>Wang Nan</t>
  </si>
  <si>
    <t>Zhang Yining</t>
  </si>
  <si>
    <t>Kong Linghui</t>
  </si>
  <si>
    <t>Li Ju</t>
  </si>
  <si>
    <t>Liu Guoliang</t>
  </si>
  <si>
    <t>Viktoriya Azarenko</t>
  </si>
  <si>
    <t>Mike Bryan</t>
  </si>
  <si>
    <t>Andy Murray</t>
  </si>
  <si>
    <t>Serena Williams</t>
  </si>
  <si>
    <t>Fernando González</t>
  </si>
  <si>
    <t>Nicolás Massú</t>
  </si>
  <si>
    <t>Venus Williams</t>
  </si>
  <si>
    <t>Ona Carbonell</t>
  </si>
  <si>
    <t>Andrea Fuentes</t>
  </si>
  <si>
    <t>Huang Xuechen</t>
  </si>
  <si>
    <t>Nataliya Ishchenko</t>
  </si>
  <si>
    <t>Liu Ou</t>
  </si>
  <si>
    <t>Svetlana Romashina</t>
  </si>
  <si>
    <t>Anastasiya Davydova</t>
  </si>
  <si>
    <t>Gemma Mengual</t>
  </si>
  <si>
    <t>Anastasiya Yermakova</t>
  </si>
  <si>
    <t>Alison Bartosik</t>
  </si>
  <si>
    <t>Anna Kozlova</t>
  </si>
  <si>
    <t>Miya Tachibana</t>
  </si>
  <si>
    <t>Miho Takeda</t>
  </si>
  <si>
    <t>Olga Brusnikina</t>
  </si>
  <si>
    <t>Mariya Kiselyova</t>
  </si>
  <si>
    <t>Becky Adlington</t>
  </si>
  <si>
    <t>Bronte Barratt</t>
  </si>
  <si>
    <t>Elizabeth Beisel</t>
  </si>
  <si>
    <t>Mireia Belmonte</t>
  </si>
  <si>
    <t>Ricky Berens</t>
  </si>
  <si>
    <t>Aleksandra Gerasimenya</t>
  </si>
  <si>
    <t>Jessica Hardy</t>
  </si>
  <si>
    <t>Chad le Clos</t>
  </si>
  <si>
    <t>Clément Lefert</t>
  </si>
  <si>
    <t>Amaury Leveaux</t>
  </si>
  <si>
    <t>James Magnussen</t>
  </si>
  <si>
    <t>Takeshi Matsuda</t>
  </si>
  <si>
    <t>Oussama Mellouli</t>
  </si>
  <si>
    <t>Park Tae Hwan</t>
  </si>
  <si>
    <t>Christian Sprenger</t>
  </si>
  <si>
    <t>Jeremy Stravius</t>
  </si>
  <si>
    <t>Aya Terakawa</t>
  </si>
  <si>
    <t>Nick Thoman</t>
  </si>
  <si>
    <t>Marleen Veldhuis</t>
  </si>
  <si>
    <t>Ye Shiwen</t>
  </si>
  <si>
    <t>Leith Brodie</t>
  </si>
  <si>
    <t>Cate Campbell</t>
  </si>
  <si>
    <t>César Cielo Filho</t>
  </si>
  <si>
    <t>Hugues Duboscq</t>
  </si>
  <si>
    <t>Niccolò Campriani</t>
  </si>
  <si>
    <t>Jin Jong O</t>
  </si>
  <si>
    <t>Felicity Galvez</t>
  </si>
  <si>
    <t>Christine Magnuson</t>
  </si>
  <si>
    <t>Patrick Murphy</t>
  </si>
  <si>
    <t>Shayne Reese</t>
  </si>
  <si>
    <t>Brenton Rickard</t>
  </si>
  <si>
    <t>Julia Smit</t>
  </si>
  <si>
    <t>Britta Steffen</t>
  </si>
  <si>
    <t>Hayden Stoeckel</t>
  </si>
  <si>
    <t>Matt Targett</t>
  </si>
  <si>
    <t>Peter Vanderkaay</t>
  </si>
  <si>
    <t>Arkady Vyachanin</t>
  </si>
  <si>
    <t>Garrett Weber Gale</t>
  </si>
  <si>
    <t>Lindsay Benko</t>
  </si>
  <si>
    <t>Brooke Hanson</t>
  </si>
  <si>
    <t>Klete Keller</t>
  </si>
  <si>
    <t>Rachel Komisarz</t>
  </si>
  <si>
    <t>Alice Mills</t>
  </si>
  <si>
    <t>Tomomi Morita</t>
  </si>
  <si>
    <t>Markus Rogan</t>
  </si>
  <si>
    <t>Franziska van Almsick</t>
  </si>
  <si>
    <t>Neil Walker</t>
  </si>
  <si>
    <t>Amanda Weir</t>
  </si>
  <si>
    <t>Takashi Yamamoto</t>
  </si>
  <si>
    <t>Brooke Bennett</t>
  </si>
  <si>
    <t>Beatrice Coada Caslaru</t>
  </si>
  <si>
    <t>Josh Davis</t>
  </si>
  <si>
    <t>Tom Dolan</t>
  </si>
  <si>
    <t>Anthony Ervin</t>
  </si>
  <si>
    <t>Domenico Fioravanti</t>
  </si>
  <si>
    <t>Geoff Huegill</t>
  </si>
  <si>
    <t>Diana Mocanu</t>
  </si>
  <si>
    <t>Martina Moravcová</t>
  </si>
  <si>
    <t>Ed Moses</t>
  </si>
  <si>
    <t>Diana Munz</t>
  </si>
  <si>
    <t>Mai Nakamura</t>
  </si>
  <si>
    <t>Todd Pearson</t>
  </si>
  <si>
    <t>Adam Pine</t>
  </si>
  <si>
    <t>Claudia Poll</t>
  </si>
  <si>
    <t>Megan Quann Jendrick</t>
  </si>
  <si>
    <t>Giaan Rooney</t>
  </si>
  <si>
    <t>Courtney Shealy</t>
  </si>
  <si>
    <t>Ashley Tappin</t>
  </si>
  <si>
    <t>Stev Theloke</t>
  </si>
  <si>
    <t>Amy Van Dyken</t>
  </si>
  <si>
    <t>J. R. Celski</t>
  </si>
  <si>
    <t>Charles Hamelin</t>
  </si>
  <si>
    <t>Park Seung Hui</t>
  </si>
  <si>
    <t>Katherine Reutter</t>
  </si>
  <si>
    <t>Seong Si Baek</t>
  </si>
  <si>
    <t>Marianne St Gelais</t>
  </si>
  <si>
    <t>François Louis Tremblay</t>
  </si>
  <si>
    <t>Zhou Yang</t>
  </si>
  <si>
    <t>Choi Eun Gyeong</t>
  </si>
  <si>
    <t>Anouk Leblanc Boucher</t>
  </si>
  <si>
    <t>Go Gi Hyeon</t>
  </si>
  <si>
    <t>Jonathan Guilmette</t>
  </si>
  <si>
    <t>Li Jiajun</t>
  </si>
  <si>
    <t>Evgeniya Radanova</t>
  </si>
  <si>
    <t>Mathieu Turcotte</t>
  </si>
  <si>
    <t>Wang Chunlu</t>
  </si>
  <si>
    <t>Yang Yang (S)</t>
  </si>
  <si>
    <t>Shani Davis</t>
  </si>
  <si>
    <t>Kristina Groves</t>
  </si>
  <si>
    <t>Sven Kramer</t>
  </si>
  <si>
    <t>Lee Seung Hun</t>
  </si>
  <si>
    <t>Mo Tae Beom</t>
  </si>
  <si>
    <t>Ivan Skobrev</t>
  </si>
  <si>
    <t>Mark Tuitert</t>
  </si>
  <si>
    <t>Joey Cheek</t>
  </si>
  <si>
    <t>Anni Friesinger Postma</t>
  </si>
  <si>
    <t>Clara Hughes</t>
  </si>
  <si>
    <t>Claudia Pechstein</t>
  </si>
  <si>
    <t>Carl Verheijen</t>
  </si>
  <si>
    <t>Erben Wennemars</t>
  </si>
  <si>
    <t>Ireen Wüst</t>
  </si>
  <si>
    <t>Derek Parra</t>
  </si>
  <si>
    <t>Jennifer Rodriguez</t>
  </si>
  <si>
    <t>Simon Ammann</t>
  </si>
  <si>
    <t>Adam Malysz</t>
  </si>
  <si>
    <t>Matti Hautamäki</t>
  </si>
  <si>
    <t>Andreas Kofler</t>
  </si>
  <si>
    <t>Roar Ljøkelsøy</t>
  </si>
  <si>
    <t>After Seles</t>
  </si>
  <si>
    <t>Thomas Morgenstern</t>
  </si>
  <si>
    <t>Sven Hannawald</t>
  </si>
  <si>
    <t>Olena Kostevych</t>
  </si>
  <si>
    <t>Katerina Kurková Emmons</t>
  </si>
  <si>
    <t>Lyubov Galkina</t>
  </si>
  <si>
    <t>Mariya Grozdeva</t>
  </si>
  <si>
    <t>Lee Bo Na</t>
  </si>
  <si>
    <t>Mikhail Nestruyev</t>
  </si>
  <si>
    <t>Igor Basinsky</t>
  </si>
  <si>
    <t>Tao Luna</t>
  </si>
  <si>
    <t>Kim Crow</t>
  </si>
  <si>
    <t>Georgeta Damian Andrunache</t>
  </si>
  <si>
    <t>Viorica Susanu</t>
  </si>
  <si>
    <t>Doina Ignat</t>
  </si>
  <si>
    <t>Pieta van Dishoeck</t>
  </si>
  <si>
    <t>Eeke van Nes</t>
  </si>
  <si>
    <t>Bill Demong</t>
  </si>
  <si>
    <t>Bernhard Gruber</t>
  </si>
  <si>
    <t>Magnus Moan</t>
  </si>
  <si>
    <t>Ronny Ackermann</t>
  </si>
  <si>
    <t>Jaakko Tallus</t>
  </si>
  <si>
    <t>Denis Ablyazin</t>
  </si>
  <si>
    <t>Chen Yibing</t>
  </si>
  <si>
    <t>Gabby Douglas</t>
  </si>
  <si>
    <t>Feng Zhe</t>
  </si>
  <si>
    <t>Sandra Izbasa</t>
  </si>
  <si>
    <t>Viktoriya Komova</t>
  </si>
  <si>
    <t>McKayla Maroney</t>
  </si>
  <si>
    <t>Marcel Nguyen</t>
  </si>
  <si>
    <t>Mariya Paseka</t>
  </si>
  <si>
    <t>Louis Smith</t>
  </si>
  <si>
    <t>Max Whitlock</t>
  </si>
  <si>
    <t>Anton Golotsutskov</t>
  </si>
  <si>
    <t>He Kexin</t>
  </si>
  <si>
    <t>Jonathan Horton</t>
  </si>
  <si>
    <t>Li Xiaopeng</t>
  </si>
  <si>
    <t>Xiao Qin</t>
  </si>
  <si>
    <t>Alexandra Eremia</t>
  </si>
  <si>
    <t>Annia Hatch</t>
  </si>
  <si>
    <t>Terin Humphrey</t>
  </si>
  <si>
    <t>Takehiro Kashima</t>
  </si>
  <si>
    <t>Courtney Kupets</t>
  </si>
  <si>
    <t>Anna Pavlova</t>
  </si>
  <si>
    <t>Monica Rosu</t>
  </si>
  <si>
    <t>Dana Sofronie</t>
  </si>
  <si>
    <t>Hiroyuki Tomita</t>
  </si>
  <si>
    <t>Marius Urzica</t>
  </si>
  <si>
    <t>Isao Yoneda</t>
  </si>
  <si>
    <t>Yordan Yovchev</t>
  </si>
  <si>
    <t>Oleksandr Beresh</t>
  </si>
  <si>
    <t>Aleksey Bondarenko</t>
  </si>
  <si>
    <t>Lee Ju Hyeong</t>
  </si>
  <si>
    <t>Liu Xuan</t>
  </si>
  <si>
    <t>Maria Olaru</t>
  </si>
  <si>
    <t>Yelena Produnova</t>
  </si>
  <si>
    <t>Andreea Raducan</t>
  </si>
  <si>
    <t>Elisa Di Francisca</t>
  </si>
  <si>
    <t>Arianna Errigo</t>
  </si>
  <si>
    <t>Diego Occhiuzzi</t>
  </si>
  <si>
    <t>Sun Yujie</t>
  </si>
  <si>
    <t>Valentina Vezzali</t>
  </si>
  <si>
    <t>Stefano Carozzo</t>
  </si>
  <si>
    <t>Margherita Granbassi</t>
  </si>
  <si>
    <t>Sada Jacobson</t>
  </si>
  <si>
    <t>Fabrice Jeannet</t>
  </si>
  <si>
    <t>Nicolas Lopez</t>
  </si>
  <si>
    <t>Matteo Tagliariol</t>
  </si>
  <si>
    <t>Becca Ward</t>
  </si>
  <si>
    <t>Mariel Zagunis</t>
  </si>
  <si>
    <t>Andrea Cassarà</t>
  </si>
  <si>
    <t>Laura Flessel Colovic</t>
  </si>
  <si>
    <t>Aldo Montano</t>
  </si>
  <si>
    <t>Maureen Nisima</t>
  </si>
  <si>
    <t>Salvatore Sanzo</t>
  </si>
  <si>
    <t>Mathieu Gourdain</t>
  </si>
  <si>
    <t>Gianna Hablützel Bürki</t>
  </si>
  <si>
    <t>Rita König</t>
  </si>
  <si>
    <t>Wiradech Kothny</t>
  </si>
  <si>
    <t>Hugues Obry</t>
  </si>
  <si>
    <t>Giovanna Trillini</t>
  </si>
  <si>
    <t>Sandra Auffarth</t>
  </si>
  <si>
    <t>Laura Bechtolsheimer</t>
  </si>
  <si>
    <t>Adelinde Cornelissen</t>
  </si>
  <si>
    <t>Charlotte Dujardin</t>
  </si>
  <si>
    <t>Michael Jung</t>
  </si>
  <si>
    <t>Gerco Schröder</t>
  </si>
  <si>
    <t>Tina Cook</t>
  </si>
  <si>
    <t>Heike Kemmer</t>
  </si>
  <si>
    <t>Eric Lamaze</t>
  </si>
  <si>
    <t>Beezie Madden</t>
  </si>
  <si>
    <t>Marketing&amp;Sales</t>
  </si>
  <si>
    <t>Hinrich Romeike</t>
  </si>
  <si>
    <t>Anky van Grunsven</t>
  </si>
  <si>
    <t>Isabell Werth</t>
  </si>
  <si>
    <t>Beatriz Ferrer Salat</t>
  </si>
  <si>
    <t>Pippa Funnell</t>
  </si>
  <si>
    <t>Chris Kappler</t>
  </si>
  <si>
    <t>Marco Kutscher</t>
  </si>
  <si>
    <t>Leslie Law</t>
  </si>
  <si>
    <t>Marketing andSales</t>
  </si>
  <si>
    <t>Ulla Salzgeber</t>
  </si>
  <si>
    <t>Kim Severson</t>
  </si>
  <si>
    <t>Andrew Hoy</t>
  </si>
  <si>
    <t>David O'Connor</t>
  </si>
  <si>
    <t>David Boudia</t>
  </si>
  <si>
    <t>Chen Ruolin</t>
  </si>
  <si>
    <t>He Zi</t>
  </si>
  <si>
    <t>Qin Kai</t>
  </si>
  <si>
    <t>Wu Minxia</t>
  </si>
  <si>
    <t>Ilya Zakharov</t>
  </si>
  <si>
    <t>Gleb Galperin</t>
  </si>
  <si>
    <t>Guo Jingjing</t>
  </si>
  <si>
    <t>Yuliya Pakhalina</t>
  </si>
  <si>
    <t>Wang Xin</t>
  </si>
  <si>
    <t>Mathew Helm</t>
  </si>
  <si>
    <t>Lao Lishi</t>
  </si>
  <si>
    <t>Chantelle Michell Newbery</t>
  </si>
  <si>
    <t>Robert Newbery</t>
  </si>
  <si>
    <t>Tian Liang</t>
  </si>
  <si>
    <t>AfterSales</t>
  </si>
  <si>
    <t>Fu Mingxia</t>
  </si>
  <si>
    <t>Hu Jia</t>
  </si>
  <si>
    <t>Li Na</t>
  </si>
  <si>
    <t>Marketing adn Sales</t>
  </si>
  <si>
    <t>Anne Montminy</t>
  </si>
  <si>
    <t>Xiong Ni</t>
  </si>
  <si>
    <t>Grégory Baugé</t>
  </si>
  <si>
    <t>Ed Clancy</t>
  </si>
  <si>
    <t>Sarah Hammer</t>
  </si>
  <si>
    <t>Jason Kenny</t>
  </si>
  <si>
    <t>Maximilian Levy</t>
  </si>
  <si>
    <t>Anna Meares</t>
  </si>
  <si>
    <t>Vicki Pendleton</t>
  </si>
  <si>
    <t>Laura Trott</t>
  </si>
  <si>
    <t>Olga Zabelinskaya</t>
  </si>
  <si>
    <t>Mickaël Bourgain</t>
  </si>
  <si>
    <t>Fabian Cancellara</t>
  </si>
  <si>
    <t>Joan Llaneras</t>
  </si>
  <si>
    <t>Hayden Roulston</t>
  </si>
  <si>
    <t>Ryan Bayley</t>
  </si>
  <si>
    <t>Graeme Brown</t>
  </si>
  <si>
    <t>Sergi Escobar</t>
  </si>
  <si>
    <t>Rob Hayles</t>
  </si>
  <si>
    <t>Brad McGee</t>
  </si>
  <si>
    <t>Stefan Nimke</t>
  </si>
  <si>
    <t>Olga Slyusareva</t>
  </si>
  <si>
    <t>Arnaud Tournant</t>
  </si>
  <si>
    <t>René Wolff</t>
  </si>
  <si>
    <t>Leontien Zijlaard van Moorsel</t>
  </si>
  <si>
    <t>Félicia Ballanger</t>
  </si>
  <si>
    <t>Robert Bartko</t>
  </si>
  <si>
    <t>Jens Fiedler</t>
  </si>
  <si>
    <t>Jens Lehmann</t>
  </si>
  <si>
    <t>Gary Neiwand</t>
  </si>
  <si>
    <t>Jason Queally</t>
  </si>
  <si>
    <t>Jan Ullrich</t>
  </si>
  <si>
    <t>Lukáš Bauer</t>
  </si>
  <si>
    <t>Anna Haag</t>
  </si>
  <si>
    <t>Marcus Hellner</t>
  </si>
  <si>
    <t>Charlotte Kalla</t>
  </si>
  <si>
    <t>Claudia Künzel Nystad</t>
  </si>
  <si>
    <t>Aino Kaisa Saarinen</t>
  </si>
  <si>
    <t>Evi Sachenbacher Stehle</t>
  </si>
  <si>
    <t>Axel Teichmann</t>
  </si>
  <si>
    <t>Tobias Angerer</t>
  </si>
  <si>
    <t>Yevgeny Dementyev</t>
  </si>
  <si>
    <t>Giorgio Di Centa</t>
  </si>
  <si>
    <t>Thobias Fredriksson</t>
  </si>
  <si>
    <t>Björn Lind</t>
  </si>
  <si>
    <t>Yevgeniya Medvedeva</t>
  </si>
  <si>
    <t>Katerina Neumannová</t>
  </si>
  <si>
    <t>Pietro Piller Cottrer</t>
  </si>
  <si>
    <t>Kristina Šmigun Vähi</t>
  </si>
  <si>
    <t>Thomas Alsgaard</t>
  </si>
  <si>
    <t>Viola Bauer</t>
  </si>
  <si>
    <t>Anita Moen Guidon</t>
  </si>
  <si>
    <t>Kristen Skjeldal</t>
  </si>
  <si>
    <t>Andrus Veerpalu</t>
  </si>
  <si>
    <t>Cristian Zorzi</t>
  </si>
  <si>
    <t>Tina Dietze</t>
  </si>
  <si>
    <t>Natasa Douchev Janics</t>
  </si>
  <si>
    <t>Katalin Kovács</t>
  </si>
  <si>
    <t>Danuta Kozák</t>
  </si>
  <si>
    <t>Inna Osypenko Radomska</t>
  </si>
  <si>
    <t>Franziska Weber</t>
  </si>
  <si>
    <t>Tim Brabants</t>
  </si>
  <si>
    <t>David Cal</t>
  </si>
  <si>
    <t>Christian Gille</t>
  </si>
  <si>
    <t>Vadim Makhnyov</t>
  </si>
  <si>
    <t>Roman Petrushenko</t>
  </si>
  <si>
    <t>Katrin Wagner Augustin</t>
  </si>
  <si>
    <t>Ken Wallace</t>
  </si>
  <si>
    <t>Tomasz Wylenzek</t>
  </si>
  <si>
    <t>Nathan Baggaley</t>
  </si>
  <si>
    <t>Andreas Dittmer</t>
  </si>
  <si>
    <t>Birgit Fischer Schmidt</t>
  </si>
  <si>
    <t>Aleksandr Kostoglod</t>
  </si>
  <si>
    <t>Aleksandr Kovalyov</t>
  </si>
  <si>
    <t>Eirik Verås Larsen</t>
  </si>
  <si>
    <t>Carolin Leonhardt</t>
  </si>
  <si>
    <t>Adam Van Koeverden</t>
  </si>
  <si>
    <t>Knut Holmann</t>
  </si>
  <si>
    <t>Zoltán Kammerer</t>
  </si>
  <si>
    <t>Petar Merkov</t>
  </si>
  <si>
    <t>Florin Popescu</t>
  </si>
  <si>
    <t>Mitica Pricop</t>
  </si>
  <si>
    <t>Botond Storcz</t>
  </si>
  <si>
    <t>Szilvia Szabó</t>
  </si>
  <si>
    <t>Kevin Kuske</t>
  </si>
  <si>
    <t>André Lange</t>
  </si>
  <si>
    <t>Martin Annen</t>
  </si>
  <si>
    <t>Beat Hefti</t>
  </si>
  <si>
    <t>Marie Laure Brunet</t>
  </si>
  <si>
    <t>Marie Dorin</t>
  </si>
  <si>
    <t>Simone Hauswald</t>
  </si>
  <si>
    <t>Vincent Jay</t>
  </si>
  <si>
    <t>Anastasia Kuzmina</t>
  </si>
  <si>
    <t>Christoph Sumann</t>
  </si>
  <si>
    <t>Yevgeny Ustyugov</t>
  </si>
  <si>
    <t>Olga Zaytseva</t>
  </si>
  <si>
    <t>Florence Baverel Robert</t>
  </si>
  <si>
    <t>Vincent Defrasne</t>
  </si>
  <si>
    <t>Halvard Hanevold</t>
  </si>
  <si>
    <t>Svetlana Ishmuratova</t>
  </si>
  <si>
    <t>Anna Carin Olofsson Zidek</t>
  </si>
  <si>
    <t>Uschi Disl</t>
  </si>
  <si>
    <t>Ricco Groß</t>
  </si>
  <si>
    <t>Andrea Henkel</t>
  </si>
  <si>
    <t>Frank Luck</t>
  </si>
  <si>
    <t>Raphaël Poirée</t>
  </si>
  <si>
    <t>Olga Pylyova Medvedtseva</t>
  </si>
  <si>
    <t>Liv Grete Skjelbreid Poirée</t>
  </si>
  <si>
    <t>Magdalena Wallin Forsberg</t>
  </si>
  <si>
    <t>Zhao Yunlei</t>
  </si>
  <si>
    <t>Lee Hyo Jeong</t>
  </si>
  <si>
    <t>Yu Yang</t>
  </si>
  <si>
    <t>Gao Ling</t>
  </si>
  <si>
    <t>Nataliya Antyukh</t>
  </si>
  <si>
    <t>Vivian Cheruiyot</t>
  </si>
  <si>
    <t>Will Claye</t>
  </si>
  <si>
    <t>Tirunesh Dibaba</t>
  </si>
  <si>
    <t>Mo Farah</t>
  </si>
  <si>
    <t>Lalonde Gordon</t>
  </si>
  <si>
    <t>Sanya Richards Ross</t>
  </si>
  <si>
    <t>DeeDee Trotter</t>
  </si>
  <si>
    <t>Elvan Abeylegesse</t>
  </si>
  <si>
    <t>Kenenisa Bekele</t>
  </si>
  <si>
    <t>Kerron Clement</t>
  </si>
  <si>
    <t>Walter Dix</t>
  </si>
  <si>
    <t>Yuliya Gushchina</t>
  </si>
  <si>
    <t>Tatyana Lebedeva</t>
  </si>
  <si>
    <t>LaShawn Merritt</t>
  </si>
  <si>
    <t>David Neville</t>
  </si>
  <si>
    <t>Kerron Stewart</t>
  </si>
  <si>
    <t>Jared Tallent</t>
  </si>
  <si>
    <t>After Saless</t>
  </si>
  <si>
    <t>Angelo Taylor</t>
  </si>
  <si>
    <t>Richard Thompson</t>
  </si>
  <si>
    <t>Jeremy Wariner</t>
  </si>
  <si>
    <t>Shericka Williams</t>
  </si>
  <si>
    <t>Derrick Brew</t>
  </si>
  <si>
    <t>Shawn Crawford</t>
  </si>
  <si>
    <t>Hicham El Guerrouj</t>
  </si>
  <si>
    <t>Maurice Greene</t>
  </si>
  <si>
    <t>Otis Harris</t>
  </si>
  <si>
    <t>Kelly Holmes</t>
  </si>
  <si>
    <t>Ato Boldon</t>
  </si>
  <si>
    <t>Pauline Davis Thompson</t>
  </si>
  <si>
    <t>Lorraine Graham</t>
  </si>
  <si>
    <t>Greg Haughton</t>
  </si>
  <si>
    <t>Deon Hemmings</t>
  </si>
  <si>
    <t>Robert Korzeniowski</t>
  </si>
  <si>
    <t>Tayna Lawrence</t>
  </si>
  <si>
    <t>Beverly McDonald</t>
  </si>
  <si>
    <t>Merlene Ottey Page</t>
  </si>
  <si>
    <t>Irina Privalova</t>
  </si>
  <si>
    <t>Gabriela Szabo</t>
  </si>
  <si>
    <t>Gete Wami</t>
  </si>
  <si>
    <t>Elisabeth Görgl</t>
  </si>
  <si>
    <t>Lindsey Kildow Vonn</t>
  </si>
  <si>
    <t>Ivica Kostelic</t>
  </si>
  <si>
    <t>Julia Mancuso</t>
  </si>
  <si>
    <t>Tina Maze</t>
  </si>
  <si>
    <t>Maria Riesch</t>
  </si>
  <si>
    <t>Michaela Dorfmeister</t>
  </si>
  <si>
    <t>Hermann Maier</t>
  </si>
  <si>
    <t>Benjamin Raich</t>
  </si>
  <si>
    <t>Marlies Schild</t>
  </si>
  <si>
    <t>Rainer Schönfelder</t>
  </si>
  <si>
    <t>Kjetil André Aamodt</t>
  </si>
  <si>
    <t>Renate Götschl</t>
  </si>
  <si>
    <t>Lasse Kjus</t>
  </si>
  <si>
    <t>Ki Bo Bae</t>
  </si>
  <si>
    <t>Oh Jin Hyek</t>
  </si>
  <si>
    <t>Park Gyeong Mo</t>
  </si>
  <si>
    <t>Park Seong Hyeon</t>
  </si>
  <si>
    <t>Yun Ok Hui</t>
  </si>
  <si>
    <t>Zhang Juanjuan</t>
  </si>
  <si>
    <t>Lee Seong Jin</t>
  </si>
  <si>
    <t>Kim Nam Sun</t>
  </si>
  <si>
    <t>Kim Su Nyeong</t>
  </si>
  <si>
    <t>Vic Wunderle</t>
  </si>
  <si>
    <t>Yun Mi Jin</t>
  </si>
  <si>
    <t>Artur Aleksanyan</t>
  </si>
  <si>
    <t>Valeriy Andriitsev</t>
  </si>
  <si>
    <t>Rövs?n Bayramov</t>
  </si>
  <si>
    <t>Jordan Burroughs</t>
  </si>
  <si>
    <t>Clarissa Chun</t>
  </si>
  <si>
    <t>Yogeshwar Dutt</t>
  </si>
  <si>
    <t>Jaime Espinal</t>
  </si>
  <si>
    <t>Johan Eurén</t>
  </si>
  <si>
    <t>Karam Gaber</t>
  </si>
  <si>
    <t>Daniyal Gadzhiyev</t>
  </si>
  <si>
    <t>Komeil Ghasemi</t>
  </si>
  <si>
    <t>Giorgi Gogshelidze</t>
  </si>
  <si>
    <t>Sadegh Goudarzi</t>
  </si>
  <si>
    <t>Steeve Guénot</t>
  </si>
  <si>
    <t>Carol Huynh</t>
  </si>
  <si>
    <t>Kaori Icho</t>
  </si>
  <si>
    <t>Damian Janikowski</t>
  </si>
  <si>
    <t>Jing Ruixue</t>
  </si>
  <si>
    <t>Arsen Julfalakyan</t>
  </si>
  <si>
    <t>Riza Kayaalp</t>
  </si>
  <si>
    <t>Aleksandras Kazakevicius</t>
  </si>
  <si>
    <t>Vladimer Khinchegashvili</t>
  </si>
  <si>
    <t>Alan Khugayev</t>
  </si>
  <si>
    <t>Kim Hyeon Wu</t>
  </si>
  <si>
    <t>Besik Kudukhov</t>
  </si>
  <si>
    <t>Sushil Kumar</t>
  </si>
  <si>
    <t>Zaur Kuramagomedov</t>
  </si>
  <si>
    <t>Ehsan Naser Lashgari</t>
  </si>
  <si>
    <t>Revaz Lashkhi</t>
  </si>
  <si>
    <t>Jimmy Lidberg</t>
  </si>
  <si>
    <t>Liván López</t>
  </si>
  <si>
    <t>Mijaín López</t>
  </si>
  <si>
    <t>Tamás Lorincz</t>
  </si>
  <si>
    <t>Bilyal Makhov</t>
  </si>
  <si>
    <t>Gyuzel Manyurova</t>
  </si>
  <si>
    <t>Dato Marsagishvili</t>
  </si>
  <si>
    <t>Ryutaro Matsumoto</t>
  </si>
  <si>
    <t>Péter Módos</t>
  </si>
  <si>
    <t>Davit Modzmanashvili</t>
  </si>
  <si>
    <t>Heiki Nabi</t>
  </si>
  <si>
    <t>Omid Noroozi</t>
  </si>
  <si>
    <t>Hitomi Obara</t>
  </si>
  <si>
    <t>Dzhamal Otarsultanov</t>
  </si>
  <si>
    <t>Xetaq Qazyumov</t>
  </si>
  <si>
    <t>Yuliya Ratkeviç</t>
  </si>
  <si>
    <t>Jackeline Rentería</t>
  </si>
  <si>
    <t>Ghasem Rezaei</t>
  </si>
  <si>
    <t>Coleman Scott</t>
  </si>
  <si>
    <t>Mingiyan Semyonov</t>
  </si>
  <si>
    <t>Soronzonboldyn Battsetseg</t>
  </si>
  <si>
    <t>Hamid Soryan</t>
  </si>
  <si>
    <t>Mariya Stadnik</t>
  </si>
  <si>
    <t>Shrif Srifov</t>
  </si>
  <si>
    <t>Akzhurek Tanatarov</t>
  </si>
  <si>
    <t>Artur Taymazov</t>
  </si>
  <si>
    <t>Soslan Tigiyev</t>
  </si>
  <si>
    <t>Rustam Totrov</t>
  </si>
  <si>
    <t>Denis Tsargush</t>
  </si>
  <si>
    <t>Manuchar Tskhadaia</t>
  </si>
  <si>
    <t>Maider Unda</t>
  </si>
  <si>
    <t>Jake Varner</t>
  </si>
  <si>
    <t>Tonya Verbeek</t>
  </si>
  <si>
    <t>Roman Vlasov</t>
  </si>
  <si>
    <t>Lyubov Volosova</t>
  </si>
  <si>
    <t>Nataliya Vorobyova</t>
  </si>
  <si>
    <t>Yang Kyong Il</t>
  </si>
  <si>
    <t>Tatsuhiro Yonemitsu</t>
  </si>
  <si>
    <t>Saori Yoshida</t>
  </si>
  <si>
    <t>Shinichi Yumoto</t>
  </si>
  <si>
    <t>Stanka Zlateva</t>
  </si>
  <si>
    <t>Emin ?hm?dov</t>
  </si>
  <si>
    <t>Togrul ?sg?rov</t>
  </si>
  <si>
    <t>Yusuf Abdusalomov</t>
  </si>
  <si>
    <t>Bakhtiyar Akhmedov</t>
  </si>
  <si>
    <t>Islam Beka Albiyev</t>
  </si>
  <si>
    <t>Roman Amoyan</t>
  </si>
  <si>
    <t>Nazmi Avluca</t>
  </si>
  <si>
    <t>Khasan Baroyev</t>
  </si>
  <si>
    <t>Mavlet Batyrov</t>
  </si>
  <si>
    <t>Kanat Begaliyev</t>
  </si>
  <si>
    <t>Henry Cejudo</t>
  </si>
  <si>
    <t>Chang Yongxiang</t>
  </si>
  <si>
    <t>Taras Danko</t>
  </si>
  <si>
    <t>Mirko Englich</t>
  </si>
  <si>
    <t>Vasyl Fedoryshyn</t>
  </si>
  <si>
    <t>Zoltán Fodor</t>
  </si>
  <si>
    <t>Murad Gaydarov</t>
  </si>
  <si>
    <t>Christophe Guénot</t>
  </si>
  <si>
    <t>Kyoko Hamaguchi</t>
  </si>
  <si>
    <t>Chiharu Icho</t>
  </si>
  <si>
    <t>Manuchar K'virk'elia</t>
  </si>
  <si>
    <t>Alyona Kartashova</t>
  </si>
  <si>
    <t>Georgy Ketoyev</t>
  </si>
  <si>
    <t>Aslanbek Khushtov</t>
  </si>
  <si>
    <t>Aset Mambetov</t>
  </si>
  <si>
    <t>Nazyr Mankiyev</t>
  </si>
  <si>
    <t>Tomohiro Matsunaga</t>
  </si>
  <si>
    <t>Iryna Merleni Mykulchyn</t>
  </si>
  <si>
    <t>Randi Miller</t>
  </si>
  <si>
    <t>Revaz Mindorashvili</t>
  </si>
  <si>
    <t>Andrea Minguzzi</t>
  </si>
  <si>
    <t>Mindaugas Mizgaitis</t>
  </si>
  <si>
    <t>Seyed Mohammadi</t>
  </si>
  <si>
    <t>Sharvani Muradov</t>
  </si>
  <si>
    <t>David Musulbes</t>
  </si>
  <si>
    <t>Marid Mutalimov</t>
  </si>
  <si>
    <t>Park Eun Chul</t>
  </si>
  <si>
    <t>Yury Patrikeyev</t>
  </si>
  <si>
    <t>Vitaliy R?himov</t>
  </si>
  <si>
    <t>Ramazan Sahin</t>
  </si>
  <si>
    <t>Buvaisa Saytiyev</t>
  </si>
  <si>
    <t>Mikhail Semyonov</t>
  </si>
  <si>
    <t>Yelena Shalygina</t>
  </si>
  <si>
    <t>Andriy Stadnik</t>
  </si>
  <si>
    <t>Nurbakyt Tengizbayev</t>
  </si>
  <si>
    <t>Kiril Terziev</t>
  </si>
  <si>
    <t>Taymuraz Tigiyev</t>
  </si>
  <si>
    <t>Otar Tushishvili</t>
  </si>
  <si>
    <t>Ruslan Tyumenbayev</t>
  </si>
  <si>
    <t>Armen Vardanian</t>
  </si>
  <si>
    <t>Radoslav Velikov</t>
  </si>
  <si>
    <t>Wang Jiao</t>
  </si>
  <si>
    <t>Adam Wheeler</t>
  </si>
  <si>
    <t>Agnieszka Wieszczek</t>
  </si>
  <si>
    <t>Xu Li</t>
  </si>
  <si>
    <t>Yavor Yanakiev</t>
  </si>
  <si>
    <t>Kenichi Yumoto</t>
  </si>
  <si>
    <t>Stephen Abas</t>
  </si>
  <si>
    <t>Ara Abrahamian</t>
  </si>
  <si>
    <t>Aleksandr Dokturishivili</t>
  </si>
  <si>
    <t>Seref Eroglu</t>
  </si>
  <si>
    <t>Iván Fundora</t>
  </si>
  <si>
    <t>Rulon Gardner</t>
  </si>
  <si>
    <t>Khadzhimurat Gatsalov</t>
  </si>
  <si>
    <t>Lise Golliot Legrand</t>
  </si>
  <si>
    <t>Anna Gomis</t>
  </si>
  <si>
    <t>Ali Reza Heidari</t>
  </si>
  <si>
    <t>Magamed Ibragimov</t>
  </si>
  <si>
    <t>Kenji Inoue</t>
  </si>
  <si>
    <t>Jeong Ji Hyeon</t>
  </si>
  <si>
    <t>Jamill Kelly</t>
  </si>
  <si>
    <t>Atryom Kyuregyan</t>
  </si>
  <si>
    <t>Gennady Laliyev</t>
  </si>
  <si>
    <t>István Majoros</t>
  </si>
  <si>
    <t>Vyacheslav Makarenko</t>
  </si>
  <si>
    <t>Gaydar Mamedaliyev</t>
  </si>
  <si>
    <t>Mkhitar Manukyan</t>
  </si>
  <si>
    <t>Sara McMann</t>
  </si>
  <si>
    <t>Patricia Miranda</t>
  </si>
  <si>
    <t>Aleksey Mishin</t>
  </si>
  <si>
    <t>Roberto Monzón</t>
  </si>
  <si>
    <t>Masoud Moustafa Gokar</t>
  </si>
  <si>
    <t>Mun Ui Je</t>
  </si>
  <si>
    <t>Makhach Murtazaliyev</t>
  </si>
  <si>
    <t>Farid Munsurov</t>
  </si>
  <si>
    <t>Armen Nazaryan</t>
  </si>
  <si>
    <t>Ramaz Nozadze</t>
  </si>
  <si>
    <t>Mehmet Özal</t>
  </si>
  <si>
    <t>Aydin Polatçi</t>
  </si>
  <si>
    <t>Yandro Quintana</t>
  </si>
  <si>
    <t>Ali Reza Rezaei</t>
  </si>
  <si>
    <t>Varteres Samurgashev</t>
  </si>
  <si>
    <t>Cael Sanderson</t>
  </si>
  <si>
    <t>Sazhid Sazhidov</t>
  </si>
  <si>
    <t>Chikara Tanabe</t>
  </si>
  <si>
    <t>Elbrus Tedieiev</t>
  </si>
  <si>
    <t>Georgy Tsurtsumia</t>
  </si>
  <si>
    <t>Wang Xu</t>
  </si>
  <si>
    <t>Marko Yli Hannuksela</t>
  </si>
  <si>
    <t>Namiq Abdullayev</t>
  </si>
  <si>
    <t>Filiberto Azcuy</t>
  </si>
  <si>
    <t>Sándor István Bárdosi</t>
  </si>
  <si>
    <t>Serafim Barzakov</t>
  </si>
  <si>
    <t>Islam Bayramukov</t>
  </si>
  <si>
    <t>Adem Bereket</t>
  </si>
  <si>
    <t>Terry Brands</t>
  </si>
  <si>
    <t>Yevhen Buslovych</t>
  </si>
  <si>
    <t>Ak'ak'i Chachua</t>
  </si>
  <si>
    <t>Ali Reza Dabir</t>
  </si>
  <si>
    <t>Dmitry Debelka</t>
  </si>
  <si>
    <t>Arsen Gitinov</t>
  </si>
  <si>
    <t>Aleksey Glushkov</t>
  </si>
  <si>
    <t>Sammie Henson</t>
  </si>
  <si>
    <t>Mogamed Ibragimov</t>
  </si>
  <si>
    <t>Daniel Igali</t>
  </si>
  <si>
    <t>Jang Jae Seong</t>
  </si>
  <si>
    <t>Eldar K'urt'anidze</t>
  </si>
  <si>
    <t>Kang Yong Gyun</t>
  </si>
  <si>
    <t>Amiran Kardanov</t>
  </si>
  <si>
    <t>Murat Kardanov</t>
  </si>
  <si>
    <t>Aleksandr Karelin</t>
  </si>
  <si>
    <t>Kim In Seop</t>
  </si>
  <si>
    <t>Matt Lindland</t>
  </si>
  <si>
    <t>Mikael Ljungberg</t>
  </si>
  <si>
    <t>Garrett Lowney</t>
  </si>
  <si>
    <t>Juan Luis Marén</t>
  </si>
  <si>
    <t>Lincoln McIlravy</t>
  </si>
  <si>
    <t>Sagid Murtazaliyev</t>
  </si>
  <si>
    <t>Katsuhiko Nagata</t>
  </si>
  <si>
    <t>Lázaro Rivas</t>
  </si>
  <si>
    <t>Alexis Rodríguez</t>
  </si>
  <si>
    <t>Yoel Romero</t>
  </si>
  <si>
    <t>David Saldadze</t>
  </si>
  <si>
    <t>Adam Saytiyev</t>
  </si>
  <si>
    <t>Sheng Zetian</t>
  </si>
  <si>
    <t>Sim Gwon Ho</t>
  </si>
  <si>
    <t>Brandon Slay</t>
  </si>
  <si>
    <t>Murad Umakhanov</t>
  </si>
  <si>
    <t>Mukhran Vakht'angadze</t>
  </si>
  <si>
    <t>Hamza Yerlikaya</t>
  </si>
  <si>
    <t>Ruslan Albegov</t>
  </si>
  <si>
    <t>Sajjad Anoushiravani</t>
  </si>
  <si>
    <t>Apti Aukhadov</t>
  </si>
  <si>
    <t>Bartlomiej Bonk</t>
  </si>
  <si>
    <t>Iván Cambar</t>
  </si>
  <si>
    <t>Zulfiya Chinshanlo</t>
  </si>
  <si>
    <t>Anatolii Cîrîcu</t>
  </si>
  <si>
    <t>Roxana Cocos</t>
  </si>
  <si>
    <t>Oscar Figueroa</t>
  </si>
  <si>
    <t>Christine Girard</t>
  </si>
  <si>
    <t>Hsu Shu Ching</t>
  </si>
  <si>
    <t>Ilya Ilyin</t>
  </si>
  <si>
    <t>Cristina Iovu</t>
  </si>
  <si>
    <t>Eko Irawan</t>
  </si>
  <si>
    <t>Aleksandr Ivanov</t>
  </si>
  <si>
    <t>Yuliya Kalina</t>
  </si>
  <si>
    <t>Tatyana Kashirina</t>
  </si>
  <si>
    <t>Hripsime Khurshudyan</t>
  </si>
  <si>
    <t>Kim Un Guk</t>
  </si>
  <si>
    <t>Irina Kulesha</t>
  </si>
  <si>
    <t>Li Xueying</t>
  </si>
  <si>
    <t>Lin Qingfeng</t>
  </si>
  <si>
    <t>Lu Haojie</t>
  </si>
  <si>
    <t>Lu Xiaojun</t>
  </si>
  <si>
    <t>Maiya Maneza</t>
  </si>
  <si>
    <t>Razvan Martin</t>
  </si>
  <si>
    <t>Hiromi Miyake</t>
  </si>
  <si>
    <t>Navab Nasirshelal</t>
  </si>
  <si>
    <t>Om Yun Chol</t>
  </si>
  <si>
    <t>Svetlana Podobedova</t>
  </si>
  <si>
    <t>Rim Jong Sim</t>
  </si>
  <si>
    <t>Kianoush Rostami</t>
  </si>
  <si>
    <t>Ryang Chun Hwa</t>
  </si>
  <si>
    <t>Behdad Salimi</t>
  </si>
  <si>
    <t>Marina Shkermankova</t>
  </si>
  <si>
    <t>Pimsiri Sirikaew</t>
  </si>
  <si>
    <t>Oleksiy Torokhtiy</t>
  </si>
  <si>
    <t xml:space="preserve">Triyatno </t>
  </si>
  <si>
    <t>Svetlana Tsarukayeva</t>
  </si>
  <si>
    <t>Wang Mingjuan</t>
  </si>
  <si>
    <t>Wu Jingbiao</t>
  </si>
  <si>
    <t>Valentin Xristov</t>
  </si>
  <si>
    <t>Nataliya Zabolotnaya</t>
  </si>
  <si>
    <t>Zhou Lulu</t>
  </si>
  <si>
    <t>Adrian Zielinski</t>
  </si>
  <si>
    <t>Khadzhimurat Akkayev</t>
  </si>
  <si>
    <t>Andrey Aryamnov</t>
  </si>
  <si>
    <t>Cao Lei</t>
  </si>
  <si>
    <t>Chen Wei Ling</t>
  </si>
  <si>
    <t>Chen Xiexia</t>
  </si>
  <si>
    <t>Chen Yanqing</t>
  </si>
  <si>
    <t>Yevgeny Chigishev</t>
  </si>
  <si>
    <t>Vencelas Dabaya</t>
  </si>
  <si>
    <t>Gevorg Davtyan</t>
  </si>
  <si>
    <t>Nataliya Davydova</t>
  </si>
  <si>
    <t>Mariya Grabovetskaya</t>
  </si>
  <si>
    <t>Hoàng Anh Tu?n</t>
  </si>
  <si>
    <t>Jang Mi Ran</t>
  </si>
  <si>
    <t>Prapawadee Jaroenrattanatarakoon</t>
  </si>
  <si>
    <t>Dmitry Klokov</t>
  </si>
  <si>
    <t>Olha Korobka</t>
  </si>
  <si>
    <t>Szymon Kolecki</t>
  </si>
  <si>
    <t>Dmitry Lapikov</t>
  </si>
  <si>
    <t>Li Hongli</t>
  </si>
  <si>
    <t>Liao Hui</t>
  </si>
  <si>
    <t>Liu Chunhong</t>
  </si>
  <si>
    <t>Long Qingquan</t>
  </si>
  <si>
    <t>Lu Ying Chi</t>
  </si>
  <si>
    <t>Lu Yong</t>
  </si>
  <si>
    <t>Tigran G. Martirosyan</t>
  </si>
  <si>
    <t>Tigran V. Martirosyan</t>
  </si>
  <si>
    <t>Irina Nekrasova</t>
  </si>
  <si>
    <t>Anastasiya Novikova</t>
  </si>
  <si>
    <t>O Jong Ae</t>
  </si>
  <si>
    <t>Sibel Özkan</t>
  </si>
  <si>
    <t>Pak Hyon Suk</t>
  </si>
  <si>
    <t>Andrey Rybakov</t>
  </si>
  <si>
    <t>Sa Jae Hyeok</t>
  </si>
  <si>
    <t>Diego Fernando Salazar</t>
  </si>
  <si>
    <t>Viktors Šcerbatihs</t>
  </si>
  <si>
    <t>Marina Shainova</t>
  </si>
  <si>
    <t>Oksana Slivenko</t>
  </si>
  <si>
    <t>Matthias Steiner</t>
  </si>
  <si>
    <t>Alla Vazhenina</t>
  </si>
  <si>
    <t>Nadezhda Yevstyukhina</t>
  </si>
  <si>
    <t>Yoon Jin Hee</t>
  </si>
  <si>
    <t>Zhang Xiangxiang</t>
  </si>
  <si>
    <t>Sedat Artuç</t>
  </si>
  <si>
    <t>Giorgi Asanidze</t>
  </si>
  <si>
    <t>Anna Batyushko</t>
  </si>
  <si>
    <t>Dmitry Berestov</t>
  </si>
  <si>
    <t>Veliçko Çolakov</t>
  </si>
  <si>
    <t>Pyrros Dimas</t>
  </si>
  <si>
    <t>Milen Dobrev</t>
  </si>
  <si>
    <t>Sergey Filimonov</t>
  </si>
  <si>
    <t>Wandee Kameaim</t>
  </si>
  <si>
    <t>Zarema Kasayeva</t>
  </si>
  <si>
    <t>Eszter Krutzler</t>
  </si>
  <si>
    <t>Le Maosheng</t>
  </si>
  <si>
    <t>Lee Bae Yeong</t>
  </si>
  <si>
    <t>Li Zhuo</t>
  </si>
  <si>
    <t>Mabel Mosquera</t>
  </si>
  <si>
    <t>Halil Mutlu</t>
  </si>
  <si>
    <t>Oleg Perepechonov</t>
  </si>
  <si>
    <t>Nikolay Peshalov</t>
  </si>
  <si>
    <t>Gleb Pisarevsky</t>
  </si>
  <si>
    <t>Udomporn Polsak</t>
  </si>
  <si>
    <t>Valentina Popova</t>
  </si>
  <si>
    <t>After Salee</t>
  </si>
  <si>
    <t>Ihor Razoronov</t>
  </si>
  <si>
    <t>Hossein Reza Zadeh</t>
  </si>
  <si>
    <t>Ri Song Hui</t>
  </si>
  <si>
    <t>Israel José Rubio</t>
  </si>
  <si>
    <t>Raema Lisa Rumbewas</t>
  </si>
  <si>
    <t>Taner Sagir</t>
  </si>
  <si>
    <t>Shi Zhiyong</t>
  </si>
  <si>
    <t>Nataliya Skakun</t>
  </si>
  <si>
    <t>Tatyana Stukalova</t>
  </si>
  <si>
    <t>Tang Gonghong</t>
  </si>
  <si>
    <t>Nurcan Taylan</t>
  </si>
  <si>
    <t>Pawina Thongsuk</t>
  </si>
  <si>
    <t>Eduard Tyukin</t>
  </si>
  <si>
    <t>Aree Wiratthaworn</t>
  </si>
  <si>
    <t>Agata Wróbel</t>
  </si>
  <si>
    <t>Wu Meijin</t>
  </si>
  <si>
    <t>Zhang Guozheng</t>
  </si>
  <si>
    <t>Galabin Boevski</t>
  </si>
  <si>
    <t>Andrey Chemerkin</t>
  </si>
  <si>
    <t>Chen Xiaomin</t>
  </si>
  <si>
    <t>Ding Meiyuan</t>
  </si>
  <si>
    <t>Cheryl Haworth</t>
  </si>
  <si>
    <t>Marc Huster</t>
  </si>
  <si>
    <t>Sri Indriyani</t>
  </si>
  <si>
    <t>Soraya Jiménez</t>
  </si>
  <si>
    <t>Akakios Kakiasvili</t>
  </si>
  <si>
    <t>Ioanna Khatziioannou</t>
  </si>
  <si>
    <t>Kuo Yi Hang</t>
  </si>
  <si>
    <t>Sergey Lavrenov</t>
  </si>
  <si>
    <t>Li Feng Ying</t>
  </si>
  <si>
    <t>Lin Weining</t>
  </si>
  <si>
    <t>Karnam Malleswari</t>
  </si>
  <si>
    <t>Georgi Markov</t>
  </si>
  <si>
    <t>Erzsébet Márkus Peresztegi</t>
  </si>
  <si>
    <t>Arsen Melikyan</t>
  </si>
  <si>
    <t>Viktor Mitrou</t>
  </si>
  <si>
    <t>Tara Nott Cunningham</t>
  </si>
  <si>
    <t>Ruth Ogbeifo</t>
  </si>
  <si>
    <t>Gennady Oleshchuk</t>
  </si>
  <si>
    <t>Aleksey Petrov</t>
  </si>
  <si>
    <t>Leonidas Sabanis</t>
  </si>
  <si>
    <t>Asaad Said Saif</t>
  </si>
  <si>
    <t>Winarni Binti Slamet</t>
  </si>
  <si>
    <t>Khassaraporn Suta</t>
  </si>
  <si>
    <t>Hossein Tavakoli</t>
  </si>
  <si>
    <t>Alan Tsagaev</t>
  </si>
  <si>
    <t>María Isabel Urrutia</t>
  </si>
  <si>
    <t>Ronny Weller</t>
  </si>
  <si>
    <t>Wu Wenxiong</t>
  </si>
  <si>
    <t>Yang Xia</t>
  </si>
  <si>
    <t>Zhan Xugang</t>
  </si>
  <si>
    <t>Matteo Aicardi</t>
  </si>
  <si>
    <t>Milan Aleksic</t>
  </si>
  <si>
    <t>Betsey Armstrong</t>
  </si>
  <si>
    <t>Marta Bach</t>
  </si>
  <si>
    <t>Samir Barac</t>
  </si>
  <si>
    <t>Gemma Beadsworth</t>
  </si>
  <si>
    <t>Andrea Blas</t>
  </si>
  <si>
    <t>Miho Boškovic</t>
  </si>
  <si>
    <t>Victoria Brown</t>
  </si>
  <si>
    <t>Ivan Buljubašic</t>
  </si>
  <si>
    <t>Damir Buric</t>
  </si>
  <si>
    <t>Andro Bušlje</t>
  </si>
  <si>
    <t>Kami Craig</t>
  </si>
  <si>
    <t>Nikša Dobud</t>
  </si>
  <si>
    <t>Annika Dries</t>
  </si>
  <si>
    <t>Anna Espar</t>
  </si>
  <si>
    <t>Laura Ester</t>
  </si>
  <si>
    <t>Maurizio Felugo</t>
  </si>
  <si>
    <t>Pietro Figlioli</t>
  </si>
  <si>
    <t>Filip Filipovic</t>
  </si>
  <si>
    <t>Deni Fiorentini</t>
  </si>
  <si>
    <t>Valentino Gallo</t>
  </si>
  <si>
    <t>Maica García</t>
  </si>
  <si>
    <t>Massimo Giacoppo</t>
  </si>
  <si>
    <t>Alex Giorgetti</t>
  </si>
  <si>
    <t>Niccolò Gitto</t>
  </si>
  <si>
    <t>Živko Gocic</t>
  </si>
  <si>
    <t>Kate Gynther</t>
  </si>
  <si>
    <t>Igor Hinic</t>
  </si>
  <si>
    <t>Maro Jokovic</t>
  </si>
  <si>
    <t>Bronwen Knox</t>
  </si>
  <si>
    <t>Holly Lincoln Smith</t>
  </si>
  <si>
    <t>Laura López</t>
  </si>
  <si>
    <t>Dušan Mandic</t>
  </si>
  <si>
    <t>Courtney Mathewson</t>
  </si>
  <si>
    <t>Alicia McCormack</t>
  </si>
  <si>
    <t>Ona Meseguer</t>
  </si>
  <si>
    <t>Lorena Miranda</t>
  </si>
  <si>
    <t>Stefan Mitrovic</t>
  </si>
  <si>
    <t>Jane Moran</t>
  </si>
  <si>
    <t>Petar Muslim</t>
  </si>
  <si>
    <t>Slobodan Nikic</t>
  </si>
  <si>
    <t>Paulo Obradovic</t>
  </si>
  <si>
    <t>Mati Ortíz</t>
  </si>
  <si>
    <t>Jenny Pareja</t>
  </si>
  <si>
    <t>Giacomo Pastorino</t>
  </si>
  <si>
    <t>Tahun Masuk Kerja</t>
  </si>
  <si>
    <t>Gaji Pokok/Bulan</t>
  </si>
  <si>
    <t>2008 dan sebelumnya</t>
  </si>
  <si>
    <t>2009 - 2013</t>
  </si>
  <si>
    <t>2014 - 2019</t>
  </si>
  <si>
    <t>Setelah 2019</t>
  </si>
  <si>
    <t xml:space="preserve">Divisi : </t>
  </si>
  <si>
    <t>Batas Tanggal Usia</t>
  </si>
  <si>
    <t xml:space="preserve">Tahun  Mulai Kerja </t>
  </si>
  <si>
    <t>Usia</t>
  </si>
  <si>
    <t>Tahun lahir</t>
  </si>
  <si>
    <t>hasil perhitungan dari jumlah seluruh data di tabel original</t>
  </si>
  <si>
    <t>jawaban dari soal Ada berapakah nama Divisi yang salah ketik</t>
  </si>
  <si>
    <t xml:space="preserve">               total jumlah usia karyawan</t>
  </si>
  <si>
    <t>Berapa banyak karyawan yang lahir di atas tahun 2000?</t>
  </si>
  <si>
    <t> Kelompok usia manakah yang mendapatkan nominal bonus paling tinggi?</t>
  </si>
  <si>
    <t>usia</t>
  </si>
  <si>
    <t>bonus</t>
  </si>
  <si>
    <t xml:space="preserve"> nama &gt; 2 kata</t>
  </si>
  <si>
    <t>jumlah karyawan yang namanya memiliki lebih dari 2 kata?</t>
  </si>
  <si>
    <t>total jumlah gaji untuk karyawan divisi "administrasi" yang masuk pada tahun 2019</t>
  </si>
  <si>
    <t>divisi</t>
  </si>
  <si>
    <t>administrasi</t>
  </si>
  <si>
    <t>tahun masuk</t>
  </si>
  <si>
    <t>total gaji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</si>
</sst>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-* #,##0.0_-;\-* #,##0.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02124"/>
      <name val="Arial"/>
      <family val="2"/>
    </font>
    <font>
      <b/>
      <sz val="11"/>
      <color theme="1"/>
      <name val="Calibri"/>
      <family val="2"/>
      <scheme val="minor"/>
    </font>
    <font>
      <sz val="11"/>
      <color rgb="FF2021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4">
    <xf numFmtId="0" fontId="0" fillId="0" borderId="0" xfId="0"/>
    <xf numFmtId="49" fontId="0" fillId="0" borderId="0" xfId="0" applyNumberFormat="1"/>
    <xf numFmtId="14" fontId="0" fillId="0" borderId="0" xfId="0" applyNumberFormat="1"/>
    <xf numFmtId="41" fontId="0" fillId="0" borderId="0" xfId="1" applyFont="1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0" fillId="2" borderId="1" xfId="0" applyFill="1" applyBorder="1"/>
    <xf numFmtId="14" fontId="0" fillId="2" borderId="1" xfId="0" applyNumberFormat="1" applyFill="1" applyBorder="1"/>
    <xf numFmtId="0" fontId="2" fillId="0" borderId="0" xfId="0" applyFont="1"/>
    <xf numFmtId="43" fontId="0" fillId="0" borderId="0" xfId="0" applyNumberFormat="1"/>
    <xf numFmtId="164" fontId="0" fillId="0" borderId="0" xfId="2" applyNumberFormat="1" applyFont="1"/>
    <xf numFmtId="165" fontId="0" fillId="0" borderId="0" xfId="2" applyNumberFormat="1" applyFont="1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165" fontId="0" fillId="0" borderId="1" xfId="2" applyNumberFormat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5" xfId="0" applyNumberFormat="1" applyBorder="1" applyAlignment="1">
      <alignment horizontal="center"/>
    </xf>
    <xf numFmtId="165" fontId="0" fillId="0" borderId="5" xfId="2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/>
    <xf numFmtId="49" fontId="0" fillId="0" borderId="5" xfId="0" applyNumberFormat="1" applyBorder="1"/>
    <xf numFmtId="0" fontId="0" fillId="0" borderId="7" xfId="0" applyBorder="1"/>
    <xf numFmtId="14" fontId="0" fillId="0" borderId="8" xfId="0" applyNumberFormat="1" applyBorder="1"/>
    <xf numFmtId="165" fontId="0" fillId="0" borderId="8" xfId="2" applyNumberFormat="1" applyFont="1" applyBorder="1"/>
    <xf numFmtId="0" fontId="0" fillId="0" borderId="8" xfId="0" applyBorder="1"/>
    <xf numFmtId="0" fontId="0" fillId="0" borderId="8" xfId="0" applyBorder="1" applyAlignment="1">
      <alignment horizontal="center"/>
    </xf>
    <xf numFmtId="166" fontId="0" fillId="0" borderId="8" xfId="1" applyNumberFormat="1" applyFont="1" applyBorder="1"/>
    <xf numFmtId="41" fontId="0" fillId="0" borderId="1" xfId="1" applyFont="1" applyBorder="1"/>
    <xf numFmtId="1" fontId="0" fillId="0" borderId="1" xfId="0" applyNumberFormat="1" applyBorder="1"/>
    <xf numFmtId="1" fontId="0" fillId="0" borderId="8" xfId="0" applyNumberFormat="1" applyBorder="1"/>
    <xf numFmtId="1" fontId="0" fillId="0" borderId="5" xfId="0" applyNumberForma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3" borderId="0" xfId="0" applyFont="1" applyFill="1"/>
    <xf numFmtId="0" fontId="0" fillId="3" borderId="0" xfId="0" applyFill="1"/>
    <xf numFmtId="165" fontId="0" fillId="0" borderId="6" xfId="2" applyNumberFormat="1" applyFont="1" applyBorder="1" applyAlignment="1">
      <alignment horizontal="center"/>
    </xf>
    <xf numFmtId="165" fontId="0" fillId="0" borderId="3" xfId="2" applyNumberFormat="1" applyFont="1" applyBorder="1"/>
    <xf numFmtId="165" fontId="0" fillId="0" borderId="9" xfId="2" applyNumberFormat="1" applyFont="1" applyBorder="1"/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3" fillId="0" borderId="2" xfId="0" applyFont="1" applyBorder="1"/>
  </cellXfs>
  <cellStyles count="3">
    <cellStyle name="Comma" xfId="2" builtinId="3"/>
    <cellStyle name="Comma [0]" xfId="1" builtinId="6"/>
    <cellStyle name="Normal" xfId="0" builtinId="0"/>
  </cellStyles>
  <dxfs count="2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5" formatCode="_-* #,##0_-;\-* #,##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.0_-;\-* #,##0.0_-;_-* &quot;-&quot;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-* #,##0_-;\-* #,##0_-;_-* &quot;-&quot;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2B0FE7C0-BC47-480B-808C-E7CDBB3239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E07D8B-A976-4C09-9546-0E89E11F0191}" name="Table1" displayName="Table1" ref="A1:J995" totalsRowCount="1" headerRowDxfId="22" headerRowBorderDxfId="21" tableBorderDxfId="20" totalsRowBorderDxfId="19">
  <tableColumns count="10">
    <tableColumn id="1" xr3:uid="{7831DD6E-FAA7-4C44-B293-E0400DB77BED}" name="Nama Karyawan" totalsRowFunction="custom" dataDxfId="18" totalsRowDxfId="17">
      <totalsRowFormula>COUNTA(Table1[Nama Karyawan])</totalsRowFormula>
    </tableColumn>
    <tableColumn id="2" xr3:uid="{DCA54F19-9CAB-405F-ACF2-507A41632C37}" name="Tanggal Lahir" dataDxfId="16" totalsRowDxfId="15"/>
    <tableColumn id="9" xr3:uid="{326E9B21-0A4D-49D3-9DDB-2C72E0433880}" name="Tahun lahir" dataDxfId="14" totalsRowDxfId="13">
      <calculatedColumnFormula>YEAR(Table1[[#This Row],[Tanggal Lahir]])</calculatedColumnFormula>
    </tableColumn>
    <tableColumn id="3" xr3:uid="{55CEFAE3-F84E-472C-B70F-8FBBC2AC125E}" name="Usia" dataDxfId="12" totalsRowDxfId="11" dataCellStyle="Comma" totalsRowCellStyle="Comma">
      <calculatedColumnFormula>YEARFRAC(B2,$L$2)</calculatedColumnFormula>
    </tableColumn>
    <tableColumn id="4" xr3:uid="{D252375A-FD8A-43FB-9BDF-F636AF56C3E1}" name="Divisi" totalsRowFunction="custom" dataDxfId="10" totalsRowDxfId="9">
      <totalsRowFormula>COUNTA(Table1[Divisi])</totalsRowFormula>
    </tableColumn>
    <tableColumn id="5" xr3:uid="{718B17F1-B0E4-4E5C-B070-E867A0D7FAF4}" name="Mulai Kerja" dataDxfId="8" totalsRowDxfId="7"/>
    <tableColumn id="6" xr3:uid="{0DF61E2C-A195-4497-B5A2-2AC4359099DA}" name="Tahun  Mulai Kerja " dataDxfId="6" totalsRowDxfId="5">
      <calculatedColumnFormula>YEAR(F2)</calculatedColumnFormula>
    </tableColumn>
    <tableColumn id="7" xr3:uid="{137DB92C-4E4F-474D-BEC1-B13413A482FB}" name="Gaji Pokok" totalsRowFunction="custom" dataDxfId="4" totalsRowDxfId="3" dataCellStyle="Comma [0]" totalsRowCellStyle="Comma [0]">
      <calculatedColumnFormula>IF(G2&lt;= 2008,18000000,IF(AND(G2&gt;=2009,G2&lt;=2013),13000000,IF(AND(G2&gt;=2014,G2&lt;=2019),9000000,6800000)))</calculatedColumnFormula>
      <totalsRowFormula>AVERAGE(Table1[[#Headers],[#Data],[Gaji Pokok]])</totalsRowFormula>
    </tableColumn>
    <tableColumn id="8" xr3:uid="{0093C59A-D272-46EF-8B8B-3F4D257EF56A}" name="Bonus " dataDxfId="2" totalsRowDxfId="1" dataCellStyle="Comma" totalsRowCellStyle="Comma"/>
    <tableColumn id="13" xr3:uid="{7CFEC86F-D3CB-4476-8A2A-320B4DD14ED8}" name=" nama &gt; 2 kata" dataDxfId="0">
      <calculatedColumnFormula>SUM(LEN(A2)-LEN(SUBSTITUTE(A2," ",""))+1)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E0F5-85D4-4FBF-8B43-5EB5ADEAAEE7}">
  <dimension ref="A1:N8398"/>
  <sheetViews>
    <sheetView tabSelected="1" topLeftCell="C1" workbookViewId="0">
      <selection activeCell="J2" sqref="J2"/>
    </sheetView>
  </sheetViews>
  <sheetFormatPr defaultRowHeight="15" x14ac:dyDescent="0.25"/>
  <cols>
    <col min="1" max="1" width="32.5703125" customWidth="1"/>
    <col min="2" max="2" width="13.85546875" style="2" customWidth="1"/>
    <col min="3" max="3" width="13.140625" style="11" customWidth="1"/>
    <col min="4" max="4" width="9" customWidth="1"/>
    <col min="5" max="5" width="18.85546875" style="2" customWidth="1"/>
    <col min="6" max="6" width="17.5703125" style="1" customWidth="1"/>
    <col min="7" max="7" width="17.42578125" customWidth="1"/>
    <col min="8" max="8" width="15" bestFit="1" customWidth="1"/>
    <col min="9" max="9" width="12.85546875" style="11" customWidth="1"/>
    <col min="10" max="10" width="17.5703125" customWidth="1"/>
    <col min="11" max="11" width="26.7109375" customWidth="1"/>
    <col min="12" max="12" width="22.28515625" customWidth="1"/>
    <col min="13" max="13" width="16.28515625" bestFit="1" customWidth="1"/>
  </cols>
  <sheetData>
    <row r="1" spans="1:14" x14ac:dyDescent="0.25">
      <c r="A1" s="18" t="s">
        <v>0</v>
      </c>
      <c r="B1" s="19" t="s">
        <v>1</v>
      </c>
      <c r="C1" s="33" t="s">
        <v>1029</v>
      </c>
      <c r="D1" s="20" t="s">
        <v>1028</v>
      </c>
      <c r="E1" s="21" t="s">
        <v>2</v>
      </c>
      <c r="F1" s="22" t="s">
        <v>3</v>
      </c>
      <c r="G1" s="23" t="s">
        <v>1027</v>
      </c>
      <c r="H1" s="21" t="s">
        <v>4</v>
      </c>
      <c r="I1" s="38" t="s">
        <v>5</v>
      </c>
      <c r="J1" s="21" t="s">
        <v>1037</v>
      </c>
    </row>
    <row r="2" spans="1:14" x14ac:dyDescent="0.25">
      <c r="A2" s="16" t="s">
        <v>6</v>
      </c>
      <c r="B2" s="14">
        <v>35342</v>
      </c>
      <c r="C2" s="31">
        <f>YEAR(Table1[[#This Row],[Tanggal Lahir]])</f>
        <v>1996</v>
      </c>
      <c r="D2" s="15">
        <f t="shared" ref="D2:D65" si="0">YEARFRAC(B2,$L$2)</f>
        <v>25.977777777777778</v>
      </c>
      <c r="E2" s="12" t="s">
        <v>7</v>
      </c>
      <c r="F2" s="14">
        <v>39758</v>
      </c>
      <c r="G2" s="13">
        <f t="shared" ref="G2:G65" si="1">YEAR(F2)</f>
        <v>2008</v>
      </c>
      <c r="H2" s="30">
        <f t="shared" ref="H2:H65" si="2">IF(G2&lt;= 2008,18000000,IF(AND(G2&gt;=2009,G2&lt;=2013),13000000,IF(AND(G2&gt;=2014,G2&lt;=2019),9000000,6800000)))</f>
        <v>18000000</v>
      </c>
      <c r="I2" s="39">
        <v>5</v>
      </c>
      <c r="J2" s="17">
        <f t="shared" ref="J2:J65" si="3">SUM(LEN(A2)-LEN(SUBSTITUTE(A2," ",""))+1)</f>
        <v>3</v>
      </c>
      <c r="K2" s="6" t="s">
        <v>1026</v>
      </c>
      <c r="L2" s="7">
        <v>44830</v>
      </c>
    </row>
    <row r="3" spans="1:14" x14ac:dyDescent="0.25">
      <c r="A3" s="16" t="s">
        <v>8</v>
      </c>
      <c r="B3" s="14">
        <v>34917</v>
      </c>
      <c r="C3" s="31">
        <f>YEAR(Table1[[#This Row],[Tanggal Lahir]])</f>
        <v>1995</v>
      </c>
      <c r="D3" s="15">
        <f t="shared" si="0"/>
        <v>27.138888888888889</v>
      </c>
      <c r="E3" s="12" t="s">
        <v>7</v>
      </c>
      <c r="F3" s="14">
        <v>40759</v>
      </c>
      <c r="G3" s="13">
        <f t="shared" si="1"/>
        <v>2011</v>
      </c>
      <c r="H3" s="30">
        <f t="shared" si="2"/>
        <v>13000000</v>
      </c>
      <c r="I3" s="39">
        <v>2</v>
      </c>
      <c r="J3">
        <f t="shared" si="3"/>
        <v>2</v>
      </c>
      <c r="L3" s="2"/>
    </row>
    <row r="4" spans="1:14" ht="15.75" x14ac:dyDescent="0.25">
      <c r="A4" s="16" t="s">
        <v>9</v>
      </c>
      <c r="B4" s="14">
        <v>35877</v>
      </c>
      <c r="C4" s="31">
        <f>YEAR(Table1[[#This Row],[Tanggal Lahir]])</f>
        <v>1998</v>
      </c>
      <c r="D4" s="15">
        <f t="shared" si="0"/>
        <v>24.508333333333333</v>
      </c>
      <c r="E4" s="12" t="s">
        <v>10</v>
      </c>
      <c r="F4" s="14">
        <v>41969</v>
      </c>
      <c r="G4" s="13">
        <f t="shared" si="1"/>
        <v>2014</v>
      </c>
      <c r="H4" s="30">
        <f t="shared" si="2"/>
        <v>9000000</v>
      </c>
      <c r="I4" s="39">
        <v>5</v>
      </c>
      <c r="J4">
        <f t="shared" si="3"/>
        <v>2</v>
      </c>
      <c r="L4" s="35"/>
      <c r="M4" s="8"/>
      <c r="N4" s="9"/>
    </row>
    <row r="5" spans="1:14" x14ac:dyDescent="0.25">
      <c r="A5" s="16" t="s">
        <v>11</v>
      </c>
      <c r="B5" s="14">
        <v>37064</v>
      </c>
      <c r="C5" s="31">
        <f>YEAR(Table1[[#This Row],[Tanggal Lahir]])</f>
        <v>2001</v>
      </c>
      <c r="D5" s="15">
        <f t="shared" si="0"/>
        <v>21.261111111111113</v>
      </c>
      <c r="E5" s="12" t="s">
        <v>7</v>
      </c>
      <c r="F5" s="14">
        <v>42523</v>
      </c>
      <c r="G5" s="13">
        <f t="shared" si="1"/>
        <v>2016</v>
      </c>
      <c r="H5" s="30">
        <f t="shared" si="2"/>
        <v>9000000</v>
      </c>
      <c r="I5" s="39">
        <v>4</v>
      </c>
      <c r="J5">
        <f t="shared" si="3"/>
        <v>2</v>
      </c>
    </row>
    <row r="6" spans="1:14" x14ac:dyDescent="0.25">
      <c r="A6" s="16" t="s">
        <v>12</v>
      </c>
      <c r="B6" s="14">
        <v>37510</v>
      </c>
      <c r="C6" s="31">
        <f>YEAR(Table1[[#This Row],[Tanggal Lahir]])</f>
        <v>2002</v>
      </c>
      <c r="D6" s="15">
        <f t="shared" si="0"/>
        <v>20.041666666666668</v>
      </c>
      <c r="E6" s="12" t="s">
        <v>10</v>
      </c>
      <c r="F6" s="14">
        <v>40431</v>
      </c>
      <c r="G6" s="13">
        <f t="shared" si="1"/>
        <v>2010</v>
      </c>
      <c r="H6" s="30">
        <f t="shared" si="2"/>
        <v>13000000</v>
      </c>
      <c r="I6" s="39">
        <v>6</v>
      </c>
      <c r="J6">
        <f t="shared" si="3"/>
        <v>2</v>
      </c>
    </row>
    <row r="7" spans="1:14" x14ac:dyDescent="0.25">
      <c r="A7" s="16" t="s">
        <v>13</v>
      </c>
      <c r="B7" s="14">
        <v>36188</v>
      </c>
      <c r="C7" s="31">
        <f>YEAR(Table1[[#This Row],[Tanggal Lahir]])</f>
        <v>1999</v>
      </c>
      <c r="D7" s="15">
        <f t="shared" si="0"/>
        <v>23.661111111111111</v>
      </c>
      <c r="E7" s="12" t="s">
        <v>14</v>
      </c>
      <c r="F7" s="14">
        <v>38777</v>
      </c>
      <c r="G7" s="13">
        <f t="shared" si="1"/>
        <v>2006</v>
      </c>
      <c r="H7" s="30">
        <f t="shared" si="2"/>
        <v>18000000</v>
      </c>
      <c r="I7" s="39">
        <v>4</v>
      </c>
      <c r="J7">
        <f t="shared" si="3"/>
        <v>2</v>
      </c>
      <c r="L7" s="4"/>
      <c r="M7" s="5"/>
    </row>
    <row r="8" spans="1:14" x14ac:dyDescent="0.25">
      <c r="A8" s="16" t="s">
        <v>15</v>
      </c>
      <c r="B8" s="14">
        <v>37963</v>
      </c>
      <c r="C8" s="31">
        <f>YEAR(Table1[[#This Row],[Tanggal Lahir]])</f>
        <v>2003</v>
      </c>
      <c r="D8" s="15">
        <f t="shared" si="0"/>
        <v>18.8</v>
      </c>
      <c r="E8" s="12" t="s">
        <v>10</v>
      </c>
      <c r="F8" s="14">
        <v>41903</v>
      </c>
      <c r="G8" s="13">
        <f t="shared" si="1"/>
        <v>2014</v>
      </c>
      <c r="H8" s="30">
        <f t="shared" si="2"/>
        <v>9000000</v>
      </c>
      <c r="I8" s="39">
        <v>5</v>
      </c>
      <c r="J8">
        <f t="shared" si="3"/>
        <v>2</v>
      </c>
      <c r="L8" s="4"/>
      <c r="M8" s="3"/>
    </row>
    <row r="9" spans="1:14" ht="15.75" x14ac:dyDescent="0.25">
      <c r="A9" s="16" t="s">
        <v>16</v>
      </c>
      <c r="B9" s="14">
        <v>37305</v>
      </c>
      <c r="C9" s="31">
        <f>YEAR(Table1[[#This Row],[Tanggal Lahir]])</f>
        <v>2002</v>
      </c>
      <c r="D9" s="15">
        <f t="shared" si="0"/>
        <v>20.605555555555554</v>
      </c>
      <c r="E9" s="12" t="s">
        <v>10</v>
      </c>
      <c r="F9" s="14">
        <v>38519</v>
      </c>
      <c r="G9" s="13">
        <f t="shared" si="1"/>
        <v>2005</v>
      </c>
      <c r="H9" s="30">
        <f t="shared" si="2"/>
        <v>18000000</v>
      </c>
      <c r="I9" s="39">
        <v>6</v>
      </c>
      <c r="J9">
        <f t="shared" si="3"/>
        <v>2</v>
      </c>
      <c r="K9" s="8"/>
      <c r="M9" s="3"/>
    </row>
    <row r="10" spans="1:14" x14ac:dyDescent="0.25">
      <c r="A10" s="16" t="s">
        <v>17</v>
      </c>
      <c r="B10" s="14">
        <v>36010</v>
      </c>
      <c r="C10" s="31">
        <f>YEAR(Table1[[#This Row],[Tanggal Lahir]])</f>
        <v>1998</v>
      </c>
      <c r="D10" s="15">
        <f t="shared" si="0"/>
        <v>24.147222222222222</v>
      </c>
      <c r="E10" s="12" t="s">
        <v>10</v>
      </c>
      <c r="F10" s="14">
        <v>39223</v>
      </c>
      <c r="G10" s="13">
        <f t="shared" si="1"/>
        <v>2007</v>
      </c>
      <c r="H10" s="30">
        <f t="shared" si="2"/>
        <v>18000000</v>
      </c>
      <c r="I10" s="39">
        <v>2</v>
      </c>
      <c r="J10">
        <f t="shared" si="3"/>
        <v>2</v>
      </c>
      <c r="M10" s="3"/>
    </row>
    <row r="11" spans="1:14" x14ac:dyDescent="0.25">
      <c r="A11" s="16" t="s">
        <v>18</v>
      </c>
      <c r="B11" s="14">
        <v>36391</v>
      </c>
      <c r="C11" s="31">
        <f>YEAR(Table1[[#This Row],[Tanggal Lahir]])</f>
        <v>1999</v>
      </c>
      <c r="D11" s="15">
        <f t="shared" si="0"/>
        <v>23.102777777777778</v>
      </c>
      <c r="E11" s="12" t="s">
        <v>19</v>
      </c>
      <c r="F11" s="14">
        <v>42117</v>
      </c>
      <c r="G11" s="13">
        <f t="shared" si="1"/>
        <v>2015</v>
      </c>
      <c r="H11" s="30">
        <f t="shared" si="2"/>
        <v>9000000</v>
      </c>
      <c r="I11" s="39">
        <v>2</v>
      </c>
      <c r="J11">
        <f t="shared" si="3"/>
        <v>2</v>
      </c>
      <c r="M11" s="3"/>
    </row>
    <row r="12" spans="1:14" x14ac:dyDescent="0.25">
      <c r="A12" s="16" t="s">
        <v>20</v>
      </c>
      <c r="B12" s="14">
        <v>37330</v>
      </c>
      <c r="C12" s="31">
        <f>YEAR(Table1[[#This Row],[Tanggal Lahir]])</f>
        <v>2002</v>
      </c>
      <c r="D12" s="15">
        <f t="shared" si="0"/>
        <v>20.530555555555555</v>
      </c>
      <c r="E12" s="12" t="s">
        <v>14</v>
      </c>
      <c r="F12" s="14">
        <v>44355</v>
      </c>
      <c r="G12" s="13">
        <f t="shared" si="1"/>
        <v>2021</v>
      </c>
      <c r="H12" s="30">
        <f t="shared" si="2"/>
        <v>6800000</v>
      </c>
      <c r="I12" s="39">
        <v>1</v>
      </c>
      <c r="J12">
        <f t="shared" si="3"/>
        <v>2</v>
      </c>
    </row>
    <row r="13" spans="1:14" x14ac:dyDescent="0.25">
      <c r="A13" s="16" t="s">
        <v>21</v>
      </c>
      <c r="B13" s="14">
        <v>36728</v>
      </c>
      <c r="C13" s="31">
        <f>YEAR(Table1[[#This Row],[Tanggal Lahir]])</f>
        <v>2000</v>
      </c>
      <c r="D13" s="15">
        <f t="shared" si="0"/>
        <v>22.180555555555557</v>
      </c>
      <c r="E13" s="12" t="s">
        <v>22</v>
      </c>
      <c r="F13" s="14">
        <v>39022</v>
      </c>
      <c r="G13" s="13">
        <f t="shared" si="1"/>
        <v>2006</v>
      </c>
      <c r="H13" s="30">
        <f t="shared" si="2"/>
        <v>18000000</v>
      </c>
      <c r="I13" s="39">
        <v>4</v>
      </c>
      <c r="J13">
        <f t="shared" si="3"/>
        <v>2</v>
      </c>
    </row>
    <row r="14" spans="1:14" x14ac:dyDescent="0.25">
      <c r="A14" s="16" t="s">
        <v>23</v>
      </c>
      <c r="B14" s="14">
        <v>35693</v>
      </c>
      <c r="C14" s="31">
        <f>YEAR(Table1[[#This Row],[Tanggal Lahir]])</f>
        <v>1997</v>
      </c>
      <c r="D14" s="15">
        <f t="shared" si="0"/>
        <v>25.016666666666666</v>
      </c>
      <c r="E14" s="12" t="s">
        <v>24</v>
      </c>
      <c r="F14" s="14">
        <v>40071</v>
      </c>
      <c r="G14" s="13">
        <f t="shared" si="1"/>
        <v>2009</v>
      </c>
      <c r="H14" s="30">
        <f t="shared" si="2"/>
        <v>13000000</v>
      </c>
      <c r="I14" s="39">
        <v>3</v>
      </c>
      <c r="J14">
        <f t="shared" si="3"/>
        <v>2</v>
      </c>
    </row>
    <row r="15" spans="1:14" x14ac:dyDescent="0.25">
      <c r="A15" s="16" t="s">
        <v>25</v>
      </c>
      <c r="B15" s="14">
        <v>36612</v>
      </c>
      <c r="C15" s="31">
        <f>YEAR(Table1[[#This Row],[Tanggal Lahir]])</f>
        <v>2000</v>
      </c>
      <c r="D15" s="15">
        <f t="shared" si="0"/>
        <v>22.497222222222224</v>
      </c>
      <c r="E15" s="12" t="s">
        <v>26</v>
      </c>
      <c r="F15" s="14">
        <v>43542</v>
      </c>
      <c r="G15" s="13">
        <f t="shared" si="1"/>
        <v>2019</v>
      </c>
      <c r="H15" s="30">
        <f t="shared" si="2"/>
        <v>9000000</v>
      </c>
      <c r="I15" s="39">
        <v>1</v>
      </c>
      <c r="J15">
        <f t="shared" si="3"/>
        <v>2</v>
      </c>
    </row>
    <row r="16" spans="1:14" x14ac:dyDescent="0.25">
      <c r="A16" s="16" t="s">
        <v>27</v>
      </c>
      <c r="B16" s="14">
        <v>35277</v>
      </c>
      <c r="C16" s="31">
        <f>YEAR(Table1[[#This Row],[Tanggal Lahir]])</f>
        <v>1996</v>
      </c>
      <c r="D16" s="15">
        <f t="shared" si="0"/>
        <v>26.155555555555555</v>
      </c>
      <c r="E16" s="12" t="s">
        <v>10</v>
      </c>
      <c r="F16" s="14">
        <v>39242</v>
      </c>
      <c r="G16" s="13">
        <f t="shared" si="1"/>
        <v>2007</v>
      </c>
      <c r="H16" s="30">
        <f t="shared" si="2"/>
        <v>18000000</v>
      </c>
      <c r="I16" s="39">
        <v>5</v>
      </c>
      <c r="J16">
        <f t="shared" si="3"/>
        <v>2</v>
      </c>
    </row>
    <row r="17" spans="1:13" x14ac:dyDescent="0.25">
      <c r="A17" s="16" t="s">
        <v>28</v>
      </c>
      <c r="B17" s="14">
        <v>34970</v>
      </c>
      <c r="C17" s="31">
        <f>YEAR(Table1[[#This Row],[Tanggal Lahir]])</f>
        <v>1995</v>
      </c>
      <c r="D17" s="15">
        <f t="shared" si="0"/>
        <v>26.994444444444444</v>
      </c>
      <c r="E17" s="12" t="s">
        <v>10</v>
      </c>
      <c r="F17" s="14">
        <v>40523</v>
      </c>
      <c r="G17" s="13">
        <f t="shared" si="1"/>
        <v>2010</v>
      </c>
      <c r="H17" s="30">
        <f t="shared" si="2"/>
        <v>13000000</v>
      </c>
      <c r="I17" s="39">
        <v>1</v>
      </c>
      <c r="J17">
        <f t="shared" si="3"/>
        <v>2</v>
      </c>
      <c r="K17">
        <v>1</v>
      </c>
      <c r="L17" s="4" t="s">
        <v>1019</v>
      </c>
      <c r="M17" s="5" t="s">
        <v>1020</v>
      </c>
    </row>
    <row r="18" spans="1:13" x14ac:dyDescent="0.25">
      <c r="A18" s="16" t="s">
        <v>30</v>
      </c>
      <c r="B18" s="14">
        <v>35911</v>
      </c>
      <c r="C18" s="31">
        <f>YEAR(Table1[[#This Row],[Tanggal Lahir]])</f>
        <v>1998</v>
      </c>
      <c r="D18" s="15">
        <f t="shared" si="0"/>
        <v>24.416666666666668</v>
      </c>
      <c r="E18" s="12" t="s">
        <v>31</v>
      </c>
      <c r="F18" s="14">
        <v>42492</v>
      </c>
      <c r="G18" s="13">
        <f t="shared" si="1"/>
        <v>2016</v>
      </c>
      <c r="H18" s="30">
        <f t="shared" si="2"/>
        <v>9000000</v>
      </c>
      <c r="I18" s="39">
        <v>1</v>
      </c>
      <c r="J18">
        <f t="shared" si="3"/>
        <v>3</v>
      </c>
      <c r="L18" s="4" t="s">
        <v>1021</v>
      </c>
      <c r="M18" s="3">
        <v>18000000</v>
      </c>
    </row>
    <row r="19" spans="1:13" x14ac:dyDescent="0.25">
      <c r="A19" s="16" t="s">
        <v>32</v>
      </c>
      <c r="B19" s="14">
        <v>34671</v>
      </c>
      <c r="C19" s="31">
        <f>YEAR(Table1[[#This Row],[Tanggal Lahir]])</f>
        <v>1994</v>
      </c>
      <c r="D19" s="15">
        <f t="shared" si="0"/>
        <v>27.81388888888889</v>
      </c>
      <c r="E19" s="12" t="s">
        <v>14</v>
      </c>
      <c r="F19" s="14">
        <v>40872</v>
      </c>
      <c r="G19" s="13">
        <f t="shared" si="1"/>
        <v>2011</v>
      </c>
      <c r="H19" s="30">
        <f t="shared" si="2"/>
        <v>13000000</v>
      </c>
      <c r="I19" s="39">
        <v>3</v>
      </c>
      <c r="J19">
        <f t="shared" si="3"/>
        <v>2</v>
      </c>
      <c r="L19" t="s">
        <v>1022</v>
      </c>
      <c r="M19" s="3">
        <v>13000000</v>
      </c>
    </row>
    <row r="20" spans="1:13" x14ac:dyDescent="0.25">
      <c r="A20" s="16" t="s">
        <v>33</v>
      </c>
      <c r="B20" s="14">
        <v>37958</v>
      </c>
      <c r="C20" s="31">
        <f>YEAR(Table1[[#This Row],[Tanggal Lahir]])</f>
        <v>2003</v>
      </c>
      <c r="D20" s="15">
        <f t="shared" si="0"/>
        <v>18.81388888888889</v>
      </c>
      <c r="E20" s="12" t="s">
        <v>10</v>
      </c>
      <c r="F20" s="14">
        <v>39679</v>
      </c>
      <c r="G20" s="13">
        <f t="shared" si="1"/>
        <v>2008</v>
      </c>
      <c r="H20" s="30">
        <f t="shared" si="2"/>
        <v>18000000</v>
      </c>
      <c r="I20" s="39">
        <v>3</v>
      </c>
      <c r="J20">
        <f t="shared" si="3"/>
        <v>3</v>
      </c>
      <c r="L20" t="s">
        <v>1023</v>
      </c>
      <c r="M20" s="3">
        <v>9000000</v>
      </c>
    </row>
    <row r="21" spans="1:13" x14ac:dyDescent="0.25">
      <c r="A21" s="16" t="s">
        <v>34</v>
      </c>
      <c r="B21" s="14">
        <v>35593</v>
      </c>
      <c r="C21" s="31">
        <f>YEAR(Table1[[#This Row],[Tanggal Lahir]])</f>
        <v>1997</v>
      </c>
      <c r="D21" s="15">
        <f t="shared" si="0"/>
        <v>25.288888888888888</v>
      </c>
      <c r="E21" s="12" t="s">
        <v>10</v>
      </c>
      <c r="F21" s="14">
        <v>44199</v>
      </c>
      <c r="G21" s="13">
        <f t="shared" si="1"/>
        <v>2021</v>
      </c>
      <c r="H21" s="30">
        <f t="shared" si="2"/>
        <v>6800000</v>
      </c>
      <c r="I21" s="39">
        <v>3</v>
      </c>
      <c r="J21">
        <f t="shared" si="3"/>
        <v>2</v>
      </c>
      <c r="L21" t="s">
        <v>1024</v>
      </c>
      <c r="M21" s="3">
        <v>6800000</v>
      </c>
    </row>
    <row r="22" spans="1:13" x14ac:dyDescent="0.25">
      <c r="A22" s="16" t="s">
        <v>35</v>
      </c>
      <c r="B22" s="14">
        <v>36189</v>
      </c>
      <c r="C22" s="31">
        <f>YEAR(Table1[[#This Row],[Tanggal Lahir]])</f>
        <v>1999</v>
      </c>
      <c r="D22" s="15">
        <f t="shared" si="0"/>
        <v>23.658333333333335</v>
      </c>
      <c r="E22" s="12" t="s">
        <v>10</v>
      </c>
      <c r="F22" s="14">
        <v>42006</v>
      </c>
      <c r="G22" s="13">
        <f t="shared" si="1"/>
        <v>2015</v>
      </c>
      <c r="H22" s="30">
        <f t="shared" si="2"/>
        <v>9000000</v>
      </c>
      <c r="I22" s="39">
        <v>1</v>
      </c>
      <c r="J22">
        <f t="shared" si="3"/>
        <v>2</v>
      </c>
    </row>
    <row r="23" spans="1:13" x14ac:dyDescent="0.25">
      <c r="A23" s="16" t="s">
        <v>36</v>
      </c>
      <c r="B23" s="14">
        <v>35911</v>
      </c>
      <c r="C23" s="31">
        <f>YEAR(Table1[[#This Row],[Tanggal Lahir]])</f>
        <v>1998</v>
      </c>
      <c r="D23" s="15">
        <f t="shared" si="0"/>
        <v>24.416666666666668</v>
      </c>
      <c r="E23" s="12" t="s">
        <v>7</v>
      </c>
      <c r="F23" s="14">
        <v>41728</v>
      </c>
      <c r="G23" s="13">
        <f t="shared" si="1"/>
        <v>2014</v>
      </c>
      <c r="H23" s="30">
        <f t="shared" si="2"/>
        <v>9000000</v>
      </c>
      <c r="I23" s="39">
        <v>4</v>
      </c>
      <c r="J23">
        <f t="shared" si="3"/>
        <v>2</v>
      </c>
    </row>
    <row r="24" spans="1:13" x14ac:dyDescent="0.25">
      <c r="A24" s="16" t="s">
        <v>37</v>
      </c>
      <c r="B24" s="14">
        <v>36138</v>
      </c>
      <c r="C24" s="31">
        <f>YEAR(Table1[[#This Row],[Tanggal Lahir]])</f>
        <v>1998</v>
      </c>
      <c r="D24" s="15">
        <f t="shared" si="0"/>
        <v>23.797222222222221</v>
      </c>
      <c r="E24" s="12" t="s">
        <v>7</v>
      </c>
      <c r="F24" s="14">
        <v>40105</v>
      </c>
      <c r="G24" s="13">
        <f t="shared" si="1"/>
        <v>2009</v>
      </c>
      <c r="H24" s="30">
        <f t="shared" si="2"/>
        <v>13000000</v>
      </c>
      <c r="I24" s="39">
        <v>6</v>
      </c>
      <c r="J24">
        <f t="shared" si="3"/>
        <v>3</v>
      </c>
    </row>
    <row r="25" spans="1:13" x14ac:dyDescent="0.25">
      <c r="A25" s="16" t="s">
        <v>38</v>
      </c>
      <c r="B25" s="14">
        <v>35364</v>
      </c>
      <c r="C25" s="31">
        <f>YEAR(Table1[[#This Row],[Tanggal Lahir]])</f>
        <v>1996</v>
      </c>
      <c r="D25" s="15">
        <f t="shared" si="0"/>
        <v>25.916666666666668</v>
      </c>
      <c r="E25" s="12" t="s">
        <v>10</v>
      </c>
      <c r="F25" s="14">
        <v>42943</v>
      </c>
      <c r="G25" s="13">
        <f t="shared" si="1"/>
        <v>2017</v>
      </c>
      <c r="H25" s="30">
        <f t="shared" si="2"/>
        <v>9000000</v>
      </c>
      <c r="I25" s="39">
        <v>3</v>
      </c>
      <c r="J25">
        <f t="shared" si="3"/>
        <v>3</v>
      </c>
    </row>
    <row r="26" spans="1:13" x14ac:dyDescent="0.25">
      <c r="A26" s="16" t="s">
        <v>39</v>
      </c>
      <c r="B26" s="14">
        <v>35986</v>
      </c>
      <c r="C26" s="31">
        <f>YEAR(Table1[[#This Row],[Tanggal Lahir]])</f>
        <v>1998</v>
      </c>
      <c r="D26" s="15">
        <f t="shared" si="0"/>
        <v>24.211111111111112</v>
      </c>
      <c r="E26" s="12" t="s">
        <v>14</v>
      </c>
      <c r="F26" s="14">
        <v>43003</v>
      </c>
      <c r="G26" s="13">
        <f t="shared" si="1"/>
        <v>2017</v>
      </c>
      <c r="H26" s="30">
        <f t="shared" si="2"/>
        <v>9000000</v>
      </c>
      <c r="I26" s="39">
        <v>6</v>
      </c>
      <c r="J26">
        <f t="shared" si="3"/>
        <v>2</v>
      </c>
    </row>
    <row r="27" spans="1:13" x14ac:dyDescent="0.25">
      <c r="A27" s="16" t="s">
        <v>40</v>
      </c>
      <c r="B27" s="14">
        <v>37704</v>
      </c>
      <c r="C27" s="31">
        <f>YEAR(Table1[[#This Row],[Tanggal Lahir]])</f>
        <v>2003</v>
      </c>
      <c r="D27" s="15">
        <f t="shared" si="0"/>
        <v>19.505555555555556</v>
      </c>
      <c r="E27" s="12" t="s">
        <v>7</v>
      </c>
      <c r="F27" s="14">
        <v>44624</v>
      </c>
      <c r="G27" s="13">
        <f t="shared" si="1"/>
        <v>2022</v>
      </c>
      <c r="H27" s="30">
        <f t="shared" si="2"/>
        <v>6800000</v>
      </c>
      <c r="I27" s="39">
        <v>6</v>
      </c>
      <c r="J27">
        <f t="shared" si="3"/>
        <v>2</v>
      </c>
    </row>
    <row r="28" spans="1:13" x14ac:dyDescent="0.25">
      <c r="A28" s="16" t="s">
        <v>41</v>
      </c>
      <c r="B28" s="14">
        <v>37418</v>
      </c>
      <c r="C28" s="31">
        <f>YEAR(Table1[[#This Row],[Tanggal Lahir]])</f>
        <v>2002</v>
      </c>
      <c r="D28" s="15">
        <f t="shared" si="0"/>
        <v>20.291666666666668</v>
      </c>
      <c r="E28" s="12" t="s">
        <v>10</v>
      </c>
      <c r="F28" s="14">
        <v>40072</v>
      </c>
      <c r="G28" s="13">
        <f t="shared" si="1"/>
        <v>2009</v>
      </c>
      <c r="H28" s="30">
        <f t="shared" si="2"/>
        <v>13000000</v>
      </c>
      <c r="I28" s="39">
        <v>6</v>
      </c>
      <c r="J28">
        <f t="shared" si="3"/>
        <v>2</v>
      </c>
    </row>
    <row r="29" spans="1:13" x14ac:dyDescent="0.25">
      <c r="A29" s="16" t="s">
        <v>29</v>
      </c>
      <c r="B29" s="14">
        <v>37488</v>
      </c>
      <c r="C29" s="31">
        <f>YEAR(Table1[[#This Row],[Tanggal Lahir]])</f>
        <v>2002</v>
      </c>
      <c r="D29" s="15">
        <f t="shared" si="0"/>
        <v>20.100000000000001</v>
      </c>
      <c r="E29" s="12" t="s">
        <v>10</v>
      </c>
      <c r="F29" s="14">
        <v>44331</v>
      </c>
      <c r="G29" s="13">
        <f t="shared" si="1"/>
        <v>2021</v>
      </c>
      <c r="H29" s="30">
        <f t="shared" si="2"/>
        <v>6800000</v>
      </c>
      <c r="I29" s="39">
        <v>3</v>
      </c>
      <c r="J29">
        <f t="shared" si="3"/>
        <v>3</v>
      </c>
    </row>
    <row r="30" spans="1:13" x14ac:dyDescent="0.25">
      <c r="A30" s="16" t="s">
        <v>42</v>
      </c>
      <c r="B30" s="14">
        <v>37997</v>
      </c>
      <c r="C30" s="31">
        <f>YEAR(Table1[[#This Row],[Tanggal Lahir]])</f>
        <v>2004</v>
      </c>
      <c r="D30" s="15">
        <f t="shared" si="0"/>
        <v>18.708333333333332</v>
      </c>
      <c r="E30" s="12" t="s">
        <v>7</v>
      </c>
      <c r="F30" s="14">
        <v>38566</v>
      </c>
      <c r="G30" s="13">
        <f t="shared" si="1"/>
        <v>2005</v>
      </c>
      <c r="H30" s="30">
        <f t="shared" si="2"/>
        <v>18000000</v>
      </c>
      <c r="I30" s="39">
        <v>3</v>
      </c>
      <c r="J30">
        <f t="shared" si="3"/>
        <v>3</v>
      </c>
    </row>
    <row r="31" spans="1:13" x14ac:dyDescent="0.25">
      <c r="A31" s="16" t="s">
        <v>43</v>
      </c>
      <c r="B31" s="14">
        <v>36215</v>
      </c>
      <c r="C31" s="31">
        <f>YEAR(Table1[[#This Row],[Tanggal Lahir]])</f>
        <v>1999</v>
      </c>
      <c r="D31" s="15">
        <f t="shared" si="0"/>
        <v>23.588888888888889</v>
      </c>
      <c r="E31" s="12" t="s">
        <v>10</v>
      </c>
      <c r="F31" s="14">
        <v>38760</v>
      </c>
      <c r="G31" s="13">
        <f t="shared" si="1"/>
        <v>2006</v>
      </c>
      <c r="H31" s="30">
        <f t="shared" si="2"/>
        <v>18000000</v>
      </c>
      <c r="I31" s="39">
        <v>5</v>
      </c>
      <c r="J31">
        <f t="shared" si="3"/>
        <v>3</v>
      </c>
    </row>
    <row r="32" spans="1:13" x14ac:dyDescent="0.25">
      <c r="A32" s="16" t="s">
        <v>44</v>
      </c>
      <c r="B32" s="14">
        <v>37761</v>
      </c>
      <c r="C32" s="31">
        <f>YEAR(Table1[[#This Row],[Tanggal Lahir]])</f>
        <v>2003</v>
      </c>
      <c r="D32" s="15">
        <f t="shared" si="0"/>
        <v>19.350000000000001</v>
      </c>
      <c r="E32" s="12" t="s">
        <v>10</v>
      </c>
      <c r="F32" s="14">
        <v>41687</v>
      </c>
      <c r="G32" s="13">
        <f t="shared" si="1"/>
        <v>2014</v>
      </c>
      <c r="H32" s="30">
        <f t="shared" si="2"/>
        <v>9000000</v>
      </c>
      <c r="I32" s="39">
        <v>5</v>
      </c>
      <c r="J32">
        <f t="shared" si="3"/>
        <v>3</v>
      </c>
    </row>
    <row r="33" spans="1:10" x14ac:dyDescent="0.25">
      <c r="A33" s="16" t="s">
        <v>45</v>
      </c>
      <c r="B33" s="14">
        <v>34845</v>
      </c>
      <c r="C33" s="31">
        <f>YEAR(Table1[[#This Row],[Tanggal Lahir]])</f>
        <v>1995</v>
      </c>
      <c r="D33" s="15">
        <f t="shared" si="0"/>
        <v>27.333333333333332</v>
      </c>
      <c r="E33" s="12" t="s">
        <v>10</v>
      </c>
      <c r="F33" s="14">
        <v>39032</v>
      </c>
      <c r="G33" s="13">
        <f t="shared" si="1"/>
        <v>2006</v>
      </c>
      <c r="H33" s="30">
        <f t="shared" si="2"/>
        <v>18000000</v>
      </c>
      <c r="I33" s="39">
        <v>5</v>
      </c>
      <c r="J33">
        <f t="shared" si="3"/>
        <v>2</v>
      </c>
    </row>
    <row r="34" spans="1:10" x14ac:dyDescent="0.25">
      <c r="A34" s="16" t="s">
        <v>46</v>
      </c>
      <c r="B34" s="14">
        <v>35626</v>
      </c>
      <c r="C34" s="31">
        <f>YEAR(Table1[[#This Row],[Tanggal Lahir]])</f>
        <v>1997</v>
      </c>
      <c r="D34" s="15">
        <f t="shared" si="0"/>
        <v>25.197222222222223</v>
      </c>
      <c r="E34" s="12" t="s">
        <v>10</v>
      </c>
      <c r="F34" s="14">
        <v>42033</v>
      </c>
      <c r="G34" s="13">
        <f t="shared" si="1"/>
        <v>2015</v>
      </c>
      <c r="H34" s="30">
        <f t="shared" si="2"/>
        <v>9000000</v>
      </c>
      <c r="I34" s="39">
        <v>6</v>
      </c>
      <c r="J34">
        <f t="shared" si="3"/>
        <v>2</v>
      </c>
    </row>
    <row r="35" spans="1:10" x14ac:dyDescent="0.25">
      <c r="A35" s="16" t="s">
        <v>47</v>
      </c>
      <c r="B35" s="14">
        <v>37815</v>
      </c>
      <c r="C35" s="31">
        <f>YEAR(Table1[[#This Row],[Tanggal Lahir]])</f>
        <v>2003</v>
      </c>
      <c r="D35" s="15">
        <f t="shared" si="0"/>
        <v>19.202777777777779</v>
      </c>
      <c r="E35" s="12" t="s">
        <v>10</v>
      </c>
      <c r="F35" s="14">
        <v>40365</v>
      </c>
      <c r="G35" s="13">
        <f t="shared" si="1"/>
        <v>2010</v>
      </c>
      <c r="H35" s="30">
        <f t="shared" si="2"/>
        <v>13000000</v>
      </c>
      <c r="I35" s="39">
        <v>3</v>
      </c>
      <c r="J35">
        <f t="shared" si="3"/>
        <v>2</v>
      </c>
    </row>
    <row r="36" spans="1:10" x14ac:dyDescent="0.25">
      <c r="A36" s="16" t="s">
        <v>48</v>
      </c>
      <c r="B36" s="14">
        <v>35301</v>
      </c>
      <c r="C36" s="31">
        <f>YEAR(Table1[[#This Row],[Tanggal Lahir]])</f>
        <v>1996</v>
      </c>
      <c r="D36" s="15">
        <f t="shared" si="0"/>
        <v>26.088888888888889</v>
      </c>
      <c r="E36" s="12" t="s">
        <v>10</v>
      </c>
      <c r="F36" s="14">
        <v>43185</v>
      </c>
      <c r="G36" s="13">
        <f t="shared" si="1"/>
        <v>2018</v>
      </c>
      <c r="H36" s="30">
        <f t="shared" si="2"/>
        <v>9000000</v>
      </c>
      <c r="I36" s="39">
        <v>2</v>
      </c>
      <c r="J36">
        <f t="shared" si="3"/>
        <v>2</v>
      </c>
    </row>
    <row r="37" spans="1:10" x14ac:dyDescent="0.25">
      <c r="A37" s="16" t="s">
        <v>49</v>
      </c>
      <c r="B37" s="14">
        <v>36548</v>
      </c>
      <c r="C37" s="31">
        <f>YEAR(Table1[[#This Row],[Tanggal Lahir]])</f>
        <v>2000</v>
      </c>
      <c r="D37" s="15">
        <f t="shared" si="0"/>
        <v>22.675000000000001</v>
      </c>
      <c r="E37" s="12" t="s">
        <v>14</v>
      </c>
      <c r="F37" s="14">
        <v>42673</v>
      </c>
      <c r="G37" s="13">
        <f t="shared" si="1"/>
        <v>2016</v>
      </c>
      <c r="H37" s="30">
        <f t="shared" si="2"/>
        <v>9000000</v>
      </c>
      <c r="I37" s="39">
        <v>3</v>
      </c>
      <c r="J37">
        <f t="shared" si="3"/>
        <v>2</v>
      </c>
    </row>
    <row r="38" spans="1:10" x14ac:dyDescent="0.25">
      <c r="A38" s="16" t="s">
        <v>50</v>
      </c>
      <c r="B38" s="14">
        <v>36891</v>
      </c>
      <c r="C38" s="31">
        <f>YEAR(Table1[[#This Row],[Tanggal Lahir]])</f>
        <v>2000</v>
      </c>
      <c r="D38" s="15">
        <f t="shared" si="0"/>
        <v>21.738888888888887</v>
      </c>
      <c r="E38" s="12" t="s">
        <v>7</v>
      </c>
      <c r="F38" s="14">
        <v>42560</v>
      </c>
      <c r="G38" s="13">
        <f t="shared" si="1"/>
        <v>2016</v>
      </c>
      <c r="H38" s="30">
        <f t="shared" si="2"/>
        <v>9000000</v>
      </c>
      <c r="I38" s="39">
        <v>4</v>
      </c>
      <c r="J38">
        <f t="shared" si="3"/>
        <v>2</v>
      </c>
    </row>
    <row r="39" spans="1:10" x14ac:dyDescent="0.25">
      <c r="A39" s="16" t="s">
        <v>51</v>
      </c>
      <c r="B39" s="14">
        <v>35624</v>
      </c>
      <c r="C39" s="31">
        <f>YEAR(Table1[[#This Row],[Tanggal Lahir]])</f>
        <v>1997</v>
      </c>
      <c r="D39" s="15">
        <f t="shared" si="0"/>
        <v>25.202777777777779</v>
      </c>
      <c r="E39" s="12" t="s">
        <v>10</v>
      </c>
      <c r="F39" s="14">
        <v>42783</v>
      </c>
      <c r="G39" s="13">
        <f t="shared" si="1"/>
        <v>2017</v>
      </c>
      <c r="H39" s="30">
        <f t="shared" si="2"/>
        <v>9000000</v>
      </c>
      <c r="I39" s="39">
        <v>6</v>
      </c>
      <c r="J39">
        <f t="shared" si="3"/>
        <v>2</v>
      </c>
    </row>
    <row r="40" spans="1:10" x14ac:dyDescent="0.25">
      <c r="A40" s="16" t="s">
        <v>52</v>
      </c>
      <c r="B40" s="14">
        <v>34834</v>
      </c>
      <c r="C40" s="31">
        <f>YEAR(Table1[[#This Row],[Tanggal Lahir]])</f>
        <v>1995</v>
      </c>
      <c r="D40" s="15">
        <f t="shared" si="0"/>
        <v>27.363888888888887</v>
      </c>
      <c r="E40" s="12" t="s">
        <v>7</v>
      </c>
      <c r="F40" s="14">
        <v>39938</v>
      </c>
      <c r="G40" s="13">
        <f t="shared" si="1"/>
        <v>2009</v>
      </c>
      <c r="H40" s="30">
        <f t="shared" si="2"/>
        <v>13000000</v>
      </c>
      <c r="I40" s="39">
        <v>1</v>
      </c>
      <c r="J40">
        <f t="shared" si="3"/>
        <v>2</v>
      </c>
    </row>
    <row r="41" spans="1:10" x14ac:dyDescent="0.25">
      <c r="A41" s="16" t="s">
        <v>53</v>
      </c>
      <c r="B41" s="14">
        <v>35861</v>
      </c>
      <c r="C41" s="31">
        <f>YEAR(Table1[[#This Row],[Tanggal Lahir]])</f>
        <v>1998</v>
      </c>
      <c r="D41" s="15">
        <f t="shared" si="0"/>
        <v>24.552777777777777</v>
      </c>
      <c r="E41" s="12" t="s">
        <v>7</v>
      </c>
      <c r="F41" s="14">
        <v>39111</v>
      </c>
      <c r="G41" s="13">
        <f t="shared" si="1"/>
        <v>2007</v>
      </c>
      <c r="H41" s="30">
        <f t="shared" si="2"/>
        <v>18000000</v>
      </c>
      <c r="I41" s="39">
        <v>6</v>
      </c>
      <c r="J41">
        <f t="shared" si="3"/>
        <v>2</v>
      </c>
    </row>
    <row r="42" spans="1:10" x14ac:dyDescent="0.25">
      <c r="A42" s="16" t="s">
        <v>54</v>
      </c>
      <c r="B42" s="14">
        <v>37604</v>
      </c>
      <c r="C42" s="31">
        <f>YEAR(Table1[[#This Row],[Tanggal Lahir]])</f>
        <v>2002</v>
      </c>
      <c r="D42" s="15">
        <f t="shared" si="0"/>
        <v>19.783333333333335</v>
      </c>
      <c r="E42" s="12" t="s">
        <v>14</v>
      </c>
      <c r="F42" s="14">
        <v>40577</v>
      </c>
      <c r="G42" s="13">
        <f t="shared" si="1"/>
        <v>2011</v>
      </c>
      <c r="H42" s="30">
        <f t="shared" si="2"/>
        <v>13000000</v>
      </c>
      <c r="I42" s="39">
        <v>4</v>
      </c>
      <c r="J42">
        <f t="shared" si="3"/>
        <v>2</v>
      </c>
    </row>
    <row r="43" spans="1:10" x14ac:dyDescent="0.25">
      <c r="A43" s="16" t="s">
        <v>55</v>
      </c>
      <c r="B43" s="14">
        <v>34544</v>
      </c>
      <c r="C43" s="31">
        <f>YEAR(Table1[[#This Row],[Tanggal Lahir]])</f>
        <v>1994</v>
      </c>
      <c r="D43" s="15">
        <f t="shared" si="0"/>
        <v>28.158333333333335</v>
      </c>
      <c r="E43" s="12" t="s">
        <v>14</v>
      </c>
      <c r="F43" s="14">
        <v>42108</v>
      </c>
      <c r="G43" s="13">
        <f t="shared" si="1"/>
        <v>2015</v>
      </c>
      <c r="H43" s="30">
        <f t="shared" si="2"/>
        <v>9000000</v>
      </c>
      <c r="I43" s="39">
        <v>5</v>
      </c>
      <c r="J43">
        <f t="shared" si="3"/>
        <v>2</v>
      </c>
    </row>
    <row r="44" spans="1:10" x14ac:dyDescent="0.25">
      <c r="A44" s="16" t="s">
        <v>56</v>
      </c>
      <c r="B44" s="14">
        <v>36366</v>
      </c>
      <c r="C44" s="31">
        <f>YEAR(Table1[[#This Row],[Tanggal Lahir]])</f>
        <v>1999</v>
      </c>
      <c r="D44" s="15">
        <f t="shared" si="0"/>
        <v>23.169444444444444</v>
      </c>
      <c r="E44" s="12" t="s">
        <v>10</v>
      </c>
      <c r="F44" s="14">
        <v>42414</v>
      </c>
      <c r="G44" s="13">
        <f t="shared" si="1"/>
        <v>2016</v>
      </c>
      <c r="H44" s="30">
        <f t="shared" si="2"/>
        <v>9000000</v>
      </c>
      <c r="I44" s="39">
        <v>2</v>
      </c>
      <c r="J44">
        <f t="shared" si="3"/>
        <v>2</v>
      </c>
    </row>
    <row r="45" spans="1:10" x14ac:dyDescent="0.25">
      <c r="A45" s="16" t="s">
        <v>57</v>
      </c>
      <c r="B45" s="14">
        <v>37593</v>
      </c>
      <c r="C45" s="31">
        <f>YEAR(Table1[[#This Row],[Tanggal Lahir]])</f>
        <v>2002</v>
      </c>
      <c r="D45" s="15">
        <f t="shared" si="0"/>
        <v>19.81388888888889</v>
      </c>
      <c r="E45" s="12" t="s">
        <v>10</v>
      </c>
      <c r="F45" s="14">
        <v>42758</v>
      </c>
      <c r="G45" s="13">
        <f t="shared" si="1"/>
        <v>2017</v>
      </c>
      <c r="H45" s="30">
        <f t="shared" si="2"/>
        <v>9000000</v>
      </c>
      <c r="I45" s="39">
        <v>2</v>
      </c>
      <c r="J45">
        <f t="shared" si="3"/>
        <v>2</v>
      </c>
    </row>
    <row r="46" spans="1:10" x14ac:dyDescent="0.25">
      <c r="A46" s="16" t="s">
        <v>58</v>
      </c>
      <c r="B46" s="14">
        <v>35759</v>
      </c>
      <c r="C46" s="31">
        <f>YEAR(Table1[[#This Row],[Tanggal Lahir]])</f>
        <v>1997</v>
      </c>
      <c r="D46" s="15">
        <f t="shared" si="0"/>
        <v>24.836111111111112</v>
      </c>
      <c r="E46" s="12" t="s">
        <v>14</v>
      </c>
      <c r="F46" s="14">
        <v>41639</v>
      </c>
      <c r="G46" s="13">
        <f t="shared" si="1"/>
        <v>2013</v>
      </c>
      <c r="H46" s="30">
        <f t="shared" si="2"/>
        <v>13000000</v>
      </c>
      <c r="I46" s="39">
        <v>3</v>
      </c>
      <c r="J46">
        <f t="shared" si="3"/>
        <v>2</v>
      </c>
    </row>
    <row r="47" spans="1:10" x14ac:dyDescent="0.25">
      <c r="A47" s="16" t="s">
        <v>59</v>
      </c>
      <c r="B47" s="14">
        <v>35989</v>
      </c>
      <c r="C47" s="31">
        <f>YEAR(Table1[[#This Row],[Tanggal Lahir]])</f>
        <v>1998</v>
      </c>
      <c r="D47" s="15">
        <f t="shared" si="0"/>
        <v>24.202777777777779</v>
      </c>
      <c r="E47" s="12" t="s">
        <v>10</v>
      </c>
      <c r="F47" s="14">
        <v>43935</v>
      </c>
      <c r="G47" s="13">
        <f t="shared" si="1"/>
        <v>2020</v>
      </c>
      <c r="H47" s="30">
        <f t="shared" si="2"/>
        <v>6800000</v>
      </c>
      <c r="I47" s="39">
        <v>6</v>
      </c>
      <c r="J47">
        <f t="shared" si="3"/>
        <v>2</v>
      </c>
    </row>
    <row r="48" spans="1:10" x14ac:dyDescent="0.25">
      <c r="A48" s="16" t="s">
        <v>60</v>
      </c>
      <c r="B48" s="14">
        <v>37610</v>
      </c>
      <c r="C48" s="31">
        <f>YEAR(Table1[[#This Row],[Tanggal Lahir]])</f>
        <v>2002</v>
      </c>
      <c r="D48" s="15">
        <f t="shared" si="0"/>
        <v>19.766666666666666</v>
      </c>
      <c r="E48" s="12" t="s">
        <v>61</v>
      </c>
      <c r="F48" s="14">
        <v>41295</v>
      </c>
      <c r="G48" s="13">
        <f t="shared" si="1"/>
        <v>2013</v>
      </c>
      <c r="H48" s="30">
        <f t="shared" si="2"/>
        <v>13000000</v>
      </c>
      <c r="I48" s="39">
        <v>5</v>
      </c>
      <c r="J48">
        <f t="shared" si="3"/>
        <v>2</v>
      </c>
    </row>
    <row r="49" spans="1:10" x14ac:dyDescent="0.25">
      <c r="A49" s="16" t="s">
        <v>62</v>
      </c>
      <c r="B49" s="14">
        <v>35880</v>
      </c>
      <c r="C49" s="31">
        <f>YEAR(Table1[[#This Row],[Tanggal Lahir]])</f>
        <v>1998</v>
      </c>
      <c r="D49" s="15">
        <f t="shared" si="0"/>
        <v>24.5</v>
      </c>
      <c r="E49" s="12" t="s">
        <v>14</v>
      </c>
      <c r="F49" s="14">
        <v>39679</v>
      </c>
      <c r="G49" s="13">
        <f t="shared" si="1"/>
        <v>2008</v>
      </c>
      <c r="H49" s="30">
        <f t="shared" si="2"/>
        <v>18000000</v>
      </c>
      <c r="I49" s="39">
        <v>1</v>
      </c>
      <c r="J49">
        <f t="shared" si="3"/>
        <v>3</v>
      </c>
    </row>
    <row r="50" spans="1:10" x14ac:dyDescent="0.25">
      <c r="A50" s="16" t="s">
        <v>63</v>
      </c>
      <c r="B50" s="14">
        <v>35615</v>
      </c>
      <c r="C50" s="31">
        <f>YEAR(Table1[[#This Row],[Tanggal Lahir]])</f>
        <v>1997</v>
      </c>
      <c r="D50" s="15">
        <f t="shared" si="0"/>
        <v>25.227777777777778</v>
      </c>
      <c r="E50" s="12" t="s">
        <v>14</v>
      </c>
      <c r="F50" s="14">
        <v>41262</v>
      </c>
      <c r="G50" s="13">
        <f t="shared" si="1"/>
        <v>2012</v>
      </c>
      <c r="H50" s="30">
        <f t="shared" si="2"/>
        <v>13000000</v>
      </c>
      <c r="I50" s="39">
        <v>6</v>
      </c>
      <c r="J50">
        <f t="shared" si="3"/>
        <v>2</v>
      </c>
    </row>
    <row r="51" spans="1:10" x14ac:dyDescent="0.25">
      <c r="A51" s="16" t="s">
        <v>64</v>
      </c>
      <c r="B51" s="14">
        <v>35741</v>
      </c>
      <c r="C51" s="31">
        <f>YEAR(Table1[[#This Row],[Tanggal Lahir]])</f>
        <v>1997</v>
      </c>
      <c r="D51" s="15">
        <f t="shared" si="0"/>
        <v>24.886111111111113</v>
      </c>
      <c r="E51" s="12" t="s">
        <v>10</v>
      </c>
      <c r="F51" s="14">
        <v>43634</v>
      </c>
      <c r="G51" s="13">
        <f t="shared" si="1"/>
        <v>2019</v>
      </c>
      <c r="H51" s="30">
        <f t="shared" si="2"/>
        <v>9000000</v>
      </c>
      <c r="I51" s="39">
        <v>1</v>
      </c>
      <c r="J51">
        <f t="shared" si="3"/>
        <v>2</v>
      </c>
    </row>
    <row r="52" spans="1:10" x14ac:dyDescent="0.25">
      <c r="A52" s="16" t="s">
        <v>65</v>
      </c>
      <c r="B52" s="14">
        <v>37679</v>
      </c>
      <c r="C52" s="31">
        <f>YEAR(Table1[[#This Row],[Tanggal Lahir]])</f>
        <v>2003</v>
      </c>
      <c r="D52" s="15">
        <f t="shared" si="0"/>
        <v>19.580555555555556</v>
      </c>
      <c r="E52" s="12" t="s">
        <v>10</v>
      </c>
      <c r="F52" s="14">
        <v>39402</v>
      </c>
      <c r="G52" s="13">
        <f t="shared" si="1"/>
        <v>2007</v>
      </c>
      <c r="H52" s="30">
        <f t="shared" si="2"/>
        <v>18000000</v>
      </c>
      <c r="I52" s="39">
        <v>2</v>
      </c>
      <c r="J52">
        <f t="shared" si="3"/>
        <v>2</v>
      </c>
    </row>
    <row r="53" spans="1:10" x14ac:dyDescent="0.25">
      <c r="A53" s="16" t="s">
        <v>66</v>
      </c>
      <c r="B53" s="14">
        <v>34893</v>
      </c>
      <c r="C53" s="31">
        <f>YEAR(Table1[[#This Row],[Tanggal Lahir]])</f>
        <v>1995</v>
      </c>
      <c r="D53" s="15">
        <f t="shared" si="0"/>
        <v>27.202777777777779</v>
      </c>
      <c r="E53" s="12" t="s">
        <v>7</v>
      </c>
      <c r="F53" s="14">
        <v>41456</v>
      </c>
      <c r="G53" s="13">
        <f t="shared" si="1"/>
        <v>2013</v>
      </c>
      <c r="H53" s="30">
        <f t="shared" si="2"/>
        <v>13000000</v>
      </c>
      <c r="I53" s="39">
        <v>6</v>
      </c>
      <c r="J53">
        <f t="shared" si="3"/>
        <v>2</v>
      </c>
    </row>
    <row r="54" spans="1:10" x14ac:dyDescent="0.25">
      <c r="A54" s="16" t="s">
        <v>67</v>
      </c>
      <c r="B54" s="14">
        <v>36374</v>
      </c>
      <c r="C54" s="31">
        <f>YEAR(Table1[[#This Row],[Tanggal Lahir]])</f>
        <v>1999</v>
      </c>
      <c r="D54" s="15">
        <f t="shared" si="0"/>
        <v>23.15</v>
      </c>
      <c r="E54" s="12" t="s">
        <v>7</v>
      </c>
      <c r="F54" s="14">
        <v>40232</v>
      </c>
      <c r="G54" s="13">
        <f t="shared" si="1"/>
        <v>2010</v>
      </c>
      <c r="H54" s="30">
        <f t="shared" si="2"/>
        <v>13000000</v>
      </c>
      <c r="I54" s="39">
        <v>2</v>
      </c>
      <c r="J54">
        <f t="shared" si="3"/>
        <v>2</v>
      </c>
    </row>
    <row r="55" spans="1:10" x14ac:dyDescent="0.25">
      <c r="A55" s="16" t="s">
        <v>68</v>
      </c>
      <c r="B55" s="14">
        <v>36152</v>
      </c>
      <c r="C55" s="31">
        <f>YEAR(Table1[[#This Row],[Tanggal Lahir]])</f>
        <v>1998</v>
      </c>
      <c r="D55" s="15">
        <f t="shared" si="0"/>
        <v>23.758333333333333</v>
      </c>
      <c r="E55" s="12" t="s">
        <v>10</v>
      </c>
      <c r="F55" s="14">
        <v>43391</v>
      </c>
      <c r="G55" s="13">
        <f t="shared" si="1"/>
        <v>2018</v>
      </c>
      <c r="H55" s="30">
        <f t="shared" si="2"/>
        <v>9000000</v>
      </c>
      <c r="I55" s="39">
        <v>2</v>
      </c>
      <c r="J55">
        <f t="shared" si="3"/>
        <v>2</v>
      </c>
    </row>
    <row r="56" spans="1:10" x14ac:dyDescent="0.25">
      <c r="A56" s="16" t="s">
        <v>69</v>
      </c>
      <c r="B56" s="14">
        <v>36386</v>
      </c>
      <c r="C56" s="31">
        <f>YEAR(Table1[[#This Row],[Tanggal Lahir]])</f>
        <v>1999</v>
      </c>
      <c r="D56" s="15">
        <f t="shared" si="0"/>
        <v>23.116666666666667</v>
      </c>
      <c r="E56" s="12" t="s">
        <v>14</v>
      </c>
      <c r="F56" s="14">
        <v>40213</v>
      </c>
      <c r="G56" s="13">
        <f t="shared" si="1"/>
        <v>2010</v>
      </c>
      <c r="H56" s="30">
        <f t="shared" si="2"/>
        <v>13000000</v>
      </c>
      <c r="I56" s="39">
        <v>4</v>
      </c>
      <c r="J56">
        <f t="shared" si="3"/>
        <v>2</v>
      </c>
    </row>
    <row r="57" spans="1:10" x14ac:dyDescent="0.25">
      <c r="A57" s="16" t="s">
        <v>70</v>
      </c>
      <c r="B57" s="14">
        <v>35068</v>
      </c>
      <c r="C57" s="31">
        <f>YEAR(Table1[[#This Row],[Tanggal Lahir]])</f>
        <v>1996</v>
      </c>
      <c r="D57" s="15">
        <f t="shared" si="0"/>
        <v>26.727777777777778</v>
      </c>
      <c r="E57" s="12" t="s">
        <v>10</v>
      </c>
      <c r="F57" s="14">
        <v>41797</v>
      </c>
      <c r="G57" s="13">
        <f t="shared" si="1"/>
        <v>2014</v>
      </c>
      <c r="H57" s="30">
        <f t="shared" si="2"/>
        <v>9000000</v>
      </c>
      <c r="I57" s="39">
        <v>3</v>
      </c>
      <c r="J57">
        <f t="shared" si="3"/>
        <v>2</v>
      </c>
    </row>
    <row r="58" spans="1:10" x14ac:dyDescent="0.25">
      <c r="A58" s="16" t="s">
        <v>71</v>
      </c>
      <c r="B58" s="14">
        <v>35329</v>
      </c>
      <c r="C58" s="31">
        <f>YEAR(Table1[[#This Row],[Tanggal Lahir]])</f>
        <v>1996</v>
      </c>
      <c r="D58" s="15">
        <f t="shared" si="0"/>
        <v>26.013888888888889</v>
      </c>
      <c r="E58" s="12" t="s">
        <v>10</v>
      </c>
      <c r="F58" s="14">
        <v>40401</v>
      </c>
      <c r="G58" s="13">
        <f t="shared" si="1"/>
        <v>2010</v>
      </c>
      <c r="H58" s="30">
        <f t="shared" si="2"/>
        <v>13000000</v>
      </c>
      <c r="I58" s="39">
        <v>5</v>
      </c>
      <c r="J58">
        <f t="shared" si="3"/>
        <v>2</v>
      </c>
    </row>
    <row r="59" spans="1:10" x14ac:dyDescent="0.25">
      <c r="A59" s="16" t="s">
        <v>72</v>
      </c>
      <c r="B59" s="14">
        <v>37070</v>
      </c>
      <c r="C59" s="31">
        <f>YEAR(Table1[[#This Row],[Tanggal Lahir]])</f>
        <v>2001</v>
      </c>
      <c r="D59" s="15">
        <f t="shared" si="0"/>
        <v>21.244444444444444</v>
      </c>
      <c r="E59" s="12" t="s">
        <v>7</v>
      </c>
      <c r="F59" s="14">
        <v>42580</v>
      </c>
      <c r="G59" s="13">
        <f t="shared" si="1"/>
        <v>2016</v>
      </c>
      <c r="H59" s="30">
        <f t="shared" si="2"/>
        <v>9000000</v>
      </c>
      <c r="I59" s="39">
        <v>3</v>
      </c>
      <c r="J59">
        <f t="shared" si="3"/>
        <v>2</v>
      </c>
    </row>
    <row r="60" spans="1:10" x14ac:dyDescent="0.25">
      <c r="A60" s="16" t="s">
        <v>73</v>
      </c>
      <c r="B60" s="14">
        <v>37717</v>
      </c>
      <c r="C60" s="31">
        <f>YEAR(Table1[[#This Row],[Tanggal Lahir]])</f>
        <v>2003</v>
      </c>
      <c r="D60" s="15">
        <f t="shared" si="0"/>
        <v>19.472222222222221</v>
      </c>
      <c r="E60" s="12" t="s">
        <v>10</v>
      </c>
      <c r="F60" s="14">
        <v>40308</v>
      </c>
      <c r="G60" s="13">
        <f t="shared" si="1"/>
        <v>2010</v>
      </c>
      <c r="H60" s="30">
        <f t="shared" si="2"/>
        <v>13000000</v>
      </c>
      <c r="I60" s="39">
        <v>3</v>
      </c>
      <c r="J60">
        <f t="shared" si="3"/>
        <v>2</v>
      </c>
    </row>
    <row r="61" spans="1:10" x14ac:dyDescent="0.25">
      <c r="A61" s="16" t="s">
        <v>74</v>
      </c>
      <c r="B61" s="14">
        <v>37619</v>
      </c>
      <c r="C61" s="31">
        <f>YEAR(Table1[[#This Row],[Tanggal Lahir]])</f>
        <v>2002</v>
      </c>
      <c r="D61" s="15">
        <f t="shared" si="0"/>
        <v>19.741666666666667</v>
      </c>
      <c r="E61" s="12" t="s">
        <v>14</v>
      </c>
      <c r="F61" s="14">
        <v>43665</v>
      </c>
      <c r="G61" s="13">
        <f t="shared" si="1"/>
        <v>2019</v>
      </c>
      <c r="H61" s="30">
        <f t="shared" si="2"/>
        <v>9000000</v>
      </c>
      <c r="I61" s="39">
        <v>4</v>
      </c>
      <c r="J61">
        <f t="shared" si="3"/>
        <v>2</v>
      </c>
    </row>
    <row r="62" spans="1:10" x14ac:dyDescent="0.25">
      <c r="A62" s="16" t="s">
        <v>75</v>
      </c>
      <c r="B62" s="14">
        <v>35986</v>
      </c>
      <c r="C62" s="31">
        <f>YEAR(Table1[[#This Row],[Tanggal Lahir]])</f>
        <v>1998</v>
      </c>
      <c r="D62" s="15">
        <f t="shared" si="0"/>
        <v>24.211111111111112</v>
      </c>
      <c r="E62" s="12" t="s">
        <v>10</v>
      </c>
      <c r="F62" s="14">
        <v>44231</v>
      </c>
      <c r="G62" s="13">
        <f t="shared" si="1"/>
        <v>2021</v>
      </c>
      <c r="H62" s="30">
        <f t="shared" si="2"/>
        <v>6800000</v>
      </c>
      <c r="I62" s="39">
        <v>4</v>
      </c>
      <c r="J62">
        <f t="shared" si="3"/>
        <v>2</v>
      </c>
    </row>
    <row r="63" spans="1:10" x14ac:dyDescent="0.25">
      <c r="A63" s="16" t="s">
        <v>76</v>
      </c>
      <c r="B63" s="14">
        <v>36726</v>
      </c>
      <c r="C63" s="31">
        <f>YEAR(Table1[[#This Row],[Tanggal Lahir]])</f>
        <v>2000</v>
      </c>
      <c r="D63" s="15">
        <f t="shared" si="0"/>
        <v>22.18611111111111</v>
      </c>
      <c r="E63" s="12" t="s">
        <v>10</v>
      </c>
      <c r="F63" s="14">
        <v>40405</v>
      </c>
      <c r="G63" s="13">
        <f t="shared" si="1"/>
        <v>2010</v>
      </c>
      <c r="H63" s="30">
        <f t="shared" si="2"/>
        <v>13000000</v>
      </c>
      <c r="I63" s="39">
        <v>2</v>
      </c>
      <c r="J63">
        <f t="shared" si="3"/>
        <v>2</v>
      </c>
    </row>
    <row r="64" spans="1:10" x14ac:dyDescent="0.25">
      <c r="A64" s="16" t="s">
        <v>77</v>
      </c>
      <c r="B64" s="14">
        <v>36708</v>
      </c>
      <c r="C64" s="31">
        <f>YEAR(Table1[[#This Row],[Tanggal Lahir]])</f>
        <v>2000</v>
      </c>
      <c r="D64" s="15">
        <f t="shared" si="0"/>
        <v>22.236111111111111</v>
      </c>
      <c r="E64" s="12" t="s">
        <v>14</v>
      </c>
      <c r="F64" s="14">
        <v>43706</v>
      </c>
      <c r="G64" s="13">
        <f t="shared" si="1"/>
        <v>2019</v>
      </c>
      <c r="H64" s="30">
        <f t="shared" si="2"/>
        <v>9000000</v>
      </c>
      <c r="I64" s="39">
        <v>3</v>
      </c>
      <c r="J64">
        <f t="shared" si="3"/>
        <v>2</v>
      </c>
    </row>
    <row r="65" spans="1:10" x14ac:dyDescent="0.25">
      <c r="A65" s="16" t="s">
        <v>78</v>
      </c>
      <c r="B65" s="14">
        <v>37784</v>
      </c>
      <c r="C65" s="31">
        <f>YEAR(Table1[[#This Row],[Tanggal Lahir]])</f>
        <v>2003</v>
      </c>
      <c r="D65" s="15">
        <f t="shared" si="0"/>
        <v>19.288888888888888</v>
      </c>
      <c r="E65" s="12" t="s">
        <v>79</v>
      </c>
      <c r="F65" s="14">
        <v>39984</v>
      </c>
      <c r="G65" s="13">
        <f t="shared" si="1"/>
        <v>2009</v>
      </c>
      <c r="H65" s="30">
        <f t="shared" si="2"/>
        <v>13000000</v>
      </c>
      <c r="I65" s="39">
        <v>1</v>
      </c>
      <c r="J65">
        <f t="shared" si="3"/>
        <v>2</v>
      </c>
    </row>
    <row r="66" spans="1:10" x14ac:dyDescent="0.25">
      <c r="A66" s="16" t="s">
        <v>80</v>
      </c>
      <c r="B66" s="14">
        <v>37518</v>
      </c>
      <c r="C66" s="31">
        <f>YEAR(Table1[[#This Row],[Tanggal Lahir]])</f>
        <v>2002</v>
      </c>
      <c r="D66" s="15">
        <f t="shared" ref="D66:D129" si="4">YEARFRAC(B66,$L$2)</f>
        <v>20.019444444444446</v>
      </c>
      <c r="E66" s="12" t="s">
        <v>10</v>
      </c>
      <c r="F66" s="14">
        <v>41577</v>
      </c>
      <c r="G66" s="13">
        <f t="shared" ref="G66:G129" si="5">YEAR(F66)</f>
        <v>2013</v>
      </c>
      <c r="H66" s="30">
        <f t="shared" ref="H66:H129" si="6">IF(G66&lt;= 2008,18000000,IF(AND(G66&gt;=2009,G66&lt;=2013),13000000,IF(AND(G66&gt;=2014,G66&lt;=2019),9000000,6800000)))</f>
        <v>13000000</v>
      </c>
      <c r="I66" s="39">
        <v>2</v>
      </c>
      <c r="J66">
        <f t="shared" ref="J66:J129" si="7">SUM(LEN(A66)-LEN(SUBSTITUTE(A66," ",""))+1)</f>
        <v>2</v>
      </c>
    </row>
    <row r="67" spans="1:10" x14ac:dyDescent="0.25">
      <c r="A67" s="16" t="s">
        <v>81</v>
      </c>
      <c r="B67" s="14">
        <v>36008</v>
      </c>
      <c r="C67" s="31">
        <f>YEAR(Table1[[#This Row],[Tanggal Lahir]])</f>
        <v>1998</v>
      </c>
      <c r="D67" s="15">
        <f t="shared" si="4"/>
        <v>24.152777777777779</v>
      </c>
      <c r="E67" s="12" t="s">
        <v>7</v>
      </c>
      <c r="F67" s="14">
        <v>42097</v>
      </c>
      <c r="G67" s="13">
        <f t="shared" si="5"/>
        <v>2015</v>
      </c>
      <c r="H67" s="30">
        <f t="shared" si="6"/>
        <v>9000000</v>
      </c>
      <c r="I67" s="39">
        <v>5</v>
      </c>
      <c r="J67">
        <f t="shared" si="7"/>
        <v>2</v>
      </c>
    </row>
    <row r="68" spans="1:10" x14ac:dyDescent="0.25">
      <c r="A68" s="16" t="s">
        <v>82</v>
      </c>
      <c r="B68" s="14">
        <v>36578</v>
      </c>
      <c r="C68" s="31">
        <f>YEAR(Table1[[#This Row],[Tanggal Lahir]])</f>
        <v>2000</v>
      </c>
      <c r="D68" s="15">
        <f t="shared" si="4"/>
        <v>22.594444444444445</v>
      </c>
      <c r="E68" s="12" t="s">
        <v>83</v>
      </c>
      <c r="F68" s="14">
        <v>39418</v>
      </c>
      <c r="G68" s="13">
        <f t="shared" si="5"/>
        <v>2007</v>
      </c>
      <c r="H68" s="30">
        <f t="shared" si="6"/>
        <v>18000000</v>
      </c>
      <c r="I68" s="39">
        <v>3</v>
      </c>
      <c r="J68">
        <f t="shared" si="7"/>
        <v>2</v>
      </c>
    </row>
    <row r="69" spans="1:10" x14ac:dyDescent="0.25">
      <c r="A69" s="16" t="s">
        <v>84</v>
      </c>
      <c r="B69" s="14">
        <v>35548</v>
      </c>
      <c r="C69" s="31">
        <f>YEAR(Table1[[#This Row],[Tanggal Lahir]])</f>
        <v>1997</v>
      </c>
      <c r="D69" s="15">
        <f t="shared" si="4"/>
        <v>25.411111111111111</v>
      </c>
      <c r="E69" s="12" t="s">
        <v>10</v>
      </c>
      <c r="F69" s="14">
        <v>38490</v>
      </c>
      <c r="G69" s="13">
        <f t="shared" si="5"/>
        <v>2005</v>
      </c>
      <c r="H69" s="30">
        <f t="shared" si="6"/>
        <v>18000000</v>
      </c>
      <c r="I69" s="39">
        <v>6</v>
      </c>
      <c r="J69">
        <f t="shared" si="7"/>
        <v>2</v>
      </c>
    </row>
    <row r="70" spans="1:10" x14ac:dyDescent="0.25">
      <c r="A70" s="16" t="s">
        <v>85</v>
      </c>
      <c r="B70" s="14">
        <v>37924</v>
      </c>
      <c r="C70" s="31">
        <f>YEAR(Table1[[#This Row],[Tanggal Lahir]])</f>
        <v>2003</v>
      </c>
      <c r="D70" s="15">
        <f t="shared" si="4"/>
        <v>18.905555555555555</v>
      </c>
      <c r="E70" s="12" t="s">
        <v>14</v>
      </c>
      <c r="F70" s="14">
        <v>43884</v>
      </c>
      <c r="G70" s="13">
        <f t="shared" si="5"/>
        <v>2020</v>
      </c>
      <c r="H70" s="30">
        <f t="shared" si="6"/>
        <v>6800000</v>
      </c>
      <c r="I70" s="39">
        <v>2</v>
      </c>
      <c r="J70">
        <f t="shared" si="7"/>
        <v>2</v>
      </c>
    </row>
    <row r="71" spans="1:10" x14ac:dyDescent="0.25">
      <c r="A71" s="16" t="s">
        <v>86</v>
      </c>
      <c r="B71" s="14">
        <v>35746</v>
      </c>
      <c r="C71" s="31">
        <f>YEAR(Table1[[#This Row],[Tanggal Lahir]])</f>
        <v>1997</v>
      </c>
      <c r="D71" s="15">
        <f t="shared" si="4"/>
        <v>24.872222222222224</v>
      </c>
      <c r="E71" s="12" t="s">
        <v>10</v>
      </c>
      <c r="F71" s="14">
        <v>38871</v>
      </c>
      <c r="G71" s="13">
        <f t="shared" si="5"/>
        <v>2006</v>
      </c>
      <c r="H71" s="30">
        <f t="shared" si="6"/>
        <v>18000000</v>
      </c>
      <c r="I71" s="39">
        <v>4</v>
      </c>
      <c r="J71">
        <f t="shared" si="7"/>
        <v>4</v>
      </c>
    </row>
    <row r="72" spans="1:10" x14ac:dyDescent="0.25">
      <c r="A72" s="16" t="s">
        <v>87</v>
      </c>
      <c r="B72" s="14">
        <v>35648</v>
      </c>
      <c r="C72" s="31">
        <f>YEAR(Table1[[#This Row],[Tanggal Lahir]])</f>
        <v>1997</v>
      </c>
      <c r="D72" s="15">
        <f t="shared" si="4"/>
        <v>25.138888888888889</v>
      </c>
      <c r="E72" s="12" t="s">
        <v>10</v>
      </c>
      <c r="F72" s="14">
        <v>38555</v>
      </c>
      <c r="G72" s="13">
        <f t="shared" si="5"/>
        <v>2005</v>
      </c>
      <c r="H72" s="30">
        <f t="shared" si="6"/>
        <v>18000000</v>
      </c>
      <c r="I72" s="39">
        <v>6</v>
      </c>
      <c r="J72">
        <f t="shared" si="7"/>
        <v>2</v>
      </c>
    </row>
    <row r="73" spans="1:10" x14ac:dyDescent="0.25">
      <c r="A73" s="16" t="s">
        <v>88</v>
      </c>
      <c r="B73" s="14">
        <v>37000</v>
      </c>
      <c r="C73" s="31">
        <f>YEAR(Table1[[#This Row],[Tanggal Lahir]])</f>
        <v>2001</v>
      </c>
      <c r="D73" s="15">
        <f t="shared" si="4"/>
        <v>21.43611111111111</v>
      </c>
      <c r="E73" s="12" t="s">
        <v>10</v>
      </c>
      <c r="F73" s="14">
        <v>43522</v>
      </c>
      <c r="G73" s="13">
        <f t="shared" si="5"/>
        <v>2019</v>
      </c>
      <c r="H73" s="30">
        <f t="shared" si="6"/>
        <v>9000000</v>
      </c>
      <c r="I73" s="39">
        <v>2</v>
      </c>
      <c r="J73">
        <f t="shared" si="7"/>
        <v>2</v>
      </c>
    </row>
    <row r="74" spans="1:10" x14ac:dyDescent="0.25">
      <c r="A74" s="16" t="s">
        <v>89</v>
      </c>
      <c r="B74" s="14">
        <v>34961</v>
      </c>
      <c r="C74" s="31">
        <f>YEAR(Table1[[#This Row],[Tanggal Lahir]])</f>
        <v>1995</v>
      </c>
      <c r="D74" s="15">
        <f t="shared" si="4"/>
        <v>27.019444444444446</v>
      </c>
      <c r="E74" s="12" t="s">
        <v>90</v>
      </c>
      <c r="F74" s="14">
        <v>43191</v>
      </c>
      <c r="G74" s="13">
        <f t="shared" si="5"/>
        <v>2018</v>
      </c>
      <c r="H74" s="30">
        <f t="shared" si="6"/>
        <v>9000000</v>
      </c>
      <c r="I74" s="39">
        <v>2</v>
      </c>
      <c r="J74">
        <f t="shared" si="7"/>
        <v>2</v>
      </c>
    </row>
    <row r="75" spans="1:10" x14ac:dyDescent="0.25">
      <c r="A75" s="16" t="s">
        <v>91</v>
      </c>
      <c r="B75" s="14">
        <v>37333</v>
      </c>
      <c r="C75" s="31">
        <f>YEAR(Table1[[#This Row],[Tanggal Lahir]])</f>
        <v>2002</v>
      </c>
      <c r="D75" s="15">
        <f t="shared" si="4"/>
        <v>20.522222222222222</v>
      </c>
      <c r="E75" s="12" t="s">
        <v>7</v>
      </c>
      <c r="F75" s="14">
        <v>43371</v>
      </c>
      <c r="G75" s="13">
        <f t="shared" si="5"/>
        <v>2018</v>
      </c>
      <c r="H75" s="30">
        <f t="shared" si="6"/>
        <v>9000000</v>
      </c>
      <c r="I75" s="39">
        <v>3</v>
      </c>
      <c r="J75">
        <f t="shared" si="7"/>
        <v>2</v>
      </c>
    </row>
    <row r="76" spans="1:10" x14ac:dyDescent="0.25">
      <c r="A76" s="16" t="s">
        <v>92</v>
      </c>
      <c r="B76" s="14">
        <v>35759</v>
      </c>
      <c r="C76" s="31">
        <f>YEAR(Table1[[#This Row],[Tanggal Lahir]])</f>
        <v>1997</v>
      </c>
      <c r="D76" s="15">
        <f t="shared" si="4"/>
        <v>24.836111111111112</v>
      </c>
      <c r="E76" s="12" t="s">
        <v>10</v>
      </c>
      <c r="F76" s="14">
        <v>38671</v>
      </c>
      <c r="G76" s="13">
        <f t="shared" si="5"/>
        <v>2005</v>
      </c>
      <c r="H76" s="30">
        <f t="shared" si="6"/>
        <v>18000000</v>
      </c>
      <c r="I76" s="39">
        <v>2</v>
      </c>
      <c r="J76">
        <f t="shared" si="7"/>
        <v>2</v>
      </c>
    </row>
    <row r="77" spans="1:10" x14ac:dyDescent="0.25">
      <c r="A77" s="16" t="s">
        <v>93</v>
      </c>
      <c r="B77" s="14">
        <v>36887</v>
      </c>
      <c r="C77" s="31">
        <f>YEAR(Table1[[#This Row],[Tanggal Lahir]])</f>
        <v>2000</v>
      </c>
      <c r="D77" s="15">
        <f t="shared" si="4"/>
        <v>21.747222222222224</v>
      </c>
      <c r="E77" s="12" t="s">
        <v>10</v>
      </c>
      <c r="F77" s="14">
        <v>42152</v>
      </c>
      <c r="G77" s="13">
        <f t="shared" si="5"/>
        <v>2015</v>
      </c>
      <c r="H77" s="30">
        <f t="shared" si="6"/>
        <v>9000000</v>
      </c>
      <c r="I77" s="39">
        <v>6</v>
      </c>
      <c r="J77">
        <f t="shared" si="7"/>
        <v>3</v>
      </c>
    </row>
    <row r="78" spans="1:10" x14ac:dyDescent="0.25">
      <c r="A78" s="16" t="s">
        <v>94</v>
      </c>
      <c r="B78" s="14">
        <v>35587</v>
      </c>
      <c r="C78" s="31">
        <f>YEAR(Table1[[#This Row],[Tanggal Lahir]])</f>
        <v>1997</v>
      </c>
      <c r="D78" s="15">
        <f t="shared" si="4"/>
        <v>25.305555555555557</v>
      </c>
      <c r="E78" s="12" t="s">
        <v>7</v>
      </c>
      <c r="F78" s="14">
        <v>44331</v>
      </c>
      <c r="G78" s="13">
        <f t="shared" si="5"/>
        <v>2021</v>
      </c>
      <c r="H78" s="30">
        <f t="shared" si="6"/>
        <v>6800000</v>
      </c>
      <c r="I78" s="39">
        <v>5</v>
      </c>
      <c r="J78">
        <f t="shared" si="7"/>
        <v>3</v>
      </c>
    </row>
    <row r="79" spans="1:10" x14ac:dyDescent="0.25">
      <c r="A79" s="16" t="s">
        <v>95</v>
      </c>
      <c r="B79" s="14">
        <v>34991</v>
      </c>
      <c r="C79" s="31">
        <f>YEAR(Table1[[#This Row],[Tanggal Lahir]])</f>
        <v>1995</v>
      </c>
      <c r="D79" s="15">
        <f t="shared" si="4"/>
        <v>26.93611111111111</v>
      </c>
      <c r="E79" s="12" t="s">
        <v>10</v>
      </c>
      <c r="F79" s="14">
        <v>39360</v>
      </c>
      <c r="G79" s="13">
        <f t="shared" si="5"/>
        <v>2007</v>
      </c>
      <c r="H79" s="30">
        <f t="shared" si="6"/>
        <v>18000000</v>
      </c>
      <c r="I79" s="39">
        <v>5</v>
      </c>
      <c r="J79">
        <f t="shared" si="7"/>
        <v>2</v>
      </c>
    </row>
    <row r="80" spans="1:10" x14ac:dyDescent="0.25">
      <c r="A80" s="16" t="s">
        <v>96</v>
      </c>
      <c r="B80" s="14">
        <v>35222</v>
      </c>
      <c r="C80" s="31">
        <f>YEAR(Table1[[#This Row],[Tanggal Lahir]])</f>
        <v>1996</v>
      </c>
      <c r="D80" s="15">
        <f t="shared" si="4"/>
        <v>26.305555555555557</v>
      </c>
      <c r="E80" s="12" t="s">
        <v>7</v>
      </c>
      <c r="F80" s="14">
        <v>44104</v>
      </c>
      <c r="G80" s="13">
        <f t="shared" si="5"/>
        <v>2020</v>
      </c>
      <c r="H80" s="30">
        <f t="shared" si="6"/>
        <v>6800000</v>
      </c>
      <c r="I80" s="39">
        <v>5</v>
      </c>
      <c r="J80">
        <f t="shared" si="7"/>
        <v>3</v>
      </c>
    </row>
    <row r="81" spans="1:10" x14ac:dyDescent="0.25">
      <c r="A81" s="16" t="s">
        <v>97</v>
      </c>
      <c r="B81" s="14">
        <v>35387</v>
      </c>
      <c r="C81" s="31">
        <f>YEAR(Table1[[#This Row],[Tanggal Lahir]])</f>
        <v>1996</v>
      </c>
      <c r="D81" s="15">
        <f t="shared" si="4"/>
        <v>25.855555555555554</v>
      </c>
      <c r="E81" s="12" t="s">
        <v>10</v>
      </c>
      <c r="F81" s="14">
        <v>40966</v>
      </c>
      <c r="G81" s="13">
        <f t="shared" si="5"/>
        <v>2012</v>
      </c>
      <c r="H81" s="30">
        <f t="shared" si="6"/>
        <v>13000000</v>
      </c>
      <c r="I81" s="39">
        <v>6</v>
      </c>
      <c r="J81">
        <f t="shared" si="7"/>
        <v>3</v>
      </c>
    </row>
    <row r="82" spans="1:10" x14ac:dyDescent="0.25">
      <c r="A82" s="16" t="s">
        <v>98</v>
      </c>
      <c r="B82" s="14">
        <v>37395</v>
      </c>
      <c r="C82" s="31">
        <f>YEAR(Table1[[#This Row],[Tanggal Lahir]])</f>
        <v>2002</v>
      </c>
      <c r="D82" s="15">
        <f t="shared" si="4"/>
        <v>20.352777777777778</v>
      </c>
      <c r="E82" s="12" t="s">
        <v>10</v>
      </c>
      <c r="F82" s="14">
        <v>39977</v>
      </c>
      <c r="G82" s="13">
        <f t="shared" si="5"/>
        <v>2009</v>
      </c>
      <c r="H82" s="30">
        <f t="shared" si="6"/>
        <v>13000000</v>
      </c>
      <c r="I82" s="39">
        <v>5</v>
      </c>
      <c r="J82">
        <f t="shared" si="7"/>
        <v>2</v>
      </c>
    </row>
    <row r="83" spans="1:10" x14ac:dyDescent="0.25">
      <c r="A83" s="16" t="s">
        <v>99</v>
      </c>
      <c r="B83" s="14">
        <v>35472</v>
      </c>
      <c r="C83" s="31">
        <f>YEAR(Table1[[#This Row],[Tanggal Lahir]])</f>
        <v>1997</v>
      </c>
      <c r="D83" s="15">
        <f t="shared" si="4"/>
        <v>25.625</v>
      </c>
      <c r="E83" s="12" t="s">
        <v>10</v>
      </c>
      <c r="F83" s="14">
        <v>41698</v>
      </c>
      <c r="G83" s="13">
        <f t="shared" si="5"/>
        <v>2014</v>
      </c>
      <c r="H83" s="30">
        <f t="shared" si="6"/>
        <v>9000000</v>
      </c>
      <c r="I83" s="39">
        <v>4</v>
      </c>
      <c r="J83">
        <f t="shared" si="7"/>
        <v>3</v>
      </c>
    </row>
    <row r="84" spans="1:10" x14ac:dyDescent="0.25">
      <c r="A84" s="16" t="s">
        <v>100</v>
      </c>
      <c r="B84" s="14">
        <v>36211</v>
      </c>
      <c r="C84" s="31">
        <f>YEAR(Table1[[#This Row],[Tanggal Lahir]])</f>
        <v>1999</v>
      </c>
      <c r="D84" s="15">
        <f t="shared" si="4"/>
        <v>23.6</v>
      </c>
      <c r="E84" s="12" t="s">
        <v>10</v>
      </c>
      <c r="F84" s="14">
        <v>42202</v>
      </c>
      <c r="G84" s="13">
        <f t="shared" si="5"/>
        <v>2015</v>
      </c>
      <c r="H84" s="30">
        <f t="shared" si="6"/>
        <v>9000000</v>
      </c>
      <c r="I84" s="39">
        <v>4</v>
      </c>
      <c r="J84">
        <f t="shared" si="7"/>
        <v>2</v>
      </c>
    </row>
    <row r="85" spans="1:10" x14ac:dyDescent="0.25">
      <c r="A85" s="16" t="s">
        <v>101</v>
      </c>
      <c r="B85" s="14">
        <v>34932</v>
      </c>
      <c r="C85" s="31">
        <f>YEAR(Table1[[#This Row],[Tanggal Lahir]])</f>
        <v>1995</v>
      </c>
      <c r="D85" s="15">
        <f t="shared" si="4"/>
        <v>27.097222222222221</v>
      </c>
      <c r="E85" s="12" t="s">
        <v>10</v>
      </c>
      <c r="F85" s="14">
        <v>39839</v>
      </c>
      <c r="G85" s="13">
        <f t="shared" si="5"/>
        <v>2009</v>
      </c>
      <c r="H85" s="30">
        <f t="shared" si="6"/>
        <v>13000000</v>
      </c>
      <c r="I85" s="39">
        <v>1</v>
      </c>
      <c r="J85">
        <f t="shared" si="7"/>
        <v>2</v>
      </c>
    </row>
    <row r="86" spans="1:10" x14ac:dyDescent="0.25">
      <c r="A86" s="16" t="s">
        <v>102</v>
      </c>
      <c r="B86" s="14">
        <v>35051</v>
      </c>
      <c r="C86" s="31">
        <f>YEAR(Table1[[#This Row],[Tanggal Lahir]])</f>
        <v>1995</v>
      </c>
      <c r="D86" s="15">
        <f t="shared" si="4"/>
        <v>26.772222222222222</v>
      </c>
      <c r="E86" s="12" t="s">
        <v>10</v>
      </c>
      <c r="F86" s="14">
        <v>40334</v>
      </c>
      <c r="G86" s="13">
        <f t="shared" si="5"/>
        <v>2010</v>
      </c>
      <c r="H86" s="30">
        <f t="shared" si="6"/>
        <v>13000000</v>
      </c>
      <c r="I86" s="39">
        <v>1</v>
      </c>
      <c r="J86">
        <f t="shared" si="7"/>
        <v>2</v>
      </c>
    </row>
    <row r="87" spans="1:10" x14ac:dyDescent="0.25">
      <c r="A87" s="16" t="s">
        <v>103</v>
      </c>
      <c r="B87" s="14">
        <v>35503</v>
      </c>
      <c r="C87" s="31">
        <f>YEAR(Table1[[#This Row],[Tanggal Lahir]])</f>
        <v>1997</v>
      </c>
      <c r="D87" s="15">
        <f t="shared" si="4"/>
        <v>25.533333333333335</v>
      </c>
      <c r="E87" s="12" t="s">
        <v>7</v>
      </c>
      <c r="F87" s="14">
        <v>38394</v>
      </c>
      <c r="G87" s="13">
        <f t="shared" si="5"/>
        <v>2005</v>
      </c>
      <c r="H87" s="30">
        <f t="shared" si="6"/>
        <v>18000000</v>
      </c>
      <c r="I87" s="39">
        <v>2</v>
      </c>
      <c r="J87">
        <f t="shared" si="7"/>
        <v>2</v>
      </c>
    </row>
    <row r="88" spans="1:10" x14ac:dyDescent="0.25">
      <c r="A88" s="16" t="s">
        <v>104</v>
      </c>
      <c r="B88" s="14">
        <v>37801</v>
      </c>
      <c r="C88" s="31">
        <f>YEAR(Table1[[#This Row],[Tanggal Lahir]])</f>
        <v>2003</v>
      </c>
      <c r="D88" s="15">
        <f t="shared" si="4"/>
        <v>19.241666666666667</v>
      </c>
      <c r="E88" s="12" t="s">
        <v>14</v>
      </c>
      <c r="F88" s="14">
        <v>43134</v>
      </c>
      <c r="G88" s="13">
        <f t="shared" si="5"/>
        <v>2018</v>
      </c>
      <c r="H88" s="30">
        <f t="shared" si="6"/>
        <v>9000000</v>
      </c>
      <c r="I88" s="39">
        <v>2</v>
      </c>
      <c r="J88">
        <f t="shared" si="7"/>
        <v>2</v>
      </c>
    </row>
    <row r="89" spans="1:10" x14ac:dyDescent="0.25">
      <c r="A89" s="16" t="s">
        <v>105</v>
      </c>
      <c r="B89" s="14">
        <v>34541</v>
      </c>
      <c r="C89" s="31">
        <f>YEAR(Table1[[#This Row],[Tanggal Lahir]])</f>
        <v>1994</v>
      </c>
      <c r="D89" s="15">
        <f t="shared" si="4"/>
        <v>28.166666666666668</v>
      </c>
      <c r="E89" s="12" t="s">
        <v>10</v>
      </c>
      <c r="F89" s="14">
        <v>39828</v>
      </c>
      <c r="G89" s="13">
        <f t="shared" si="5"/>
        <v>2009</v>
      </c>
      <c r="H89" s="30">
        <f t="shared" si="6"/>
        <v>13000000</v>
      </c>
      <c r="I89" s="39">
        <v>3</v>
      </c>
      <c r="J89">
        <f t="shared" si="7"/>
        <v>2</v>
      </c>
    </row>
    <row r="90" spans="1:10" x14ac:dyDescent="0.25">
      <c r="A90" s="16" t="s">
        <v>106</v>
      </c>
      <c r="B90" s="14">
        <v>35242</v>
      </c>
      <c r="C90" s="31">
        <f>YEAR(Table1[[#This Row],[Tanggal Lahir]])</f>
        <v>1996</v>
      </c>
      <c r="D90" s="15">
        <f t="shared" si="4"/>
        <v>26.25</v>
      </c>
      <c r="E90" s="12" t="s">
        <v>10</v>
      </c>
      <c r="F90" s="14">
        <v>39234</v>
      </c>
      <c r="G90" s="13">
        <f t="shared" si="5"/>
        <v>2007</v>
      </c>
      <c r="H90" s="30">
        <f t="shared" si="6"/>
        <v>18000000</v>
      </c>
      <c r="I90" s="39">
        <v>3</v>
      </c>
      <c r="J90">
        <f t="shared" si="7"/>
        <v>2</v>
      </c>
    </row>
    <row r="91" spans="1:10" x14ac:dyDescent="0.25">
      <c r="A91" s="16" t="s">
        <v>107</v>
      </c>
      <c r="B91" s="14">
        <v>36640</v>
      </c>
      <c r="C91" s="31">
        <f>YEAR(Table1[[#This Row],[Tanggal Lahir]])</f>
        <v>2000</v>
      </c>
      <c r="D91" s="15">
        <f t="shared" si="4"/>
        <v>22.422222222222221</v>
      </c>
      <c r="E91" s="12" t="s">
        <v>10</v>
      </c>
      <c r="F91" s="14">
        <v>43289</v>
      </c>
      <c r="G91" s="13">
        <f t="shared" si="5"/>
        <v>2018</v>
      </c>
      <c r="H91" s="30">
        <f t="shared" si="6"/>
        <v>9000000</v>
      </c>
      <c r="I91" s="39">
        <v>3</v>
      </c>
      <c r="J91">
        <f t="shared" si="7"/>
        <v>2</v>
      </c>
    </row>
    <row r="92" spans="1:10" x14ac:dyDescent="0.25">
      <c r="A92" s="16" t="s">
        <v>108</v>
      </c>
      <c r="B92" s="14">
        <v>36400</v>
      </c>
      <c r="C92" s="31">
        <f>YEAR(Table1[[#This Row],[Tanggal Lahir]])</f>
        <v>1999</v>
      </c>
      <c r="D92" s="15">
        <f t="shared" si="4"/>
        <v>23.077777777777779</v>
      </c>
      <c r="E92" s="12" t="s">
        <v>14</v>
      </c>
      <c r="F92" s="14">
        <v>40200</v>
      </c>
      <c r="G92" s="13">
        <f t="shared" si="5"/>
        <v>2010</v>
      </c>
      <c r="H92" s="30">
        <f t="shared" si="6"/>
        <v>13000000</v>
      </c>
      <c r="I92" s="39">
        <v>5</v>
      </c>
      <c r="J92">
        <f t="shared" si="7"/>
        <v>2</v>
      </c>
    </row>
    <row r="93" spans="1:10" x14ac:dyDescent="0.25">
      <c r="A93" s="16" t="s">
        <v>109</v>
      </c>
      <c r="B93" s="14">
        <v>37674</v>
      </c>
      <c r="C93" s="31">
        <f>YEAR(Table1[[#This Row],[Tanggal Lahir]])</f>
        <v>2003</v>
      </c>
      <c r="D93" s="15">
        <f t="shared" si="4"/>
        <v>19.594444444444445</v>
      </c>
      <c r="E93" s="12" t="s">
        <v>10</v>
      </c>
      <c r="F93" s="14">
        <v>43664</v>
      </c>
      <c r="G93" s="13">
        <f t="shared" si="5"/>
        <v>2019</v>
      </c>
      <c r="H93" s="30">
        <f t="shared" si="6"/>
        <v>9000000</v>
      </c>
      <c r="I93" s="39">
        <v>2</v>
      </c>
      <c r="J93">
        <f t="shared" si="7"/>
        <v>2</v>
      </c>
    </row>
    <row r="94" spans="1:10" x14ac:dyDescent="0.25">
      <c r="A94" s="16" t="s">
        <v>110</v>
      </c>
      <c r="B94" s="14">
        <v>36893</v>
      </c>
      <c r="C94" s="31">
        <f>YEAR(Table1[[#This Row],[Tanggal Lahir]])</f>
        <v>2001</v>
      </c>
      <c r="D94" s="15">
        <f t="shared" si="4"/>
        <v>21.733333333333334</v>
      </c>
      <c r="E94" s="12" t="s">
        <v>10</v>
      </c>
      <c r="F94" s="14">
        <v>42379</v>
      </c>
      <c r="G94" s="13">
        <f t="shared" si="5"/>
        <v>2016</v>
      </c>
      <c r="H94" s="30">
        <f t="shared" si="6"/>
        <v>9000000</v>
      </c>
      <c r="I94" s="39">
        <v>4</v>
      </c>
      <c r="J94">
        <f t="shared" si="7"/>
        <v>2</v>
      </c>
    </row>
    <row r="95" spans="1:10" x14ac:dyDescent="0.25">
      <c r="A95" s="16" t="s">
        <v>111</v>
      </c>
      <c r="B95" s="14">
        <v>37932</v>
      </c>
      <c r="C95" s="31">
        <f>YEAR(Table1[[#This Row],[Tanggal Lahir]])</f>
        <v>2003</v>
      </c>
      <c r="D95" s="15">
        <f t="shared" si="4"/>
        <v>18.886111111111113</v>
      </c>
      <c r="E95" s="12" t="s">
        <v>7</v>
      </c>
      <c r="F95" s="14">
        <v>41853</v>
      </c>
      <c r="G95" s="13">
        <f t="shared" si="5"/>
        <v>2014</v>
      </c>
      <c r="H95" s="30">
        <f t="shared" si="6"/>
        <v>9000000</v>
      </c>
      <c r="I95" s="39">
        <v>6</v>
      </c>
      <c r="J95">
        <f t="shared" si="7"/>
        <v>2</v>
      </c>
    </row>
    <row r="96" spans="1:10" x14ac:dyDescent="0.25">
      <c r="A96" s="16" t="s">
        <v>112</v>
      </c>
      <c r="B96" s="14">
        <v>36270</v>
      </c>
      <c r="C96" s="31">
        <f>YEAR(Table1[[#This Row],[Tanggal Lahir]])</f>
        <v>1999</v>
      </c>
      <c r="D96" s="15">
        <f t="shared" si="4"/>
        <v>23.433333333333334</v>
      </c>
      <c r="E96" s="12" t="s">
        <v>10</v>
      </c>
      <c r="F96" s="14">
        <v>43240</v>
      </c>
      <c r="G96" s="13">
        <f t="shared" si="5"/>
        <v>2018</v>
      </c>
      <c r="H96" s="30">
        <f t="shared" si="6"/>
        <v>9000000</v>
      </c>
      <c r="I96" s="39">
        <v>6</v>
      </c>
      <c r="J96">
        <f t="shared" si="7"/>
        <v>2</v>
      </c>
    </row>
    <row r="97" spans="1:10" x14ac:dyDescent="0.25">
      <c r="A97" s="16" t="s">
        <v>113</v>
      </c>
      <c r="B97" s="14">
        <v>35968</v>
      </c>
      <c r="C97" s="31">
        <f>YEAR(Table1[[#This Row],[Tanggal Lahir]])</f>
        <v>1998</v>
      </c>
      <c r="D97" s="15">
        <f t="shared" si="4"/>
        <v>24.261111111111113</v>
      </c>
      <c r="E97" s="12" t="s">
        <v>10</v>
      </c>
      <c r="F97" s="14">
        <v>43058</v>
      </c>
      <c r="G97" s="13">
        <f t="shared" si="5"/>
        <v>2017</v>
      </c>
      <c r="H97" s="30">
        <f t="shared" si="6"/>
        <v>9000000</v>
      </c>
      <c r="I97" s="39">
        <v>4</v>
      </c>
      <c r="J97">
        <f t="shared" si="7"/>
        <v>2</v>
      </c>
    </row>
    <row r="98" spans="1:10" x14ac:dyDescent="0.25">
      <c r="A98" s="16" t="s">
        <v>114</v>
      </c>
      <c r="B98" s="14">
        <v>35607</v>
      </c>
      <c r="C98" s="31">
        <f>YEAR(Table1[[#This Row],[Tanggal Lahir]])</f>
        <v>1997</v>
      </c>
      <c r="D98" s="15">
        <f t="shared" si="4"/>
        <v>25.25</v>
      </c>
      <c r="E98" s="12" t="s">
        <v>7</v>
      </c>
      <c r="F98" s="14">
        <v>38549</v>
      </c>
      <c r="G98" s="13">
        <f t="shared" si="5"/>
        <v>2005</v>
      </c>
      <c r="H98" s="30">
        <f t="shared" si="6"/>
        <v>18000000</v>
      </c>
      <c r="I98" s="39">
        <v>6</v>
      </c>
      <c r="J98">
        <f t="shared" si="7"/>
        <v>2</v>
      </c>
    </row>
    <row r="99" spans="1:10" x14ac:dyDescent="0.25">
      <c r="A99" s="16" t="s">
        <v>115</v>
      </c>
      <c r="B99" s="14">
        <v>34627</v>
      </c>
      <c r="C99" s="31">
        <f>YEAR(Table1[[#This Row],[Tanggal Lahir]])</f>
        <v>1994</v>
      </c>
      <c r="D99" s="15">
        <f t="shared" si="4"/>
        <v>27.933333333333334</v>
      </c>
      <c r="E99" s="12" t="s">
        <v>10</v>
      </c>
      <c r="F99" s="14">
        <v>41715</v>
      </c>
      <c r="G99" s="13">
        <f t="shared" si="5"/>
        <v>2014</v>
      </c>
      <c r="H99" s="30">
        <f t="shared" si="6"/>
        <v>9000000</v>
      </c>
      <c r="I99" s="39">
        <v>1</v>
      </c>
      <c r="J99">
        <f t="shared" si="7"/>
        <v>2</v>
      </c>
    </row>
    <row r="100" spans="1:10" x14ac:dyDescent="0.25">
      <c r="A100" s="16" t="s">
        <v>116</v>
      </c>
      <c r="B100" s="14">
        <v>36694</v>
      </c>
      <c r="C100" s="31">
        <f>YEAR(Table1[[#This Row],[Tanggal Lahir]])</f>
        <v>2000</v>
      </c>
      <c r="D100" s="15">
        <f t="shared" si="4"/>
        <v>22.274999999999999</v>
      </c>
      <c r="E100" s="12" t="s">
        <v>117</v>
      </c>
      <c r="F100" s="14">
        <v>43138</v>
      </c>
      <c r="G100" s="13">
        <f t="shared" si="5"/>
        <v>2018</v>
      </c>
      <c r="H100" s="30">
        <f t="shared" si="6"/>
        <v>9000000</v>
      </c>
      <c r="I100" s="39">
        <v>2</v>
      </c>
      <c r="J100">
        <f t="shared" si="7"/>
        <v>2</v>
      </c>
    </row>
    <row r="101" spans="1:10" x14ac:dyDescent="0.25">
      <c r="A101" s="16" t="s">
        <v>118</v>
      </c>
      <c r="B101" s="14">
        <v>35470</v>
      </c>
      <c r="C101" s="31">
        <f>YEAR(Table1[[#This Row],[Tanggal Lahir]])</f>
        <v>1997</v>
      </c>
      <c r="D101" s="15">
        <f t="shared" si="4"/>
        <v>25.630555555555556</v>
      </c>
      <c r="E101" s="12" t="s">
        <v>10</v>
      </c>
      <c r="F101" s="14">
        <v>38731</v>
      </c>
      <c r="G101" s="13">
        <f t="shared" si="5"/>
        <v>2006</v>
      </c>
      <c r="H101" s="30">
        <f t="shared" si="6"/>
        <v>18000000</v>
      </c>
      <c r="I101" s="39">
        <v>6</v>
      </c>
      <c r="J101">
        <f t="shared" si="7"/>
        <v>2</v>
      </c>
    </row>
    <row r="102" spans="1:10" x14ac:dyDescent="0.25">
      <c r="A102" s="16" t="s">
        <v>119</v>
      </c>
      <c r="B102" s="14">
        <v>36585</v>
      </c>
      <c r="C102" s="31">
        <f>YEAR(Table1[[#This Row],[Tanggal Lahir]])</f>
        <v>2000</v>
      </c>
      <c r="D102" s="15">
        <f t="shared" si="4"/>
        <v>22.572222222222223</v>
      </c>
      <c r="E102" s="12" t="s">
        <v>14</v>
      </c>
      <c r="F102" s="14">
        <v>44310</v>
      </c>
      <c r="G102" s="13">
        <f t="shared" si="5"/>
        <v>2021</v>
      </c>
      <c r="H102" s="30">
        <f t="shared" si="6"/>
        <v>6800000</v>
      </c>
      <c r="I102" s="39">
        <v>3</v>
      </c>
      <c r="J102">
        <f t="shared" si="7"/>
        <v>2</v>
      </c>
    </row>
    <row r="103" spans="1:10" x14ac:dyDescent="0.25">
      <c r="A103" s="16" t="s">
        <v>120</v>
      </c>
      <c r="B103" s="14">
        <v>36309</v>
      </c>
      <c r="C103" s="31">
        <f>YEAR(Table1[[#This Row],[Tanggal Lahir]])</f>
        <v>1999</v>
      </c>
      <c r="D103" s="15">
        <f t="shared" si="4"/>
        <v>23.324999999999999</v>
      </c>
      <c r="E103" s="12" t="s">
        <v>10</v>
      </c>
      <c r="F103" s="14">
        <v>41984</v>
      </c>
      <c r="G103" s="13">
        <f t="shared" si="5"/>
        <v>2014</v>
      </c>
      <c r="H103" s="30">
        <f t="shared" si="6"/>
        <v>9000000</v>
      </c>
      <c r="I103" s="39">
        <v>2</v>
      </c>
      <c r="J103">
        <f t="shared" si="7"/>
        <v>2</v>
      </c>
    </row>
    <row r="104" spans="1:10" x14ac:dyDescent="0.25">
      <c r="A104" s="16" t="s">
        <v>121</v>
      </c>
      <c r="B104" s="14">
        <v>34967</v>
      </c>
      <c r="C104" s="31">
        <f>YEAR(Table1[[#This Row],[Tanggal Lahir]])</f>
        <v>1995</v>
      </c>
      <c r="D104" s="15">
        <f t="shared" si="4"/>
        <v>27.002777777777776</v>
      </c>
      <c r="E104" s="12" t="s">
        <v>10</v>
      </c>
      <c r="F104" s="14">
        <v>44600</v>
      </c>
      <c r="G104" s="13">
        <f t="shared" si="5"/>
        <v>2022</v>
      </c>
      <c r="H104" s="30">
        <f t="shared" si="6"/>
        <v>6800000</v>
      </c>
      <c r="I104" s="39">
        <v>5</v>
      </c>
      <c r="J104">
        <f t="shared" si="7"/>
        <v>2</v>
      </c>
    </row>
    <row r="105" spans="1:10" x14ac:dyDescent="0.25">
      <c r="A105" s="16" t="s">
        <v>122</v>
      </c>
      <c r="B105" s="14">
        <v>34726</v>
      </c>
      <c r="C105" s="31">
        <f>YEAR(Table1[[#This Row],[Tanggal Lahir]])</f>
        <v>1995</v>
      </c>
      <c r="D105" s="15">
        <f t="shared" si="4"/>
        <v>27.663888888888888</v>
      </c>
      <c r="E105" s="12" t="s">
        <v>14</v>
      </c>
      <c r="F105" s="14">
        <v>41956</v>
      </c>
      <c r="G105" s="13">
        <f t="shared" si="5"/>
        <v>2014</v>
      </c>
      <c r="H105" s="30">
        <f t="shared" si="6"/>
        <v>9000000</v>
      </c>
      <c r="I105" s="39">
        <v>2</v>
      </c>
      <c r="J105">
        <f t="shared" si="7"/>
        <v>2</v>
      </c>
    </row>
    <row r="106" spans="1:10" x14ac:dyDescent="0.25">
      <c r="A106" s="16" t="s">
        <v>123</v>
      </c>
      <c r="B106" s="14">
        <v>35948</v>
      </c>
      <c r="C106" s="31">
        <f>YEAR(Table1[[#This Row],[Tanggal Lahir]])</f>
        <v>1998</v>
      </c>
      <c r="D106" s="15">
        <f t="shared" si="4"/>
        <v>24.316666666666666</v>
      </c>
      <c r="E106" s="12" t="s">
        <v>7</v>
      </c>
      <c r="F106" s="14">
        <v>41800</v>
      </c>
      <c r="G106" s="13">
        <f t="shared" si="5"/>
        <v>2014</v>
      </c>
      <c r="H106" s="30">
        <f t="shared" si="6"/>
        <v>9000000</v>
      </c>
      <c r="I106" s="39">
        <v>5</v>
      </c>
      <c r="J106">
        <f t="shared" si="7"/>
        <v>2</v>
      </c>
    </row>
    <row r="107" spans="1:10" x14ac:dyDescent="0.25">
      <c r="A107" s="16" t="s">
        <v>124</v>
      </c>
      <c r="B107" s="14">
        <v>36946</v>
      </c>
      <c r="C107" s="31">
        <f>YEAR(Table1[[#This Row],[Tanggal Lahir]])</f>
        <v>2001</v>
      </c>
      <c r="D107" s="15">
        <f t="shared" si="4"/>
        <v>21.588888888888889</v>
      </c>
      <c r="E107" s="12" t="s">
        <v>10</v>
      </c>
      <c r="F107" s="14">
        <v>42669</v>
      </c>
      <c r="G107" s="13">
        <f t="shared" si="5"/>
        <v>2016</v>
      </c>
      <c r="H107" s="30">
        <f t="shared" si="6"/>
        <v>9000000</v>
      </c>
      <c r="I107" s="39">
        <v>6</v>
      </c>
      <c r="J107">
        <f t="shared" si="7"/>
        <v>2</v>
      </c>
    </row>
    <row r="108" spans="1:10" x14ac:dyDescent="0.25">
      <c r="A108" s="16" t="s">
        <v>125</v>
      </c>
      <c r="B108" s="14">
        <v>35428</v>
      </c>
      <c r="C108" s="31">
        <f>YEAR(Table1[[#This Row],[Tanggal Lahir]])</f>
        <v>1996</v>
      </c>
      <c r="D108" s="15">
        <f t="shared" si="4"/>
        <v>25.741666666666667</v>
      </c>
      <c r="E108" s="12" t="s">
        <v>14</v>
      </c>
      <c r="F108" s="14">
        <v>41719</v>
      </c>
      <c r="G108" s="13">
        <f t="shared" si="5"/>
        <v>2014</v>
      </c>
      <c r="H108" s="30">
        <f t="shared" si="6"/>
        <v>9000000</v>
      </c>
      <c r="I108" s="39">
        <v>1</v>
      </c>
      <c r="J108">
        <f t="shared" si="7"/>
        <v>2</v>
      </c>
    </row>
    <row r="109" spans="1:10" x14ac:dyDescent="0.25">
      <c r="A109" s="16" t="s">
        <v>126</v>
      </c>
      <c r="B109" s="14">
        <v>34535</v>
      </c>
      <c r="C109" s="31">
        <f>YEAR(Table1[[#This Row],[Tanggal Lahir]])</f>
        <v>1994</v>
      </c>
      <c r="D109" s="15">
        <f t="shared" si="4"/>
        <v>28.183333333333334</v>
      </c>
      <c r="E109" s="12" t="s">
        <v>14</v>
      </c>
      <c r="F109" s="14">
        <v>43881</v>
      </c>
      <c r="G109" s="13">
        <f t="shared" si="5"/>
        <v>2020</v>
      </c>
      <c r="H109" s="30">
        <f t="shared" si="6"/>
        <v>6800000</v>
      </c>
      <c r="I109" s="39">
        <v>2</v>
      </c>
      <c r="J109">
        <f t="shared" si="7"/>
        <v>2</v>
      </c>
    </row>
    <row r="110" spans="1:10" x14ac:dyDescent="0.25">
      <c r="A110" s="16" t="s">
        <v>127</v>
      </c>
      <c r="B110" s="14">
        <v>36088</v>
      </c>
      <c r="C110" s="31">
        <f>YEAR(Table1[[#This Row],[Tanggal Lahir]])</f>
        <v>1998</v>
      </c>
      <c r="D110" s="15">
        <f t="shared" si="4"/>
        <v>23.933333333333334</v>
      </c>
      <c r="E110" s="12" t="s">
        <v>10</v>
      </c>
      <c r="F110" s="14">
        <v>42833</v>
      </c>
      <c r="G110" s="13">
        <f t="shared" si="5"/>
        <v>2017</v>
      </c>
      <c r="H110" s="30">
        <f t="shared" si="6"/>
        <v>9000000</v>
      </c>
      <c r="I110" s="39">
        <v>2</v>
      </c>
      <c r="J110">
        <f t="shared" si="7"/>
        <v>2</v>
      </c>
    </row>
    <row r="111" spans="1:10" x14ac:dyDescent="0.25">
      <c r="A111" s="16" t="s">
        <v>128</v>
      </c>
      <c r="B111" s="14">
        <v>35463</v>
      </c>
      <c r="C111" s="31">
        <f>YEAR(Table1[[#This Row],[Tanggal Lahir]])</f>
        <v>1997</v>
      </c>
      <c r="D111" s="15">
        <f t="shared" si="4"/>
        <v>25.65</v>
      </c>
      <c r="E111" s="12" t="s">
        <v>14</v>
      </c>
      <c r="F111" s="14">
        <v>41824</v>
      </c>
      <c r="G111" s="13">
        <f t="shared" si="5"/>
        <v>2014</v>
      </c>
      <c r="H111" s="30">
        <f t="shared" si="6"/>
        <v>9000000</v>
      </c>
      <c r="I111" s="39">
        <v>6</v>
      </c>
      <c r="J111">
        <f t="shared" si="7"/>
        <v>2</v>
      </c>
    </row>
    <row r="112" spans="1:10" x14ac:dyDescent="0.25">
      <c r="A112" s="16" t="s">
        <v>129</v>
      </c>
      <c r="B112" s="14">
        <v>37718</v>
      </c>
      <c r="C112" s="31">
        <f>YEAR(Table1[[#This Row],[Tanggal Lahir]])</f>
        <v>2003</v>
      </c>
      <c r="D112" s="15">
        <f t="shared" si="4"/>
        <v>19.469444444444445</v>
      </c>
      <c r="E112" s="12" t="s">
        <v>7</v>
      </c>
      <c r="F112" s="14">
        <v>42581</v>
      </c>
      <c r="G112" s="13">
        <f t="shared" si="5"/>
        <v>2016</v>
      </c>
      <c r="H112" s="30">
        <f t="shared" si="6"/>
        <v>9000000</v>
      </c>
      <c r="I112" s="39">
        <v>3</v>
      </c>
      <c r="J112">
        <f t="shared" si="7"/>
        <v>2</v>
      </c>
    </row>
    <row r="113" spans="1:10" x14ac:dyDescent="0.25">
      <c r="A113" s="16" t="s">
        <v>130</v>
      </c>
      <c r="B113" s="14">
        <v>37475</v>
      </c>
      <c r="C113" s="31">
        <f>YEAR(Table1[[#This Row],[Tanggal Lahir]])</f>
        <v>2002</v>
      </c>
      <c r="D113" s="15">
        <f t="shared" si="4"/>
        <v>20.136111111111113</v>
      </c>
      <c r="E113" s="12" t="s">
        <v>10</v>
      </c>
      <c r="F113" s="14">
        <v>41140</v>
      </c>
      <c r="G113" s="13">
        <f t="shared" si="5"/>
        <v>2012</v>
      </c>
      <c r="H113" s="30">
        <f t="shared" si="6"/>
        <v>13000000</v>
      </c>
      <c r="I113" s="39">
        <v>3</v>
      </c>
      <c r="J113">
        <f t="shared" si="7"/>
        <v>2</v>
      </c>
    </row>
    <row r="114" spans="1:10" x14ac:dyDescent="0.25">
      <c r="A114" s="16" t="s">
        <v>131</v>
      </c>
      <c r="B114" s="14">
        <v>35090</v>
      </c>
      <c r="C114" s="31">
        <f>YEAR(Table1[[#This Row],[Tanggal Lahir]])</f>
        <v>1996</v>
      </c>
      <c r="D114" s="15">
        <f t="shared" si="4"/>
        <v>26.666666666666668</v>
      </c>
      <c r="E114" s="12" t="s">
        <v>10</v>
      </c>
      <c r="F114" s="14">
        <v>43176</v>
      </c>
      <c r="G114" s="13">
        <f t="shared" si="5"/>
        <v>2018</v>
      </c>
      <c r="H114" s="30">
        <f t="shared" si="6"/>
        <v>9000000</v>
      </c>
      <c r="I114" s="39">
        <v>6</v>
      </c>
      <c r="J114">
        <f t="shared" si="7"/>
        <v>2</v>
      </c>
    </row>
    <row r="115" spans="1:10" x14ac:dyDescent="0.25">
      <c r="A115" s="16" t="s">
        <v>132</v>
      </c>
      <c r="B115" s="14">
        <v>37030</v>
      </c>
      <c r="C115" s="31">
        <f>YEAR(Table1[[#This Row],[Tanggal Lahir]])</f>
        <v>2001</v>
      </c>
      <c r="D115" s="15">
        <f t="shared" si="4"/>
        <v>21.352777777777778</v>
      </c>
      <c r="E115" s="12" t="s">
        <v>10</v>
      </c>
      <c r="F115" s="14">
        <v>43701</v>
      </c>
      <c r="G115" s="13">
        <f t="shared" si="5"/>
        <v>2019</v>
      </c>
      <c r="H115" s="30">
        <f t="shared" si="6"/>
        <v>9000000</v>
      </c>
      <c r="I115" s="39">
        <v>3</v>
      </c>
      <c r="J115">
        <f t="shared" si="7"/>
        <v>2</v>
      </c>
    </row>
    <row r="116" spans="1:10" x14ac:dyDescent="0.25">
      <c r="A116" s="16" t="s">
        <v>133</v>
      </c>
      <c r="B116" s="14">
        <v>34592</v>
      </c>
      <c r="C116" s="31">
        <f>YEAR(Table1[[#This Row],[Tanggal Lahir]])</f>
        <v>1994</v>
      </c>
      <c r="D116" s="15">
        <f t="shared" si="4"/>
        <v>28.030555555555555</v>
      </c>
      <c r="E116" s="12" t="s">
        <v>10</v>
      </c>
      <c r="F116" s="14">
        <v>38264</v>
      </c>
      <c r="G116" s="13">
        <f t="shared" si="5"/>
        <v>2004</v>
      </c>
      <c r="H116" s="30">
        <f t="shared" si="6"/>
        <v>18000000</v>
      </c>
      <c r="I116" s="39">
        <v>3</v>
      </c>
      <c r="J116">
        <f t="shared" si="7"/>
        <v>2</v>
      </c>
    </row>
    <row r="117" spans="1:10" x14ac:dyDescent="0.25">
      <c r="A117" s="16" t="s">
        <v>134</v>
      </c>
      <c r="B117" s="14">
        <v>35187</v>
      </c>
      <c r="C117" s="31">
        <f>YEAR(Table1[[#This Row],[Tanggal Lahir]])</f>
        <v>1996</v>
      </c>
      <c r="D117" s="15">
        <f t="shared" si="4"/>
        <v>26.4</v>
      </c>
      <c r="E117" s="12" t="s">
        <v>10</v>
      </c>
      <c r="F117" s="14">
        <v>43262</v>
      </c>
      <c r="G117" s="13">
        <f t="shared" si="5"/>
        <v>2018</v>
      </c>
      <c r="H117" s="30">
        <f t="shared" si="6"/>
        <v>9000000</v>
      </c>
      <c r="I117" s="39">
        <v>1</v>
      </c>
      <c r="J117">
        <f t="shared" si="7"/>
        <v>2</v>
      </c>
    </row>
    <row r="118" spans="1:10" x14ac:dyDescent="0.25">
      <c r="A118" s="16" t="s">
        <v>135</v>
      </c>
      <c r="B118" s="14">
        <v>36776</v>
      </c>
      <c r="C118" s="31">
        <f>YEAR(Table1[[#This Row],[Tanggal Lahir]])</f>
        <v>2000</v>
      </c>
      <c r="D118" s="15">
        <f t="shared" si="4"/>
        <v>22.052777777777777</v>
      </c>
      <c r="E118" s="12" t="s">
        <v>10</v>
      </c>
      <c r="F118" s="14">
        <v>43517</v>
      </c>
      <c r="G118" s="13">
        <f t="shared" si="5"/>
        <v>2019</v>
      </c>
      <c r="H118" s="30">
        <f t="shared" si="6"/>
        <v>9000000</v>
      </c>
      <c r="I118" s="39">
        <v>3</v>
      </c>
      <c r="J118">
        <f t="shared" si="7"/>
        <v>2</v>
      </c>
    </row>
    <row r="119" spans="1:10" x14ac:dyDescent="0.25">
      <c r="A119" s="16" t="s">
        <v>136</v>
      </c>
      <c r="B119" s="14">
        <v>34704</v>
      </c>
      <c r="C119" s="31">
        <f>YEAR(Table1[[#This Row],[Tanggal Lahir]])</f>
        <v>1995</v>
      </c>
      <c r="D119" s="15">
        <f t="shared" si="4"/>
        <v>27.725000000000001</v>
      </c>
      <c r="E119" s="12" t="s">
        <v>7</v>
      </c>
      <c r="F119" s="14">
        <v>39142</v>
      </c>
      <c r="G119" s="13">
        <f t="shared" si="5"/>
        <v>2007</v>
      </c>
      <c r="H119" s="30">
        <f t="shared" si="6"/>
        <v>18000000</v>
      </c>
      <c r="I119" s="39">
        <v>4</v>
      </c>
      <c r="J119">
        <f t="shared" si="7"/>
        <v>3</v>
      </c>
    </row>
    <row r="120" spans="1:10" x14ac:dyDescent="0.25">
      <c r="A120" s="16" t="s">
        <v>137</v>
      </c>
      <c r="B120" s="14">
        <v>34659</v>
      </c>
      <c r="C120" s="31">
        <f>YEAR(Table1[[#This Row],[Tanggal Lahir]])</f>
        <v>1994</v>
      </c>
      <c r="D120" s="15">
        <f t="shared" si="4"/>
        <v>27.847222222222221</v>
      </c>
      <c r="E120" s="12" t="s">
        <v>10</v>
      </c>
      <c r="F120" s="14">
        <v>39140</v>
      </c>
      <c r="G120" s="13">
        <f t="shared" si="5"/>
        <v>2007</v>
      </c>
      <c r="H120" s="30">
        <f t="shared" si="6"/>
        <v>18000000</v>
      </c>
      <c r="I120" s="39">
        <v>6</v>
      </c>
      <c r="J120">
        <f t="shared" si="7"/>
        <v>2</v>
      </c>
    </row>
    <row r="121" spans="1:10" x14ac:dyDescent="0.25">
      <c r="A121" s="16" t="s">
        <v>138</v>
      </c>
      <c r="B121" s="14">
        <v>36499</v>
      </c>
      <c r="C121" s="31">
        <f>YEAR(Table1[[#This Row],[Tanggal Lahir]])</f>
        <v>1999</v>
      </c>
      <c r="D121" s="15">
        <f t="shared" si="4"/>
        <v>22.808333333333334</v>
      </c>
      <c r="E121" s="12" t="s">
        <v>7</v>
      </c>
      <c r="F121" s="14">
        <v>42930</v>
      </c>
      <c r="G121" s="13">
        <f t="shared" si="5"/>
        <v>2017</v>
      </c>
      <c r="H121" s="30">
        <f t="shared" si="6"/>
        <v>9000000</v>
      </c>
      <c r="I121" s="39">
        <v>4</v>
      </c>
      <c r="J121">
        <f t="shared" si="7"/>
        <v>3</v>
      </c>
    </row>
    <row r="122" spans="1:10" x14ac:dyDescent="0.25">
      <c r="A122" s="16" t="s">
        <v>139</v>
      </c>
      <c r="B122" s="14">
        <v>37392</v>
      </c>
      <c r="C122" s="31">
        <f>YEAR(Table1[[#This Row],[Tanggal Lahir]])</f>
        <v>2002</v>
      </c>
      <c r="D122" s="15">
        <f t="shared" si="4"/>
        <v>20.361111111111111</v>
      </c>
      <c r="E122" s="12" t="s">
        <v>10</v>
      </c>
      <c r="F122" s="14">
        <v>39430</v>
      </c>
      <c r="G122" s="13">
        <f t="shared" si="5"/>
        <v>2007</v>
      </c>
      <c r="H122" s="30">
        <f t="shared" si="6"/>
        <v>18000000</v>
      </c>
      <c r="I122" s="39">
        <v>4</v>
      </c>
      <c r="J122">
        <f t="shared" si="7"/>
        <v>2</v>
      </c>
    </row>
    <row r="123" spans="1:10" x14ac:dyDescent="0.25">
      <c r="A123" s="16" t="s">
        <v>140</v>
      </c>
      <c r="B123" s="14">
        <v>35664</v>
      </c>
      <c r="C123" s="31">
        <f>YEAR(Table1[[#This Row],[Tanggal Lahir]])</f>
        <v>1997</v>
      </c>
      <c r="D123" s="15">
        <f t="shared" si="4"/>
        <v>25.094444444444445</v>
      </c>
      <c r="E123" s="12" t="s">
        <v>10</v>
      </c>
      <c r="F123" s="14">
        <v>39801</v>
      </c>
      <c r="G123" s="13">
        <f t="shared" si="5"/>
        <v>2008</v>
      </c>
      <c r="H123" s="30">
        <f t="shared" si="6"/>
        <v>18000000</v>
      </c>
      <c r="I123" s="39">
        <v>6</v>
      </c>
      <c r="J123">
        <f t="shared" si="7"/>
        <v>2</v>
      </c>
    </row>
    <row r="124" spans="1:10" x14ac:dyDescent="0.25">
      <c r="A124" s="16" t="s">
        <v>141</v>
      </c>
      <c r="B124" s="14">
        <v>35976</v>
      </c>
      <c r="C124" s="31">
        <f>YEAR(Table1[[#This Row],[Tanggal Lahir]])</f>
        <v>1998</v>
      </c>
      <c r="D124" s="15">
        <f t="shared" si="4"/>
        <v>24.238888888888887</v>
      </c>
      <c r="E124" s="12" t="s">
        <v>10</v>
      </c>
      <c r="F124" s="14">
        <v>41787</v>
      </c>
      <c r="G124" s="13">
        <f t="shared" si="5"/>
        <v>2014</v>
      </c>
      <c r="H124" s="30">
        <f t="shared" si="6"/>
        <v>9000000</v>
      </c>
      <c r="I124" s="39">
        <v>4</v>
      </c>
      <c r="J124">
        <f t="shared" si="7"/>
        <v>3</v>
      </c>
    </row>
    <row r="125" spans="1:10" x14ac:dyDescent="0.25">
      <c r="A125" s="16" t="s">
        <v>142</v>
      </c>
      <c r="B125" s="14">
        <v>35782</v>
      </c>
      <c r="C125" s="31">
        <f>YEAR(Table1[[#This Row],[Tanggal Lahir]])</f>
        <v>1997</v>
      </c>
      <c r="D125" s="15">
        <f t="shared" si="4"/>
        <v>24.772222222222222</v>
      </c>
      <c r="E125" s="12" t="s">
        <v>14</v>
      </c>
      <c r="F125" s="14">
        <v>43682</v>
      </c>
      <c r="G125" s="13">
        <f t="shared" si="5"/>
        <v>2019</v>
      </c>
      <c r="H125" s="30">
        <f t="shared" si="6"/>
        <v>9000000</v>
      </c>
      <c r="I125" s="39">
        <v>2</v>
      </c>
      <c r="J125">
        <f t="shared" si="7"/>
        <v>2</v>
      </c>
    </row>
    <row r="126" spans="1:10" x14ac:dyDescent="0.25">
      <c r="A126" s="16" t="s">
        <v>143</v>
      </c>
      <c r="B126" s="14">
        <v>35469</v>
      </c>
      <c r="C126" s="31">
        <f>YEAR(Table1[[#This Row],[Tanggal Lahir]])</f>
        <v>1997</v>
      </c>
      <c r="D126" s="15">
        <f t="shared" si="4"/>
        <v>25.633333333333333</v>
      </c>
      <c r="E126" s="12" t="s">
        <v>7</v>
      </c>
      <c r="F126" s="14">
        <v>38555</v>
      </c>
      <c r="G126" s="13">
        <f t="shared" si="5"/>
        <v>2005</v>
      </c>
      <c r="H126" s="30">
        <f t="shared" si="6"/>
        <v>18000000</v>
      </c>
      <c r="I126" s="39">
        <v>1</v>
      </c>
      <c r="J126">
        <f t="shared" si="7"/>
        <v>2</v>
      </c>
    </row>
    <row r="127" spans="1:10" x14ac:dyDescent="0.25">
      <c r="A127" s="16" t="s">
        <v>144</v>
      </c>
      <c r="B127" s="14">
        <v>36916</v>
      </c>
      <c r="C127" s="31">
        <f>YEAR(Table1[[#This Row],[Tanggal Lahir]])</f>
        <v>2001</v>
      </c>
      <c r="D127" s="15">
        <f t="shared" si="4"/>
        <v>21.669444444444444</v>
      </c>
      <c r="E127" s="12" t="s">
        <v>7</v>
      </c>
      <c r="F127" s="14">
        <v>40536</v>
      </c>
      <c r="G127" s="13">
        <f t="shared" si="5"/>
        <v>2010</v>
      </c>
      <c r="H127" s="30">
        <f t="shared" si="6"/>
        <v>13000000</v>
      </c>
      <c r="I127" s="39">
        <v>3</v>
      </c>
      <c r="J127">
        <f t="shared" si="7"/>
        <v>2</v>
      </c>
    </row>
    <row r="128" spans="1:10" x14ac:dyDescent="0.25">
      <c r="A128" s="16" t="s">
        <v>145</v>
      </c>
      <c r="B128" s="14">
        <v>35474</v>
      </c>
      <c r="C128" s="31">
        <f>YEAR(Table1[[#This Row],[Tanggal Lahir]])</f>
        <v>1997</v>
      </c>
      <c r="D128" s="15">
        <f t="shared" si="4"/>
        <v>25.619444444444444</v>
      </c>
      <c r="E128" s="12" t="s">
        <v>10</v>
      </c>
      <c r="F128" s="14">
        <v>43000</v>
      </c>
      <c r="G128" s="13">
        <f t="shared" si="5"/>
        <v>2017</v>
      </c>
      <c r="H128" s="30">
        <f t="shared" si="6"/>
        <v>9000000</v>
      </c>
      <c r="I128" s="39">
        <v>6</v>
      </c>
      <c r="J128">
        <f t="shared" si="7"/>
        <v>2</v>
      </c>
    </row>
    <row r="129" spans="1:10" x14ac:dyDescent="0.25">
      <c r="A129" s="16" t="s">
        <v>146</v>
      </c>
      <c r="B129" s="14">
        <v>34919</v>
      </c>
      <c r="C129" s="31">
        <f>YEAR(Table1[[#This Row],[Tanggal Lahir]])</f>
        <v>1995</v>
      </c>
      <c r="D129" s="15">
        <f t="shared" si="4"/>
        <v>27.133333333333333</v>
      </c>
      <c r="E129" s="12" t="s">
        <v>10</v>
      </c>
      <c r="F129" s="14">
        <v>39497</v>
      </c>
      <c r="G129" s="13">
        <f t="shared" si="5"/>
        <v>2008</v>
      </c>
      <c r="H129" s="30">
        <f t="shared" si="6"/>
        <v>18000000</v>
      </c>
      <c r="I129" s="39">
        <v>3</v>
      </c>
      <c r="J129">
        <f t="shared" si="7"/>
        <v>2</v>
      </c>
    </row>
    <row r="130" spans="1:10" x14ac:dyDescent="0.25">
      <c r="A130" s="16" t="s">
        <v>147</v>
      </c>
      <c r="B130" s="14">
        <v>35998</v>
      </c>
      <c r="C130" s="31">
        <f>YEAR(Table1[[#This Row],[Tanggal Lahir]])</f>
        <v>1998</v>
      </c>
      <c r="D130" s="15">
        <f t="shared" ref="D130:D193" si="8">YEARFRAC(B130,$L$2)</f>
        <v>24.177777777777777</v>
      </c>
      <c r="E130" s="12" t="s">
        <v>7</v>
      </c>
      <c r="F130" s="14">
        <v>42140</v>
      </c>
      <c r="G130" s="13">
        <f t="shared" ref="G130:G193" si="9">YEAR(F130)</f>
        <v>2015</v>
      </c>
      <c r="H130" s="30">
        <f t="shared" ref="H130:H193" si="10">IF(G130&lt;= 2008,18000000,IF(AND(G130&gt;=2009,G130&lt;=2013),13000000,IF(AND(G130&gt;=2014,G130&lt;=2019),9000000,6800000)))</f>
        <v>9000000</v>
      </c>
      <c r="I130" s="39">
        <v>3</v>
      </c>
      <c r="J130">
        <f t="shared" ref="J130:J193" si="11">SUM(LEN(A130)-LEN(SUBSTITUTE(A130," ",""))+1)</f>
        <v>4</v>
      </c>
    </row>
    <row r="131" spans="1:10" x14ac:dyDescent="0.25">
      <c r="A131" s="16" t="s">
        <v>148</v>
      </c>
      <c r="B131" s="14">
        <v>34636</v>
      </c>
      <c r="C131" s="31">
        <f>YEAR(Table1[[#This Row],[Tanggal Lahir]])</f>
        <v>1994</v>
      </c>
      <c r="D131" s="15">
        <f t="shared" si="8"/>
        <v>27.908333333333335</v>
      </c>
      <c r="E131" s="12" t="s">
        <v>7</v>
      </c>
      <c r="F131" s="14">
        <v>43245</v>
      </c>
      <c r="G131" s="13">
        <f t="shared" si="9"/>
        <v>2018</v>
      </c>
      <c r="H131" s="30">
        <f t="shared" si="10"/>
        <v>9000000</v>
      </c>
      <c r="I131" s="39">
        <v>2</v>
      </c>
      <c r="J131">
        <f t="shared" si="11"/>
        <v>2</v>
      </c>
    </row>
    <row r="132" spans="1:10" x14ac:dyDescent="0.25">
      <c r="A132" s="16" t="s">
        <v>149</v>
      </c>
      <c r="B132" s="14">
        <v>35292</v>
      </c>
      <c r="C132" s="31">
        <f>YEAR(Table1[[#This Row],[Tanggal Lahir]])</f>
        <v>1996</v>
      </c>
      <c r="D132" s="15">
        <f t="shared" si="8"/>
        <v>26.113888888888887</v>
      </c>
      <c r="E132" s="12" t="s">
        <v>14</v>
      </c>
      <c r="F132" s="14">
        <v>41393</v>
      </c>
      <c r="G132" s="13">
        <f t="shared" si="9"/>
        <v>2013</v>
      </c>
      <c r="H132" s="30">
        <f t="shared" si="10"/>
        <v>13000000</v>
      </c>
      <c r="I132" s="39">
        <v>2</v>
      </c>
      <c r="J132">
        <f t="shared" si="11"/>
        <v>3</v>
      </c>
    </row>
    <row r="133" spans="1:10" x14ac:dyDescent="0.25">
      <c r="A133" s="16" t="s">
        <v>150</v>
      </c>
      <c r="B133" s="14">
        <v>35561</v>
      </c>
      <c r="C133" s="31">
        <f>YEAR(Table1[[#This Row],[Tanggal Lahir]])</f>
        <v>1997</v>
      </c>
      <c r="D133" s="15">
        <f t="shared" si="8"/>
        <v>25.375</v>
      </c>
      <c r="E133" s="12" t="s">
        <v>10</v>
      </c>
      <c r="F133" s="14">
        <v>39832</v>
      </c>
      <c r="G133" s="13">
        <f t="shared" si="9"/>
        <v>2009</v>
      </c>
      <c r="H133" s="30">
        <f t="shared" si="10"/>
        <v>13000000</v>
      </c>
      <c r="I133" s="39">
        <v>6</v>
      </c>
      <c r="J133">
        <f t="shared" si="11"/>
        <v>2</v>
      </c>
    </row>
    <row r="134" spans="1:10" x14ac:dyDescent="0.25">
      <c r="A134" s="16" t="s">
        <v>151</v>
      </c>
      <c r="B134" s="14">
        <v>37798</v>
      </c>
      <c r="C134" s="31">
        <f>YEAR(Table1[[#This Row],[Tanggal Lahir]])</f>
        <v>2003</v>
      </c>
      <c r="D134" s="15">
        <f t="shared" si="8"/>
        <v>19.25</v>
      </c>
      <c r="E134" s="12" t="s">
        <v>10</v>
      </c>
      <c r="F134" s="14">
        <v>41682</v>
      </c>
      <c r="G134" s="13">
        <f t="shared" si="9"/>
        <v>2014</v>
      </c>
      <c r="H134" s="30">
        <f t="shared" si="10"/>
        <v>9000000</v>
      </c>
      <c r="I134" s="39">
        <v>4</v>
      </c>
      <c r="J134">
        <f t="shared" si="11"/>
        <v>2</v>
      </c>
    </row>
    <row r="135" spans="1:10" x14ac:dyDescent="0.25">
      <c r="A135" s="16" t="s">
        <v>152</v>
      </c>
      <c r="B135" s="14">
        <v>37380</v>
      </c>
      <c r="C135" s="31">
        <f>YEAR(Table1[[#This Row],[Tanggal Lahir]])</f>
        <v>2002</v>
      </c>
      <c r="D135" s="15">
        <f t="shared" si="8"/>
        <v>20.394444444444446</v>
      </c>
      <c r="E135" s="12" t="s">
        <v>10</v>
      </c>
      <c r="F135" s="14">
        <v>44169</v>
      </c>
      <c r="G135" s="13">
        <f t="shared" si="9"/>
        <v>2020</v>
      </c>
      <c r="H135" s="30">
        <f t="shared" si="10"/>
        <v>6800000</v>
      </c>
      <c r="I135" s="39">
        <v>3</v>
      </c>
      <c r="J135">
        <f t="shared" si="11"/>
        <v>3</v>
      </c>
    </row>
    <row r="136" spans="1:10" x14ac:dyDescent="0.25">
      <c r="A136" s="16" t="s">
        <v>153</v>
      </c>
      <c r="B136" s="14">
        <v>37221</v>
      </c>
      <c r="C136" s="31">
        <f>YEAR(Table1[[#This Row],[Tanggal Lahir]])</f>
        <v>2001</v>
      </c>
      <c r="D136" s="15">
        <f t="shared" si="8"/>
        <v>20.833333333333332</v>
      </c>
      <c r="E136" s="12" t="s">
        <v>10</v>
      </c>
      <c r="F136" s="14">
        <v>41096</v>
      </c>
      <c r="G136" s="13">
        <f t="shared" si="9"/>
        <v>2012</v>
      </c>
      <c r="H136" s="30">
        <f t="shared" si="10"/>
        <v>13000000</v>
      </c>
      <c r="I136" s="39">
        <v>4</v>
      </c>
      <c r="J136">
        <f t="shared" si="11"/>
        <v>2</v>
      </c>
    </row>
    <row r="137" spans="1:10" x14ac:dyDescent="0.25">
      <c r="A137" s="16" t="s">
        <v>154</v>
      </c>
      <c r="B137" s="14">
        <v>36208</v>
      </c>
      <c r="C137" s="31">
        <f>YEAR(Table1[[#This Row],[Tanggal Lahir]])</f>
        <v>1999</v>
      </c>
      <c r="D137" s="15">
        <f t="shared" si="8"/>
        <v>23.608333333333334</v>
      </c>
      <c r="E137" s="12" t="s">
        <v>10</v>
      </c>
      <c r="F137" s="14">
        <v>40850</v>
      </c>
      <c r="G137" s="13">
        <f t="shared" si="9"/>
        <v>2011</v>
      </c>
      <c r="H137" s="30">
        <f t="shared" si="10"/>
        <v>13000000</v>
      </c>
      <c r="I137" s="39">
        <v>1</v>
      </c>
      <c r="J137">
        <f t="shared" si="11"/>
        <v>2</v>
      </c>
    </row>
    <row r="138" spans="1:10" x14ac:dyDescent="0.25">
      <c r="A138" s="16" t="s">
        <v>155</v>
      </c>
      <c r="B138" s="14">
        <v>37383</v>
      </c>
      <c r="C138" s="31">
        <f>YEAR(Table1[[#This Row],[Tanggal Lahir]])</f>
        <v>2002</v>
      </c>
      <c r="D138" s="15">
        <f t="shared" si="8"/>
        <v>20.386111111111113</v>
      </c>
      <c r="E138" s="12" t="s">
        <v>10</v>
      </c>
      <c r="F138" s="14">
        <v>40721</v>
      </c>
      <c r="G138" s="13">
        <f t="shared" si="9"/>
        <v>2011</v>
      </c>
      <c r="H138" s="30">
        <f t="shared" si="10"/>
        <v>13000000</v>
      </c>
      <c r="I138" s="39">
        <v>3</v>
      </c>
      <c r="J138">
        <f t="shared" si="11"/>
        <v>2</v>
      </c>
    </row>
    <row r="139" spans="1:10" x14ac:dyDescent="0.25">
      <c r="A139" s="16" t="s">
        <v>156</v>
      </c>
      <c r="B139" s="14">
        <v>37163</v>
      </c>
      <c r="C139" s="31">
        <f>YEAR(Table1[[#This Row],[Tanggal Lahir]])</f>
        <v>2001</v>
      </c>
      <c r="D139" s="15">
        <f t="shared" si="8"/>
        <v>20.991666666666667</v>
      </c>
      <c r="E139" s="12" t="s">
        <v>10</v>
      </c>
      <c r="F139" s="14">
        <v>44573</v>
      </c>
      <c r="G139" s="13">
        <f t="shared" si="9"/>
        <v>2022</v>
      </c>
      <c r="H139" s="30">
        <f t="shared" si="10"/>
        <v>6800000</v>
      </c>
      <c r="I139" s="39">
        <v>4</v>
      </c>
      <c r="J139">
        <f t="shared" si="11"/>
        <v>3</v>
      </c>
    </row>
    <row r="140" spans="1:10" x14ac:dyDescent="0.25">
      <c r="A140" s="16" t="s">
        <v>157</v>
      </c>
      <c r="B140" s="14">
        <v>36615</v>
      </c>
      <c r="C140" s="31">
        <f>YEAR(Table1[[#This Row],[Tanggal Lahir]])</f>
        <v>2000</v>
      </c>
      <c r="D140" s="15">
        <f t="shared" si="8"/>
        <v>22.488888888888887</v>
      </c>
      <c r="E140" s="12" t="s">
        <v>10</v>
      </c>
      <c r="F140" s="14">
        <v>44535</v>
      </c>
      <c r="G140" s="13">
        <f t="shared" si="9"/>
        <v>2021</v>
      </c>
      <c r="H140" s="30">
        <f t="shared" si="10"/>
        <v>6800000</v>
      </c>
      <c r="I140" s="39">
        <v>1</v>
      </c>
      <c r="J140">
        <f t="shared" si="11"/>
        <v>2</v>
      </c>
    </row>
    <row r="141" spans="1:10" x14ac:dyDescent="0.25">
      <c r="A141" s="16" t="s">
        <v>158</v>
      </c>
      <c r="B141" s="14">
        <v>35170</v>
      </c>
      <c r="C141" s="31">
        <f>YEAR(Table1[[#This Row],[Tanggal Lahir]])</f>
        <v>1996</v>
      </c>
      <c r="D141" s="15">
        <f t="shared" si="8"/>
        <v>26.447222222222223</v>
      </c>
      <c r="E141" s="12" t="s">
        <v>7</v>
      </c>
      <c r="F141" s="14">
        <v>39727</v>
      </c>
      <c r="G141" s="13">
        <f t="shared" si="9"/>
        <v>2008</v>
      </c>
      <c r="H141" s="30">
        <f t="shared" si="10"/>
        <v>18000000</v>
      </c>
      <c r="I141" s="39">
        <v>2</v>
      </c>
      <c r="J141">
        <f t="shared" si="11"/>
        <v>2</v>
      </c>
    </row>
    <row r="142" spans="1:10" x14ac:dyDescent="0.25">
      <c r="A142" s="16" t="s">
        <v>159</v>
      </c>
      <c r="B142" s="14">
        <v>35038</v>
      </c>
      <c r="C142" s="31">
        <f>YEAR(Table1[[#This Row],[Tanggal Lahir]])</f>
        <v>1995</v>
      </c>
      <c r="D142" s="15">
        <f t="shared" si="8"/>
        <v>26.808333333333334</v>
      </c>
      <c r="E142" s="12" t="s">
        <v>7</v>
      </c>
      <c r="F142" s="14">
        <v>40124</v>
      </c>
      <c r="G142" s="13">
        <f t="shared" si="9"/>
        <v>2009</v>
      </c>
      <c r="H142" s="30">
        <f t="shared" si="10"/>
        <v>13000000</v>
      </c>
      <c r="I142" s="39">
        <v>3</v>
      </c>
      <c r="J142">
        <f t="shared" si="11"/>
        <v>2</v>
      </c>
    </row>
    <row r="143" spans="1:10" x14ac:dyDescent="0.25">
      <c r="A143" s="16" t="s">
        <v>160</v>
      </c>
      <c r="B143" s="14">
        <v>35217</v>
      </c>
      <c r="C143" s="31">
        <f>YEAR(Table1[[#This Row],[Tanggal Lahir]])</f>
        <v>1996</v>
      </c>
      <c r="D143" s="15">
        <f t="shared" si="8"/>
        <v>26.319444444444443</v>
      </c>
      <c r="E143" s="12" t="s">
        <v>10</v>
      </c>
      <c r="F143" s="14">
        <v>40936</v>
      </c>
      <c r="G143" s="13">
        <f t="shared" si="9"/>
        <v>2012</v>
      </c>
      <c r="H143" s="30">
        <f t="shared" si="10"/>
        <v>13000000</v>
      </c>
      <c r="I143" s="39">
        <v>1</v>
      </c>
      <c r="J143">
        <f t="shared" si="11"/>
        <v>2</v>
      </c>
    </row>
    <row r="144" spans="1:10" x14ac:dyDescent="0.25">
      <c r="A144" s="16" t="s">
        <v>161</v>
      </c>
      <c r="B144" s="14">
        <v>37772</v>
      </c>
      <c r="C144" s="31">
        <f>YEAR(Table1[[#This Row],[Tanggal Lahir]])</f>
        <v>2003</v>
      </c>
      <c r="D144" s="15">
        <f t="shared" si="8"/>
        <v>19.322222222222223</v>
      </c>
      <c r="E144" s="12" t="s">
        <v>10</v>
      </c>
      <c r="F144" s="14">
        <v>43289</v>
      </c>
      <c r="G144" s="13">
        <f t="shared" si="9"/>
        <v>2018</v>
      </c>
      <c r="H144" s="30">
        <f t="shared" si="10"/>
        <v>9000000</v>
      </c>
      <c r="I144" s="39">
        <v>1</v>
      </c>
      <c r="J144">
        <f t="shared" si="11"/>
        <v>2</v>
      </c>
    </row>
    <row r="145" spans="1:14" x14ac:dyDescent="0.25">
      <c r="A145" s="16" t="s">
        <v>162</v>
      </c>
      <c r="B145" s="14">
        <v>36570</v>
      </c>
      <c r="C145" s="31">
        <f>YEAR(Table1[[#This Row],[Tanggal Lahir]])</f>
        <v>2000</v>
      </c>
      <c r="D145" s="15">
        <f t="shared" si="8"/>
        <v>22.616666666666667</v>
      </c>
      <c r="E145" s="12" t="s">
        <v>10</v>
      </c>
      <c r="F145" s="14">
        <v>40793</v>
      </c>
      <c r="G145" s="13">
        <f t="shared" si="9"/>
        <v>2011</v>
      </c>
      <c r="H145" s="30">
        <f t="shared" si="10"/>
        <v>13000000</v>
      </c>
      <c r="I145" s="39">
        <v>6</v>
      </c>
      <c r="J145">
        <f t="shared" si="11"/>
        <v>2</v>
      </c>
    </row>
    <row r="146" spans="1:14" x14ac:dyDescent="0.25">
      <c r="A146" s="16" t="s">
        <v>163</v>
      </c>
      <c r="B146" s="14">
        <v>35869</v>
      </c>
      <c r="C146" s="31">
        <f>YEAR(Table1[[#This Row],[Tanggal Lahir]])</f>
        <v>1998</v>
      </c>
      <c r="D146" s="15">
        <f t="shared" si="8"/>
        <v>24.530555555555555</v>
      </c>
      <c r="E146" s="12" t="s">
        <v>10</v>
      </c>
      <c r="F146" s="14">
        <v>39566</v>
      </c>
      <c r="G146" s="13">
        <f t="shared" si="9"/>
        <v>2008</v>
      </c>
      <c r="H146" s="30">
        <f t="shared" si="10"/>
        <v>18000000</v>
      </c>
      <c r="I146" s="39">
        <v>4</v>
      </c>
      <c r="J146">
        <f t="shared" si="11"/>
        <v>2</v>
      </c>
    </row>
    <row r="147" spans="1:14" x14ac:dyDescent="0.25">
      <c r="A147" s="16" t="s">
        <v>164</v>
      </c>
      <c r="B147" s="14">
        <v>36508</v>
      </c>
      <c r="C147" s="31">
        <f>YEAR(Table1[[#This Row],[Tanggal Lahir]])</f>
        <v>1999</v>
      </c>
      <c r="D147" s="15">
        <f t="shared" si="8"/>
        <v>22.783333333333335</v>
      </c>
      <c r="E147" s="12" t="s">
        <v>10</v>
      </c>
      <c r="F147" s="14">
        <v>41731</v>
      </c>
      <c r="G147" s="13">
        <f t="shared" si="9"/>
        <v>2014</v>
      </c>
      <c r="H147" s="30">
        <f t="shared" si="10"/>
        <v>9000000</v>
      </c>
      <c r="I147" s="39">
        <v>4</v>
      </c>
      <c r="J147">
        <f t="shared" si="11"/>
        <v>2</v>
      </c>
    </row>
    <row r="148" spans="1:14" x14ac:dyDescent="0.25">
      <c r="A148" s="16" t="s">
        <v>165</v>
      </c>
      <c r="B148" s="14">
        <v>37522</v>
      </c>
      <c r="C148" s="31">
        <f>YEAR(Table1[[#This Row],[Tanggal Lahir]])</f>
        <v>2002</v>
      </c>
      <c r="D148" s="15">
        <f t="shared" si="8"/>
        <v>20.008333333333333</v>
      </c>
      <c r="E148" s="12" t="s">
        <v>7</v>
      </c>
      <c r="F148" s="14">
        <v>40301</v>
      </c>
      <c r="G148" s="13">
        <f t="shared" si="9"/>
        <v>2010</v>
      </c>
      <c r="H148" s="30">
        <f t="shared" si="10"/>
        <v>13000000</v>
      </c>
      <c r="I148" s="39">
        <v>5</v>
      </c>
      <c r="J148">
        <f t="shared" si="11"/>
        <v>2</v>
      </c>
    </row>
    <row r="149" spans="1:14" x14ac:dyDescent="0.25">
      <c r="A149" s="16" t="s">
        <v>166</v>
      </c>
      <c r="B149" s="14">
        <v>36771</v>
      </c>
      <c r="C149" s="31">
        <f>YEAR(Table1[[#This Row],[Tanggal Lahir]])</f>
        <v>2000</v>
      </c>
      <c r="D149" s="15">
        <f t="shared" si="8"/>
        <v>22.066666666666666</v>
      </c>
      <c r="E149" s="12" t="s">
        <v>14</v>
      </c>
      <c r="F149" s="14">
        <v>42568</v>
      </c>
      <c r="G149" s="13">
        <f t="shared" si="9"/>
        <v>2016</v>
      </c>
      <c r="H149" s="30">
        <f t="shared" si="10"/>
        <v>9000000</v>
      </c>
      <c r="I149" s="39">
        <v>3</v>
      </c>
      <c r="J149">
        <f t="shared" si="11"/>
        <v>2</v>
      </c>
    </row>
    <row r="150" spans="1:14" x14ac:dyDescent="0.25">
      <c r="A150" s="16" t="s">
        <v>167</v>
      </c>
      <c r="B150" s="14">
        <v>37255</v>
      </c>
      <c r="C150" s="31">
        <f>YEAR(Table1[[#This Row],[Tanggal Lahir]])</f>
        <v>2001</v>
      </c>
      <c r="D150" s="15">
        <f t="shared" si="8"/>
        <v>20.738888888888887</v>
      </c>
      <c r="E150" s="12" t="s">
        <v>14</v>
      </c>
      <c r="F150" s="14">
        <v>44497</v>
      </c>
      <c r="G150" s="13">
        <f t="shared" si="9"/>
        <v>2021</v>
      </c>
      <c r="H150" s="30">
        <f t="shared" si="10"/>
        <v>6800000</v>
      </c>
      <c r="I150" s="39">
        <v>2</v>
      </c>
      <c r="J150">
        <f t="shared" si="11"/>
        <v>2</v>
      </c>
    </row>
    <row r="151" spans="1:14" x14ac:dyDescent="0.25">
      <c r="A151" s="16" t="s">
        <v>168</v>
      </c>
      <c r="B151" s="14">
        <v>35973</v>
      </c>
      <c r="C151" s="31">
        <f>YEAR(Table1[[#This Row],[Tanggal Lahir]])</f>
        <v>1998</v>
      </c>
      <c r="D151" s="15">
        <f t="shared" si="8"/>
        <v>24.247222222222224</v>
      </c>
      <c r="E151" s="12" t="s">
        <v>7</v>
      </c>
      <c r="F151" s="14">
        <v>39555</v>
      </c>
      <c r="G151" s="13">
        <f t="shared" si="9"/>
        <v>2008</v>
      </c>
      <c r="H151" s="30">
        <f t="shared" si="10"/>
        <v>18000000</v>
      </c>
      <c r="I151" s="39">
        <v>4</v>
      </c>
      <c r="J151">
        <f t="shared" si="11"/>
        <v>2</v>
      </c>
    </row>
    <row r="152" spans="1:14" x14ac:dyDescent="0.25">
      <c r="A152" s="16" t="s">
        <v>169</v>
      </c>
      <c r="B152" s="14">
        <v>36887</v>
      </c>
      <c r="C152" s="31">
        <f>YEAR(Table1[[#This Row],[Tanggal Lahir]])</f>
        <v>2000</v>
      </c>
      <c r="D152" s="15">
        <f t="shared" si="8"/>
        <v>21.747222222222224</v>
      </c>
      <c r="E152" s="12" t="s">
        <v>10</v>
      </c>
      <c r="F152" s="14">
        <v>39388</v>
      </c>
      <c r="G152" s="13">
        <f t="shared" si="9"/>
        <v>2007</v>
      </c>
      <c r="H152" s="30">
        <f t="shared" si="10"/>
        <v>18000000</v>
      </c>
      <c r="I152" s="39">
        <v>4</v>
      </c>
      <c r="J152">
        <f t="shared" si="11"/>
        <v>2</v>
      </c>
    </row>
    <row r="153" spans="1:14" x14ac:dyDescent="0.25">
      <c r="A153" s="16" t="s">
        <v>170</v>
      </c>
      <c r="B153" s="14">
        <v>35168</v>
      </c>
      <c r="C153" s="31">
        <f>YEAR(Table1[[#This Row],[Tanggal Lahir]])</f>
        <v>1996</v>
      </c>
      <c r="D153" s="15">
        <f t="shared" si="8"/>
        <v>26.452777777777779</v>
      </c>
      <c r="E153" s="12" t="s">
        <v>10</v>
      </c>
      <c r="F153" s="14">
        <v>43950</v>
      </c>
      <c r="G153" s="13">
        <f t="shared" si="9"/>
        <v>2020</v>
      </c>
      <c r="H153" s="30">
        <f t="shared" si="10"/>
        <v>6800000</v>
      </c>
      <c r="I153" s="39">
        <v>2</v>
      </c>
      <c r="J153">
        <f t="shared" si="11"/>
        <v>2</v>
      </c>
    </row>
    <row r="154" spans="1:14" x14ac:dyDescent="0.25">
      <c r="A154" s="16" t="s">
        <v>171</v>
      </c>
      <c r="B154" s="14">
        <v>34545</v>
      </c>
      <c r="C154" s="31">
        <f>YEAR(Table1[[#This Row],[Tanggal Lahir]])</f>
        <v>1994</v>
      </c>
      <c r="D154" s="15">
        <f t="shared" si="8"/>
        <v>28.155555555555555</v>
      </c>
      <c r="E154" s="12" t="s">
        <v>14</v>
      </c>
      <c r="F154" s="14">
        <v>40861</v>
      </c>
      <c r="G154" s="13">
        <f t="shared" si="9"/>
        <v>2011</v>
      </c>
      <c r="H154" s="30">
        <f t="shared" si="10"/>
        <v>13000000</v>
      </c>
      <c r="I154" s="39">
        <v>6</v>
      </c>
      <c r="J154">
        <f t="shared" si="11"/>
        <v>2</v>
      </c>
    </row>
    <row r="155" spans="1:14" x14ac:dyDescent="0.25">
      <c r="A155" s="16" t="s">
        <v>172</v>
      </c>
      <c r="B155" s="14">
        <v>36555</v>
      </c>
      <c r="C155" s="31">
        <f>YEAR(Table1[[#This Row],[Tanggal Lahir]])</f>
        <v>2000</v>
      </c>
      <c r="D155" s="15">
        <f t="shared" si="8"/>
        <v>22.655555555555555</v>
      </c>
      <c r="E155" s="12" t="s">
        <v>10</v>
      </c>
      <c r="F155" s="14">
        <v>38251</v>
      </c>
      <c r="G155" s="13">
        <f t="shared" si="9"/>
        <v>2004</v>
      </c>
      <c r="H155" s="30">
        <f t="shared" si="10"/>
        <v>18000000</v>
      </c>
      <c r="I155" s="39">
        <v>5</v>
      </c>
      <c r="J155">
        <f t="shared" si="11"/>
        <v>2</v>
      </c>
    </row>
    <row r="156" spans="1:14" x14ac:dyDescent="0.25">
      <c r="A156" s="16" t="s">
        <v>173</v>
      </c>
      <c r="B156" s="14">
        <v>36120</v>
      </c>
      <c r="C156" s="31">
        <f>YEAR(Table1[[#This Row],[Tanggal Lahir]])</f>
        <v>1998</v>
      </c>
      <c r="D156" s="15">
        <f t="shared" si="8"/>
        <v>23.847222222222221</v>
      </c>
      <c r="E156" s="12" t="s">
        <v>10</v>
      </c>
      <c r="F156" s="14">
        <v>44459</v>
      </c>
      <c r="G156" s="13">
        <f t="shared" si="9"/>
        <v>2021</v>
      </c>
      <c r="H156" s="30">
        <f t="shared" si="10"/>
        <v>6800000</v>
      </c>
      <c r="I156" s="39">
        <v>3</v>
      </c>
      <c r="J156">
        <f t="shared" si="11"/>
        <v>2</v>
      </c>
      <c r="N156" t="e" cm="1">
        <f t="array" ref="N156">_xlfn.UNIQUE(#REF!)</f>
        <v>#REF!</v>
      </c>
    </row>
    <row r="157" spans="1:14" x14ac:dyDescent="0.25">
      <c r="A157" s="16" t="s">
        <v>174</v>
      </c>
      <c r="B157" s="14">
        <v>37545</v>
      </c>
      <c r="C157" s="31">
        <f>YEAR(Table1[[#This Row],[Tanggal Lahir]])</f>
        <v>2002</v>
      </c>
      <c r="D157" s="15">
        <f t="shared" si="8"/>
        <v>19.944444444444443</v>
      </c>
      <c r="E157" s="12" t="s">
        <v>10</v>
      </c>
      <c r="F157" s="14">
        <v>41796</v>
      </c>
      <c r="G157" s="13">
        <f t="shared" si="9"/>
        <v>2014</v>
      </c>
      <c r="H157" s="30">
        <f t="shared" si="10"/>
        <v>9000000</v>
      </c>
      <c r="I157" s="39">
        <v>1</v>
      </c>
      <c r="J157">
        <f t="shared" si="11"/>
        <v>2</v>
      </c>
    </row>
    <row r="158" spans="1:14" x14ac:dyDescent="0.25">
      <c r="A158" s="16" t="s">
        <v>175</v>
      </c>
      <c r="B158" s="14">
        <v>36543</v>
      </c>
      <c r="C158" s="31">
        <f>YEAR(Table1[[#This Row],[Tanggal Lahir]])</f>
        <v>2000</v>
      </c>
      <c r="D158" s="15">
        <f t="shared" si="8"/>
        <v>22.68888888888889</v>
      </c>
      <c r="E158" s="12" t="s">
        <v>10</v>
      </c>
      <c r="F158" s="14">
        <v>44491</v>
      </c>
      <c r="G158" s="13">
        <f t="shared" si="9"/>
        <v>2021</v>
      </c>
      <c r="H158" s="30">
        <f t="shared" si="10"/>
        <v>6800000</v>
      </c>
      <c r="I158" s="39">
        <v>1</v>
      </c>
      <c r="J158">
        <f t="shared" si="11"/>
        <v>2</v>
      </c>
    </row>
    <row r="159" spans="1:14" x14ac:dyDescent="0.25">
      <c r="A159" s="16" t="s">
        <v>176</v>
      </c>
      <c r="B159" s="14">
        <v>37032</v>
      </c>
      <c r="C159" s="31">
        <f>YEAR(Table1[[#This Row],[Tanggal Lahir]])</f>
        <v>2001</v>
      </c>
      <c r="D159" s="15">
        <f t="shared" si="8"/>
        <v>21.347222222222221</v>
      </c>
      <c r="E159" s="12" t="s">
        <v>7</v>
      </c>
      <c r="F159" s="14">
        <v>41306</v>
      </c>
      <c r="G159" s="13">
        <f t="shared" si="9"/>
        <v>2013</v>
      </c>
      <c r="H159" s="30">
        <f t="shared" si="10"/>
        <v>13000000</v>
      </c>
      <c r="I159" s="39">
        <v>4</v>
      </c>
      <c r="J159">
        <f t="shared" si="11"/>
        <v>2</v>
      </c>
    </row>
    <row r="160" spans="1:14" x14ac:dyDescent="0.25">
      <c r="A160" s="16" t="s">
        <v>177</v>
      </c>
      <c r="B160" s="14">
        <v>35254</v>
      </c>
      <c r="C160" s="31">
        <f>YEAR(Table1[[#This Row],[Tanggal Lahir]])</f>
        <v>1996</v>
      </c>
      <c r="D160" s="15">
        <f t="shared" si="8"/>
        <v>26.216666666666665</v>
      </c>
      <c r="E160" s="12" t="s">
        <v>10</v>
      </c>
      <c r="F160" s="14">
        <v>42890</v>
      </c>
      <c r="G160" s="13">
        <f t="shared" si="9"/>
        <v>2017</v>
      </c>
      <c r="H160" s="30">
        <f t="shared" si="10"/>
        <v>9000000</v>
      </c>
      <c r="I160" s="39">
        <v>1</v>
      </c>
      <c r="J160">
        <f t="shared" si="11"/>
        <v>2</v>
      </c>
    </row>
    <row r="161" spans="1:10" x14ac:dyDescent="0.25">
      <c r="A161" s="16" t="s">
        <v>178</v>
      </c>
      <c r="B161" s="14">
        <v>35279</v>
      </c>
      <c r="C161" s="31">
        <f>YEAR(Table1[[#This Row],[Tanggal Lahir]])</f>
        <v>1996</v>
      </c>
      <c r="D161" s="15">
        <f t="shared" si="8"/>
        <v>26.15</v>
      </c>
      <c r="E161" s="12" t="s">
        <v>14</v>
      </c>
      <c r="F161" s="14">
        <v>41761</v>
      </c>
      <c r="G161" s="13">
        <f t="shared" si="9"/>
        <v>2014</v>
      </c>
      <c r="H161" s="30">
        <f t="shared" si="10"/>
        <v>9000000</v>
      </c>
      <c r="I161" s="39">
        <v>1</v>
      </c>
      <c r="J161">
        <f t="shared" si="11"/>
        <v>2</v>
      </c>
    </row>
    <row r="162" spans="1:10" x14ac:dyDescent="0.25">
      <c r="A162" s="16" t="s">
        <v>179</v>
      </c>
      <c r="B162" s="14">
        <v>35440</v>
      </c>
      <c r="C162" s="31">
        <f>YEAR(Table1[[#This Row],[Tanggal Lahir]])</f>
        <v>1997</v>
      </c>
      <c r="D162" s="15">
        <f t="shared" si="8"/>
        <v>25.711111111111112</v>
      </c>
      <c r="E162" s="12" t="s">
        <v>10</v>
      </c>
      <c r="F162" s="14">
        <v>43043</v>
      </c>
      <c r="G162" s="13">
        <f t="shared" si="9"/>
        <v>2017</v>
      </c>
      <c r="H162" s="30">
        <f t="shared" si="10"/>
        <v>9000000</v>
      </c>
      <c r="I162" s="39">
        <v>1</v>
      </c>
      <c r="J162">
        <f t="shared" si="11"/>
        <v>2</v>
      </c>
    </row>
    <row r="163" spans="1:10" x14ac:dyDescent="0.25">
      <c r="A163" s="16" t="s">
        <v>180</v>
      </c>
      <c r="B163" s="14">
        <v>36029</v>
      </c>
      <c r="C163" s="31">
        <f>YEAR(Table1[[#This Row],[Tanggal Lahir]])</f>
        <v>1998</v>
      </c>
      <c r="D163" s="15">
        <f t="shared" si="8"/>
        <v>24.094444444444445</v>
      </c>
      <c r="E163" s="12" t="s">
        <v>14</v>
      </c>
      <c r="F163" s="14">
        <v>44120</v>
      </c>
      <c r="G163" s="13">
        <f t="shared" si="9"/>
        <v>2020</v>
      </c>
      <c r="H163" s="30">
        <f t="shared" si="10"/>
        <v>6800000</v>
      </c>
      <c r="I163" s="39">
        <v>5</v>
      </c>
      <c r="J163">
        <f t="shared" si="11"/>
        <v>2</v>
      </c>
    </row>
    <row r="164" spans="1:10" x14ac:dyDescent="0.25">
      <c r="A164" s="16" t="s">
        <v>181</v>
      </c>
      <c r="B164" s="14">
        <v>35826</v>
      </c>
      <c r="C164" s="31">
        <f>YEAR(Table1[[#This Row],[Tanggal Lahir]])</f>
        <v>1998</v>
      </c>
      <c r="D164" s="15">
        <f t="shared" si="8"/>
        <v>24.655555555555555</v>
      </c>
      <c r="E164" s="12" t="s">
        <v>10</v>
      </c>
      <c r="F164" s="14">
        <v>41216</v>
      </c>
      <c r="G164" s="13">
        <f t="shared" si="9"/>
        <v>2012</v>
      </c>
      <c r="H164" s="30">
        <f t="shared" si="10"/>
        <v>13000000</v>
      </c>
      <c r="I164" s="39">
        <v>2</v>
      </c>
      <c r="J164">
        <f t="shared" si="11"/>
        <v>2</v>
      </c>
    </row>
    <row r="165" spans="1:10" x14ac:dyDescent="0.25">
      <c r="A165" s="16" t="s">
        <v>182</v>
      </c>
      <c r="B165" s="14">
        <v>36948</v>
      </c>
      <c r="C165" s="31">
        <f>YEAR(Table1[[#This Row],[Tanggal Lahir]])</f>
        <v>2001</v>
      </c>
      <c r="D165" s="15">
        <f t="shared" si="8"/>
        <v>21.583333333333332</v>
      </c>
      <c r="E165" s="12" t="s">
        <v>10</v>
      </c>
      <c r="F165" s="14">
        <v>42727</v>
      </c>
      <c r="G165" s="13">
        <f t="shared" si="9"/>
        <v>2016</v>
      </c>
      <c r="H165" s="30">
        <f t="shared" si="10"/>
        <v>9000000</v>
      </c>
      <c r="I165" s="39">
        <v>6</v>
      </c>
      <c r="J165">
        <f t="shared" si="11"/>
        <v>2</v>
      </c>
    </row>
    <row r="166" spans="1:10" x14ac:dyDescent="0.25">
      <c r="A166" s="16" t="s">
        <v>183</v>
      </c>
      <c r="B166" s="14">
        <v>37945</v>
      </c>
      <c r="C166" s="31">
        <f>YEAR(Table1[[#This Row],[Tanggal Lahir]])</f>
        <v>2003</v>
      </c>
      <c r="D166" s="15">
        <f t="shared" si="8"/>
        <v>18.850000000000001</v>
      </c>
      <c r="E166" s="12" t="s">
        <v>10</v>
      </c>
      <c r="F166" s="14">
        <v>41370</v>
      </c>
      <c r="G166" s="13">
        <f t="shared" si="9"/>
        <v>2013</v>
      </c>
      <c r="H166" s="30">
        <f t="shared" si="10"/>
        <v>13000000</v>
      </c>
      <c r="I166" s="39">
        <v>1</v>
      </c>
      <c r="J166">
        <f t="shared" si="11"/>
        <v>2</v>
      </c>
    </row>
    <row r="167" spans="1:10" x14ac:dyDescent="0.25">
      <c r="A167" s="16" t="s">
        <v>184</v>
      </c>
      <c r="B167" s="14">
        <v>34492</v>
      </c>
      <c r="C167" s="31">
        <f>YEAR(Table1[[#This Row],[Tanggal Lahir]])</f>
        <v>1994</v>
      </c>
      <c r="D167" s="15">
        <f t="shared" si="8"/>
        <v>28.302777777777777</v>
      </c>
      <c r="E167" s="12" t="s">
        <v>14</v>
      </c>
      <c r="F167" s="14">
        <v>42303</v>
      </c>
      <c r="G167" s="13">
        <f t="shared" si="9"/>
        <v>2015</v>
      </c>
      <c r="H167" s="30">
        <f t="shared" si="10"/>
        <v>9000000</v>
      </c>
      <c r="I167" s="39">
        <v>1</v>
      </c>
      <c r="J167">
        <f t="shared" si="11"/>
        <v>2</v>
      </c>
    </row>
    <row r="168" spans="1:10" x14ac:dyDescent="0.25">
      <c r="A168" s="16" t="s">
        <v>185</v>
      </c>
      <c r="B168" s="14">
        <v>36101</v>
      </c>
      <c r="C168" s="31">
        <f>YEAR(Table1[[#This Row],[Tanggal Lahir]])</f>
        <v>1998</v>
      </c>
      <c r="D168" s="15">
        <f t="shared" si="8"/>
        <v>23.9</v>
      </c>
      <c r="E168" s="12" t="s">
        <v>10</v>
      </c>
      <c r="F168" s="14">
        <v>39301</v>
      </c>
      <c r="G168" s="13">
        <f t="shared" si="9"/>
        <v>2007</v>
      </c>
      <c r="H168" s="30">
        <f t="shared" si="10"/>
        <v>18000000</v>
      </c>
      <c r="I168" s="39">
        <v>3</v>
      </c>
      <c r="J168">
        <f t="shared" si="11"/>
        <v>2</v>
      </c>
    </row>
    <row r="169" spans="1:10" x14ac:dyDescent="0.25">
      <c r="A169" s="16" t="s">
        <v>186</v>
      </c>
      <c r="B169" s="14">
        <v>35726</v>
      </c>
      <c r="C169" s="31">
        <f>YEAR(Table1[[#This Row],[Tanggal Lahir]])</f>
        <v>1997</v>
      </c>
      <c r="D169" s="15">
        <f t="shared" si="8"/>
        <v>24.925000000000001</v>
      </c>
      <c r="E169" s="12" t="s">
        <v>7</v>
      </c>
      <c r="F169" s="14">
        <v>44273</v>
      </c>
      <c r="G169" s="13">
        <f t="shared" si="9"/>
        <v>2021</v>
      </c>
      <c r="H169" s="30">
        <f t="shared" si="10"/>
        <v>6800000</v>
      </c>
      <c r="I169" s="39">
        <v>3</v>
      </c>
      <c r="J169">
        <f t="shared" si="11"/>
        <v>2</v>
      </c>
    </row>
    <row r="170" spans="1:10" x14ac:dyDescent="0.25">
      <c r="A170" s="16" t="s">
        <v>187</v>
      </c>
      <c r="B170" s="14">
        <v>36298</v>
      </c>
      <c r="C170" s="31">
        <f>YEAR(Table1[[#This Row],[Tanggal Lahir]])</f>
        <v>1999</v>
      </c>
      <c r="D170" s="15">
        <f t="shared" si="8"/>
        <v>23.355555555555554</v>
      </c>
      <c r="E170" s="12" t="s">
        <v>10</v>
      </c>
      <c r="F170" s="14">
        <v>43601</v>
      </c>
      <c r="G170" s="13">
        <f t="shared" si="9"/>
        <v>2019</v>
      </c>
      <c r="H170" s="30">
        <f t="shared" si="10"/>
        <v>9000000</v>
      </c>
      <c r="I170" s="39">
        <v>5</v>
      </c>
      <c r="J170">
        <f t="shared" si="11"/>
        <v>2</v>
      </c>
    </row>
    <row r="171" spans="1:10" x14ac:dyDescent="0.25">
      <c r="A171" s="16" t="s">
        <v>188</v>
      </c>
      <c r="B171" s="14">
        <v>36492</v>
      </c>
      <c r="C171" s="31">
        <f>YEAR(Table1[[#This Row],[Tanggal Lahir]])</f>
        <v>1999</v>
      </c>
      <c r="D171" s="15">
        <f t="shared" si="8"/>
        <v>22.827777777777779</v>
      </c>
      <c r="E171" s="12" t="s">
        <v>10</v>
      </c>
      <c r="F171" s="14">
        <v>40719</v>
      </c>
      <c r="G171" s="13">
        <f t="shared" si="9"/>
        <v>2011</v>
      </c>
      <c r="H171" s="30">
        <f t="shared" si="10"/>
        <v>13000000</v>
      </c>
      <c r="I171" s="39">
        <v>2</v>
      </c>
      <c r="J171">
        <f t="shared" si="11"/>
        <v>2</v>
      </c>
    </row>
    <row r="172" spans="1:10" x14ac:dyDescent="0.25">
      <c r="A172" s="16" t="s">
        <v>189</v>
      </c>
      <c r="B172" s="14">
        <v>35138</v>
      </c>
      <c r="C172" s="31">
        <f>YEAR(Table1[[#This Row],[Tanggal Lahir]])</f>
        <v>1996</v>
      </c>
      <c r="D172" s="15">
        <f t="shared" si="8"/>
        <v>26.533333333333335</v>
      </c>
      <c r="E172" s="12" t="s">
        <v>14</v>
      </c>
      <c r="F172" s="14">
        <v>42047</v>
      </c>
      <c r="G172" s="13">
        <f t="shared" si="9"/>
        <v>2015</v>
      </c>
      <c r="H172" s="30">
        <f t="shared" si="10"/>
        <v>9000000</v>
      </c>
      <c r="I172" s="39">
        <v>4</v>
      </c>
      <c r="J172">
        <f t="shared" si="11"/>
        <v>2</v>
      </c>
    </row>
    <row r="173" spans="1:10" x14ac:dyDescent="0.25">
      <c r="A173" s="16" t="s">
        <v>190</v>
      </c>
      <c r="B173" s="14">
        <v>36524</v>
      </c>
      <c r="C173" s="31">
        <f>YEAR(Table1[[#This Row],[Tanggal Lahir]])</f>
        <v>1999</v>
      </c>
      <c r="D173" s="15">
        <f t="shared" si="8"/>
        <v>22.738888888888887</v>
      </c>
      <c r="E173" s="12" t="s">
        <v>10</v>
      </c>
      <c r="F173" s="14">
        <v>38281</v>
      </c>
      <c r="G173" s="13">
        <f t="shared" si="9"/>
        <v>2004</v>
      </c>
      <c r="H173" s="30">
        <f t="shared" si="10"/>
        <v>18000000</v>
      </c>
      <c r="I173" s="39">
        <v>4</v>
      </c>
      <c r="J173">
        <f t="shared" si="11"/>
        <v>2</v>
      </c>
    </row>
    <row r="174" spans="1:10" x14ac:dyDescent="0.25">
      <c r="A174" s="16" t="s">
        <v>191</v>
      </c>
      <c r="B174" s="14">
        <v>35108</v>
      </c>
      <c r="C174" s="31">
        <f>YEAR(Table1[[#This Row],[Tanggal Lahir]])</f>
        <v>1996</v>
      </c>
      <c r="D174" s="15">
        <f t="shared" si="8"/>
        <v>26.619444444444444</v>
      </c>
      <c r="E174" s="12" t="s">
        <v>10</v>
      </c>
      <c r="F174" s="14">
        <v>39649</v>
      </c>
      <c r="G174" s="13">
        <f t="shared" si="9"/>
        <v>2008</v>
      </c>
      <c r="H174" s="30">
        <f t="shared" si="10"/>
        <v>18000000</v>
      </c>
      <c r="I174" s="39">
        <v>2</v>
      </c>
      <c r="J174">
        <f t="shared" si="11"/>
        <v>2</v>
      </c>
    </row>
    <row r="175" spans="1:10" x14ac:dyDescent="0.25">
      <c r="A175" s="16" t="s">
        <v>192</v>
      </c>
      <c r="B175" s="14">
        <v>35149</v>
      </c>
      <c r="C175" s="31">
        <f>YEAR(Table1[[#This Row],[Tanggal Lahir]])</f>
        <v>1996</v>
      </c>
      <c r="D175" s="15">
        <f t="shared" si="8"/>
        <v>26.502777777777776</v>
      </c>
      <c r="E175" s="12" t="s">
        <v>7</v>
      </c>
      <c r="F175" s="14">
        <v>44307</v>
      </c>
      <c r="G175" s="13">
        <f t="shared" si="9"/>
        <v>2021</v>
      </c>
      <c r="H175" s="30">
        <f t="shared" si="10"/>
        <v>6800000</v>
      </c>
      <c r="I175" s="39">
        <v>2</v>
      </c>
      <c r="J175">
        <f t="shared" si="11"/>
        <v>2</v>
      </c>
    </row>
    <row r="176" spans="1:10" x14ac:dyDescent="0.25">
      <c r="A176" s="16" t="s">
        <v>193</v>
      </c>
      <c r="B176" s="14">
        <v>37058</v>
      </c>
      <c r="C176" s="31">
        <f>YEAR(Table1[[#This Row],[Tanggal Lahir]])</f>
        <v>2001</v>
      </c>
      <c r="D176" s="15">
        <f t="shared" si="8"/>
        <v>21.277777777777779</v>
      </c>
      <c r="E176" s="12" t="s">
        <v>10</v>
      </c>
      <c r="F176" s="14">
        <v>39655</v>
      </c>
      <c r="G176" s="13">
        <f t="shared" si="9"/>
        <v>2008</v>
      </c>
      <c r="H176" s="30">
        <f t="shared" si="10"/>
        <v>18000000</v>
      </c>
      <c r="I176" s="39">
        <v>6</v>
      </c>
      <c r="J176">
        <f t="shared" si="11"/>
        <v>2</v>
      </c>
    </row>
    <row r="177" spans="1:10" x14ac:dyDescent="0.25">
      <c r="A177" s="16" t="s">
        <v>194</v>
      </c>
      <c r="B177" s="14">
        <v>35859</v>
      </c>
      <c r="C177" s="31">
        <f>YEAR(Table1[[#This Row],[Tanggal Lahir]])</f>
        <v>1998</v>
      </c>
      <c r="D177" s="15">
        <f t="shared" si="8"/>
        <v>24.558333333333334</v>
      </c>
      <c r="E177" s="12" t="s">
        <v>10</v>
      </c>
      <c r="F177" s="14">
        <v>40359</v>
      </c>
      <c r="G177" s="13">
        <f t="shared" si="9"/>
        <v>2010</v>
      </c>
      <c r="H177" s="30">
        <f t="shared" si="10"/>
        <v>13000000</v>
      </c>
      <c r="I177" s="39">
        <v>6</v>
      </c>
      <c r="J177">
        <f t="shared" si="11"/>
        <v>2</v>
      </c>
    </row>
    <row r="178" spans="1:10" x14ac:dyDescent="0.25">
      <c r="A178" s="16" t="s">
        <v>195</v>
      </c>
      <c r="B178" s="14">
        <v>36523</v>
      </c>
      <c r="C178" s="31">
        <f>YEAR(Table1[[#This Row],[Tanggal Lahir]])</f>
        <v>1999</v>
      </c>
      <c r="D178" s="15">
        <f t="shared" si="8"/>
        <v>22.741666666666667</v>
      </c>
      <c r="E178" s="12" t="s">
        <v>10</v>
      </c>
      <c r="F178" s="14">
        <v>42367</v>
      </c>
      <c r="G178" s="13">
        <f t="shared" si="9"/>
        <v>2015</v>
      </c>
      <c r="H178" s="30">
        <f t="shared" si="10"/>
        <v>9000000</v>
      </c>
      <c r="I178" s="39">
        <v>1</v>
      </c>
      <c r="J178">
        <f t="shared" si="11"/>
        <v>2</v>
      </c>
    </row>
    <row r="179" spans="1:10" x14ac:dyDescent="0.25">
      <c r="A179" s="16" t="s">
        <v>196</v>
      </c>
      <c r="B179" s="14">
        <v>37301</v>
      </c>
      <c r="C179" s="31">
        <f>YEAR(Table1[[#This Row],[Tanggal Lahir]])</f>
        <v>2002</v>
      </c>
      <c r="D179" s="15">
        <f t="shared" si="8"/>
        <v>20.616666666666667</v>
      </c>
      <c r="E179" s="12" t="s">
        <v>7</v>
      </c>
      <c r="F179" s="14">
        <v>44606</v>
      </c>
      <c r="G179" s="13">
        <f t="shared" si="9"/>
        <v>2022</v>
      </c>
      <c r="H179" s="30">
        <f t="shared" si="10"/>
        <v>6800000</v>
      </c>
      <c r="I179" s="39">
        <v>3</v>
      </c>
      <c r="J179">
        <f t="shared" si="11"/>
        <v>2</v>
      </c>
    </row>
    <row r="180" spans="1:10" x14ac:dyDescent="0.25">
      <c r="A180" s="16" t="s">
        <v>197</v>
      </c>
      <c r="B180" s="14">
        <v>36015</v>
      </c>
      <c r="C180" s="31">
        <f>YEAR(Table1[[#This Row],[Tanggal Lahir]])</f>
        <v>1998</v>
      </c>
      <c r="D180" s="15">
        <f t="shared" si="8"/>
        <v>24.133333333333333</v>
      </c>
      <c r="E180" s="12" t="s">
        <v>10</v>
      </c>
      <c r="F180" s="14">
        <v>41343</v>
      </c>
      <c r="G180" s="13">
        <f t="shared" si="9"/>
        <v>2013</v>
      </c>
      <c r="H180" s="30">
        <f t="shared" si="10"/>
        <v>13000000</v>
      </c>
      <c r="I180" s="39">
        <v>1</v>
      </c>
      <c r="J180">
        <f t="shared" si="11"/>
        <v>2</v>
      </c>
    </row>
    <row r="181" spans="1:10" x14ac:dyDescent="0.25">
      <c r="A181" s="16" t="s">
        <v>198</v>
      </c>
      <c r="B181" s="14">
        <v>37132</v>
      </c>
      <c r="C181" s="31">
        <f>YEAR(Table1[[#This Row],[Tanggal Lahir]])</f>
        <v>2001</v>
      </c>
      <c r="D181" s="15">
        <f t="shared" si="8"/>
        <v>21.074999999999999</v>
      </c>
      <c r="E181" s="12" t="s">
        <v>10</v>
      </c>
      <c r="F181" s="14">
        <v>41730</v>
      </c>
      <c r="G181" s="13">
        <f t="shared" si="9"/>
        <v>2014</v>
      </c>
      <c r="H181" s="30">
        <f t="shared" si="10"/>
        <v>9000000</v>
      </c>
      <c r="I181" s="39">
        <v>4</v>
      </c>
      <c r="J181">
        <f t="shared" si="11"/>
        <v>3</v>
      </c>
    </row>
    <row r="182" spans="1:10" x14ac:dyDescent="0.25">
      <c r="A182" s="16" t="s">
        <v>199</v>
      </c>
      <c r="B182" s="14">
        <v>36419</v>
      </c>
      <c r="C182" s="31">
        <f>YEAR(Table1[[#This Row],[Tanggal Lahir]])</f>
        <v>1999</v>
      </c>
      <c r="D182" s="15">
        <f t="shared" si="8"/>
        <v>23.027777777777779</v>
      </c>
      <c r="E182" s="12" t="s">
        <v>10</v>
      </c>
      <c r="F182" s="14">
        <v>44421</v>
      </c>
      <c r="G182" s="13">
        <f t="shared" si="9"/>
        <v>2021</v>
      </c>
      <c r="H182" s="30">
        <f t="shared" si="10"/>
        <v>6800000</v>
      </c>
      <c r="I182" s="39">
        <v>4</v>
      </c>
      <c r="J182">
        <f t="shared" si="11"/>
        <v>2</v>
      </c>
    </row>
    <row r="183" spans="1:10" x14ac:dyDescent="0.25">
      <c r="A183" s="16" t="s">
        <v>200</v>
      </c>
      <c r="B183" s="14">
        <v>36370</v>
      </c>
      <c r="C183" s="31">
        <f>YEAR(Table1[[#This Row],[Tanggal Lahir]])</f>
        <v>1999</v>
      </c>
      <c r="D183" s="15">
        <f t="shared" si="8"/>
        <v>23.158333333333335</v>
      </c>
      <c r="E183" s="12" t="s">
        <v>14</v>
      </c>
      <c r="F183" s="14">
        <v>42214</v>
      </c>
      <c r="G183" s="13">
        <f t="shared" si="9"/>
        <v>2015</v>
      </c>
      <c r="H183" s="30">
        <f t="shared" si="10"/>
        <v>9000000</v>
      </c>
      <c r="I183" s="39">
        <v>3</v>
      </c>
      <c r="J183">
        <f t="shared" si="11"/>
        <v>2</v>
      </c>
    </row>
    <row r="184" spans="1:10" x14ac:dyDescent="0.25">
      <c r="A184" s="16" t="s">
        <v>201</v>
      </c>
      <c r="B184" s="14">
        <v>35177</v>
      </c>
      <c r="C184" s="31">
        <f>YEAR(Table1[[#This Row],[Tanggal Lahir]])</f>
        <v>1996</v>
      </c>
      <c r="D184" s="15">
        <f t="shared" si="8"/>
        <v>26.427777777777777</v>
      </c>
      <c r="E184" s="12" t="s">
        <v>14</v>
      </c>
      <c r="F184" s="14">
        <v>43512</v>
      </c>
      <c r="G184" s="13">
        <f t="shared" si="9"/>
        <v>2019</v>
      </c>
      <c r="H184" s="30">
        <f t="shared" si="10"/>
        <v>9000000</v>
      </c>
      <c r="I184" s="39">
        <v>4</v>
      </c>
      <c r="J184">
        <f t="shared" si="11"/>
        <v>2</v>
      </c>
    </row>
    <row r="185" spans="1:10" x14ac:dyDescent="0.25">
      <c r="A185" s="16" t="s">
        <v>202</v>
      </c>
      <c r="B185" s="14">
        <v>37719</v>
      </c>
      <c r="C185" s="31">
        <f>YEAR(Table1[[#This Row],[Tanggal Lahir]])</f>
        <v>2003</v>
      </c>
      <c r="D185" s="15">
        <f t="shared" si="8"/>
        <v>19.466666666666665</v>
      </c>
      <c r="E185" s="12" t="s">
        <v>14</v>
      </c>
      <c r="F185" s="14">
        <v>39412</v>
      </c>
      <c r="G185" s="13">
        <f t="shared" si="9"/>
        <v>2007</v>
      </c>
      <c r="H185" s="30">
        <f t="shared" si="10"/>
        <v>18000000</v>
      </c>
      <c r="I185" s="39">
        <v>5</v>
      </c>
      <c r="J185">
        <f t="shared" si="11"/>
        <v>2</v>
      </c>
    </row>
    <row r="186" spans="1:10" x14ac:dyDescent="0.25">
      <c r="A186" s="16" t="s">
        <v>203</v>
      </c>
      <c r="B186" s="14">
        <v>35536</v>
      </c>
      <c r="C186" s="31">
        <f>YEAR(Table1[[#This Row],[Tanggal Lahir]])</f>
        <v>1997</v>
      </c>
      <c r="D186" s="15">
        <f t="shared" si="8"/>
        <v>25.444444444444443</v>
      </c>
      <c r="E186" s="12" t="s">
        <v>14</v>
      </c>
      <c r="F186" s="14">
        <v>38359</v>
      </c>
      <c r="G186" s="13">
        <f t="shared" si="9"/>
        <v>2005</v>
      </c>
      <c r="H186" s="30">
        <f t="shared" si="10"/>
        <v>18000000</v>
      </c>
      <c r="I186" s="39">
        <v>5</v>
      </c>
      <c r="J186">
        <f t="shared" si="11"/>
        <v>2</v>
      </c>
    </row>
    <row r="187" spans="1:10" x14ac:dyDescent="0.25">
      <c r="A187" s="16" t="s">
        <v>204</v>
      </c>
      <c r="B187" s="14">
        <v>34957</v>
      </c>
      <c r="C187" s="31">
        <f>YEAR(Table1[[#This Row],[Tanggal Lahir]])</f>
        <v>1995</v>
      </c>
      <c r="D187" s="15">
        <f t="shared" si="8"/>
        <v>27.030555555555555</v>
      </c>
      <c r="E187" s="12" t="s">
        <v>10</v>
      </c>
      <c r="F187" s="14">
        <v>41168</v>
      </c>
      <c r="G187" s="13">
        <f t="shared" si="9"/>
        <v>2012</v>
      </c>
      <c r="H187" s="30">
        <f t="shared" si="10"/>
        <v>13000000</v>
      </c>
      <c r="I187" s="39">
        <v>2</v>
      </c>
      <c r="J187">
        <f t="shared" si="11"/>
        <v>3</v>
      </c>
    </row>
    <row r="188" spans="1:10" x14ac:dyDescent="0.25">
      <c r="A188" s="16" t="s">
        <v>205</v>
      </c>
      <c r="B188" s="14">
        <v>35072</v>
      </c>
      <c r="C188" s="31">
        <f>YEAR(Table1[[#This Row],[Tanggal Lahir]])</f>
        <v>1996</v>
      </c>
      <c r="D188" s="15">
        <f t="shared" si="8"/>
        <v>26.716666666666665</v>
      </c>
      <c r="E188" s="12" t="s">
        <v>14</v>
      </c>
      <c r="F188" s="14">
        <v>39146</v>
      </c>
      <c r="G188" s="13">
        <f t="shared" si="9"/>
        <v>2007</v>
      </c>
      <c r="H188" s="30">
        <f t="shared" si="10"/>
        <v>18000000</v>
      </c>
      <c r="I188" s="39">
        <v>4</v>
      </c>
      <c r="J188">
        <f t="shared" si="11"/>
        <v>2</v>
      </c>
    </row>
    <row r="189" spans="1:10" x14ac:dyDescent="0.25">
      <c r="A189" s="16" t="s">
        <v>206</v>
      </c>
      <c r="B189" s="14">
        <v>37675</v>
      </c>
      <c r="C189" s="31">
        <f>YEAR(Table1[[#This Row],[Tanggal Lahir]])</f>
        <v>2003</v>
      </c>
      <c r="D189" s="15">
        <f t="shared" si="8"/>
        <v>19.591666666666665</v>
      </c>
      <c r="E189" s="12" t="s">
        <v>10</v>
      </c>
      <c r="F189" s="14">
        <v>43030</v>
      </c>
      <c r="G189" s="13">
        <f t="shared" si="9"/>
        <v>2017</v>
      </c>
      <c r="H189" s="30">
        <f t="shared" si="10"/>
        <v>9000000</v>
      </c>
      <c r="I189" s="39">
        <v>5</v>
      </c>
      <c r="J189">
        <f t="shared" si="11"/>
        <v>2</v>
      </c>
    </row>
    <row r="190" spans="1:10" x14ac:dyDescent="0.25">
      <c r="A190" s="16" t="s">
        <v>207</v>
      </c>
      <c r="B190" s="14">
        <v>35526</v>
      </c>
      <c r="C190" s="31">
        <f>YEAR(Table1[[#This Row],[Tanggal Lahir]])</f>
        <v>1997</v>
      </c>
      <c r="D190" s="15">
        <f t="shared" si="8"/>
        <v>25.472222222222221</v>
      </c>
      <c r="E190" s="12" t="s">
        <v>10</v>
      </c>
      <c r="F190" s="14">
        <v>43724</v>
      </c>
      <c r="G190" s="13">
        <f t="shared" si="9"/>
        <v>2019</v>
      </c>
      <c r="H190" s="30">
        <f t="shared" si="10"/>
        <v>9000000</v>
      </c>
      <c r="I190" s="39">
        <v>2</v>
      </c>
      <c r="J190">
        <f t="shared" si="11"/>
        <v>2</v>
      </c>
    </row>
    <row r="191" spans="1:10" x14ac:dyDescent="0.25">
      <c r="A191" s="16" t="s">
        <v>208</v>
      </c>
      <c r="B191" s="14">
        <v>35443</v>
      </c>
      <c r="C191" s="31">
        <f>YEAR(Table1[[#This Row],[Tanggal Lahir]])</f>
        <v>1997</v>
      </c>
      <c r="D191" s="15">
        <f t="shared" si="8"/>
        <v>25.702777777777779</v>
      </c>
      <c r="E191" s="12" t="s">
        <v>7</v>
      </c>
      <c r="F191" s="14">
        <v>43823</v>
      </c>
      <c r="G191" s="13">
        <f t="shared" si="9"/>
        <v>2019</v>
      </c>
      <c r="H191" s="30">
        <f t="shared" si="10"/>
        <v>9000000</v>
      </c>
      <c r="I191" s="39">
        <v>2</v>
      </c>
      <c r="J191">
        <f t="shared" si="11"/>
        <v>2</v>
      </c>
    </row>
    <row r="192" spans="1:10" x14ac:dyDescent="0.25">
      <c r="A192" s="16" t="s">
        <v>209</v>
      </c>
      <c r="B192" s="14">
        <v>36699</v>
      </c>
      <c r="C192" s="31">
        <f>YEAR(Table1[[#This Row],[Tanggal Lahir]])</f>
        <v>2000</v>
      </c>
      <c r="D192" s="15">
        <f t="shared" si="8"/>
        <v>22.261111111111113</v>
      </c>
      <c r="E192" s="12" t="s">
        <v>14</v>
      </c>
      <c r="F192" s="14">
        <v>38428</v>
      </c>
      <c r="G192" s="13">
        <f t="shared" si="9"/>
        <v>2005</v>
      </c>
      <c r="H192" s="30">
        <f t="shared" si="10"/>
        <v>18000000</v>
      </c>
      <c r="I192" s="39">
        <v>1</v>
      </c>
      <c r="J192">
        <f t="shared" si="11"/>
        <v>2</v>
      </c>
    </row>
    <row r="193" spans="1:10" x14ac:dyDescent="0.25">
      <c r="A193" s="16" t="s">
        <v>210</v>
      </c>
      <c r="B193" s="14">
        <v>35122</v>
      </c>
      <c r="C193" s="31">
        <f>YEAR(Table1[[#This Row],[Tanggal Lahir]])</f>
        <v>1996</v>
      </c>
      <c r="D193" s="15">
        <f t="shared" si="8"/>
        <v>26.580555555555556</v>
      </c>
      <c r="E193" s="12" t="s">
        <v>10</v>
      </c>
      <c r="F193" s="14">
        <v>39463</v>
      </c>
      <c r="G193" s="13">
        <f t="shared" si="9"/>
        <v>2008</v>
      </c>
      <c r="H193" s="30">
        <f t="shared" si="10"/>
        <v>18000000</v>
      </c>
      <c r="I193" s="39">
        <v>1</v>
      </c>
      <c r="J193">
        <f t="shared" si="11"/>
        <v>2</v>
      </c>
    </row>
    <row r="194" spans="1:10" x14ac:dyDescent="0.25">
      <c r="A194" s="16" t="s">
        <v>211</v>
      </c>
      <c r="B194" s="14">
        <v>37166</v>
      </c>
      <c r="C194" s="31">
        <f>YEAR(Table1[[#This Row],[Tanggal Lahir]])</f>
        <v>2001</v>
      </c>
      <c r="D194" s="15">
        <f t="shared" ref="D194:D257" si="12">YEARFRAC(B194,$L$2)</f>
        <v>20.983333333333334</v>
      </c>
      <c r="E194" s="12" t="s">
        <v>7</v>
      </c>
      <c r="F194" s="14">
        <v>42346</v>
      </c>
      <c r="G194" s="13">
        <f t="shared" ref="G194:G257" si="13">YEAR(F194)</f>
        <v>2015</v>
      </c>
      <c r="H194" s="30">
        <f t="shared" ref="H194:H257" si="14">IF(G194&lt;= 2008,18000000,IF(AND(G194&gt;=2009,G194&lt;=2013),13000000,IF(AND(G194&gt;=2014,G194&lt;=2019),9000000,6800000)))</f>
        <v>9000000</v>
      </c>
      <c r="I194" s="39">
        <v>3</v>
      </c>
      <c r="J194">
        <f t="shared" ref="J194:J257" si="15">SUM(LEN(A194)-LEN(SUBSTITUTE(A194," ",""))+1)</f>
        <v>2</v>
      </c>
    </row>
    <row r="195" spans="1:10" x14ac:dyDescent="0.25">
      <c r="A195" s="16" t="s">
        <v>212</v>
      </c>
      <c r="B195" s="14">
        <v>35796</v>
      </c>
      <c r="C195" s="31">
        <f>YEAR(Table1[[#This Row],[Tanggal Lahir]])</f>
        <v>1998</v>
      </c>
      <c r="D195" s="15">
        <f t="shared" si="12"/>
        <v>24.736111111111111</v>
      </c>
      <c r="E195" s="12" t="s">
        <v>10</v>
      </c>
      <c r="F195" s="14">
        <v>39338</v>
      </c>
      <c r="G195" s="13">
        <f t="shared" si="13"/>
        <v>2007</v>
      </c>
      <c r="H195" s="30">
        <f t="shared" si="14"/>
        <v>18000000</v>
      </c>
      <c r="I195" s="39">
        <v>4</v>
      </c>
      <c r="J195">
        <f t="shared" si="15"/>
        <v>2</v>
      </c>
    </row>
    <row r="196" spans="1:10" x14ac:dyDescent="0.25">
      <c r="A196" s="16" t="s">
        <v>213</v>
      </c>
      <c r="B196" s="14">
        <v>35794</v>
      </c>
      <c r="C196" s="31">
        <f>YEAR(Table1[[#This Row],[Tanggal Lahir]])</f>
        <v>1997</v>
      </c>
      <c r="D196" s="15">
        <f t="shared" si="12"/>
        <v>24.738888888888887</v>
      </c>
      <c r="E196" s="12" t="s">
        <v>10</v>
      </c>
      <c r="F196" s="14">
        <v>44724</v>
      </c>
      <c r="G196" s="13">
        <f t="shared" si="13"/>
        <v>2022</v>
      </c>
      <c r="H196" s="30">
        <f t="shared" si="14"/>
        <v>6800000</v>
      </c>
      <c r="I196" s="39">
        <v>6</v>
      </c>
      <c r="J196">
        <f t="shared" si="15"/>
        <v>3</v>
      </c>
    </row>
    <row r="197" spans="1:10" x14ac:dyDescent="0.25">
      <c r="A197" s="16" t="s">
        <v>214</v>
      </c>
      <c r="B197" s="14">
        <v>34639</v>
      </c>
      <c r="C197" s="31">
        <f>YEAR(Table1[[#This Row],[Tanggal Lahir]])</f>
        <v>1994</v>
      </c>
      <c r="D197" s="15">
        <f t="shared" si="12"/>
        <v>27.902777777777779</v>
      </c>
      <c r="E197" s="12" t="s">
        <v>10</v>
      </c>
      <c r="F197" s="14">
        <v>43566</v>
      </c>
      <c r="G197" s="13">
        <f t="shared" si="13"/>
        <v>2019</v>
      </c>
      <c r="H197" s="30">
        <f t="shared" si="14"/>
        <v>9000000</v>
      </c>
      <c r="I197" s="39">
        <v>3</v>
      </c>
      <c r="J197">
        <f t="shared" si="15"/>
        <v>2</v>
      </c>
    </row>
    <row r="198" spans="1:10" x14ac:dyDescent="0.25">
      <c r="A198" s="16" t="s">
        <v>215</v>
      </c>
      <c r="B198" s="14">
        <v>35925</v>
      </c>
      <c r="C198" s="31">
        <f>YEAR(Table1[[#This Row],[Tanggal Lahir]])</f>
        <v>1998</v>
      </c>
      <c r="D198" s="15">
        <f t="shared" si="12"/>
        <v>24.377777777777776</v>
      </c>
      <c r="E198" s="12" t="s">
        <v>10</v>
      </c>
      <c r="F198" s="14">
        <v>42292</v>
      </c>
      <c r="G198" s="13">
        <f t="shared" si="13"/>
        <v>2015</v>
      </c>
      <c r="H198" s="30">
        <f t="shared" si="14"/>
        <v>9000000</v>
      </c>
      <c r="I198" s="39">
        <v>2</v>
      </c>
      <c r="J198">
        <f t="shared" si="15"/>
        <v>2</v>
      </c>
    </row>
    <row r="199" spans="1:10" x14ac:dyDescent="0.25">
      <c r="A199" s="16" t="s">
        <v>216</v>
      </c>
      <c r="B199" s="14">
        <v>35827</v>
      </c>
      <c r="C199" s="31">
        <f>YEAR(Table1[[#This Row],[Tanggal Lahir]])</f>
        <v>1998</v>
      </c>
      <c r="D199" s="15">
        <f t="shared" si="12"/>
        <v>24.652777777777779</v>
      </c>
      <c r="E199" s="12" t="s">
        <v>14</v>
      </c>
      <c r="F199" s="14">
        <v>38519</v>
      </c>
      <c r="G199" s="13">
        <f t="shared" si="13"/>
        <v>2005</v>
      </c>
      <c r="H199" s="30">
        <f t="shared" si="14"/>
        <v>18000000</v>
      </c>
      <c r="I199" s="39">
        <v>3</v>
      </c>
      <c r="J199">
        <f t="shared" si="15"/>
        <v>3</v>
      </c>
    </row>
    <row r="200" spans="1:10" x14ac:dyDescent="0.25">
      <c r="A200" s="16" t="s">
        <v>217</v>
      </c>
      <c r="B200" s="14">
        <v>35630</v>
      </c>
      <c r="C200" s="31">
        <f>YEAR(Table1[[#This Row],[Tanggal Lahir]])</f>
        <v>1997</v>
      </c>
      <c r="D200" s="15">
        <f t="shared" si="12"/>
        <v>25.18611111111111</v>
      </c>
      <c r="E200" s="12" t="s">
        <v>10</v>
      </c>
      <c r="F200" s="14">
        <v>42580</v>
      </c>
      <c r="G200" s="13">
        <f t="shared" si="13"/>
        <v>2016</v>
      </c>
      <c r="H200" s="30">
        <f t="shared" si="14"/>
        <v>9000000</v>
      </c>
      <c r="I200" s="39">
        <v>5</v>
      </c>
      <c r="J200">
        <f t="shared" si="15"/>
        <v>2</v>
      </c>
    </row>
    <row r="201" spans="1:10" x14ac:dyDescent="0.25">
      <c r="A201" s="16" t="s">
        <v>218</v>
      </c>
      <c r="B201" s="14">
        <v>37394</v>
      </c>
      <c r="C201" s="31">
        <f>YEAR(Table1[[#This Row],[Tanggal Lahir]])</f>
        <v>2002</v>
      </c>
      <c r="D201" s="15">
        <f t="shared" si="12"/>
        <v>20.355555555555554</v>
      </c>
      <c r="E201" s="12" t="s">
        <v>10</v>
      </c>
      <c r="F201" s="14">
        <v>39983</v>
      </c>
      <c r="G201" s="13">
        <f t="shared" si="13"/>
        <v>2009</v>
      </c>
      <c r="H201" s="30">
        <f t="shared" si="14"/>
        <v>13000000</v>
      </c>
      <c r="I201" s="39">
        <v>3</v>
      </c>
      <c r="J201">
        <f t="shared" si="15"/>
        <v>2</v>
      </c>
    </row>
    <row r="202" spans="1:10" x14ac:dyDescent="0.25">
      <c r="A202" s="16" t="s">
        <v>219</v>
      </c>
      <c r="B202" s="14">
        <v>34539</v>
      </c>
      <c r="C202" s="31">
        <f>YEAR(Table1[[#This Row],[Tanggal Lahir]])</f>
        <v>1994</v>
      </c>
      <c r="D202" s="15">
        <f t="shared" si="12"/>
        <v>28.172222222222221</v>
      </c>
      <c r="E202" s="12" t="s">
        <v>10</v>
      </c>
      <c r="F202" s="14">
        <v>39679</v>
      </c>
      <c r="G202" s="13">
        <f t="shared" si="13"/>
        <v>2008</v>
      </c>
      <c r="H202" s="30">
        <f t="shared" si="14"/>
        <v>18000000</v>
      </c>
      <c r="I202" s="39">
        <v>5</v>
      </c>
      <c r="J202">
        <f t="shared" si="15"/>
        <v>2</v>
      </c>
    </row>
    <row r="203" spans="1:10" x14ac:dyDescent="0.25">
      <c r="A203" s="16" t="s">
        <v>220</v>
      </c>
      <c r="B203" s="14">
        <v>34870</v>
      </c>
      <c r="C203" s="31">
        <f>YEAR(Table1[[#This Row],[Tanggal Lahir]])</f>
        <v>1995</v>
      </c>
      <c r="D203" s="15">
        <f t="shared" si="12"/>
        <v>27.266666666666666</v>
      </c>
      <c r="E203" s="12" t="s">
        <v>10</v>
      </c>
      <c r="F203" s="14">
        <v>39914</v>
      </c>
      <c r="G203" s="13">
        <f t="shared" si="13"/>
        <v>2009</v>
      </c>
      <c r="H203" s="30">
        <f t="shared" si="14"/>
        <v>13000000</v>
      </c>
      <c r="I203" s="39">
        <v>1</v>
      </c>
      <c r="J203">
        <f t="shared" si="15"/>
        <v>2</v>
      </c>
    </row>
    <row r="204" spans="1:10" x14ac:dyDescent="0.25">
      <c r="A204" s="16" t="s">
        <v>221</v>
      </c>
      <c r="B204" s="14">
        <v>34873</v>
      </c>
      <c r="C204" s="31">
        <f>YEAR(Table1[[#This Row],[Tanggal Lahir]])</f>
        <v>1995</v>
      </c>
      <c r="D204" s="15">
        <f t="shared" si="12"/>
        <v>27.258333333333333</v>
      </c>
      <c r="E204" s="12" t="s">
        <v>10</v>
      </c>
      <c r="F204" s="14">
        <v>38505</v>
      </c>
      <c r="G204" s="13">
        <f t="shared" si="13"/>
        <v>2005</v>
      </c>
      <c r="H204" s="30">
        <f t="shared" si="14"/>
        <v>18000000</v>
      </c>
      <c r="I204" s="39">
        <v>3</v>
      </c>
      <c r="J204">
        <f t="shared" si="15"/>
        <v>2</v>
      </c>
    </row>
    <row r="205" spans="1:10" x14ac:dyDescent="0.25">
      <c r="A205" s="16" t="s">
        <v>222</v>
      </c>
      <c r="B205" s="14">
        <v>36265</v>
      </c>
      <c r="C205" s="31">
        <f>YEAR(Table1[[#This Row],[Tanggal Lahir]])</f>
        <v>1999</v>
      </c>
      <c r="D205" s="15">
        <f t="shared" si="12"/>
        <v>23.447222222222223</v>
      </c>
      <c r="E205" s="12" t="s">
        <v>7</v>
      </c>
      <c r="F205" s="14">
        <v>42157</v>
      </c>
      <c r="G205" s="13">
        <f t="shared" si="13"/>
        <v>2015</v>
      </c>
      <c r="H205" s="30">
        <f t="shared" si="14"/>
        <v>9000000</v>
      </c>
      <c r="I205" s="39">
        <v>4</v>
      </c>
      <c r="J205">
        <f t="shared" si="15"/>
        <v>2</v>
      </c>
    </row>
    <row r="206" spans="1:10" x14ac:dyDescent="0.25">
      <c r="A206" s="16" t="s">
        <v>223</v>
      </c>
      <c r="B206" s="14">
        <v>36030</v>
      </c>
      <c r="C206" s="31">
        <f>YEAR(Table1[[#This Row],[Tanggal Lahir]])</f>
        <v>1998</v>
      </c>
      <c r="D206" s="15">
        <f t="shared" si="12"/>
        <v>24.091666666666665</v>
      </c>
      <c r="E206" s="12" t="s">
        <v>10</v>
      </c>
      <c r="F206" s="14">
        <v>39083</v>
      </c>
      <c r="G206" s="13">
        <f t="shared" si="13"/>
        <v>2007</v>
      </c>
      <c r="H206" s="30">
        <f t="shared" si="14"/>
        <v>18000000</v>
      </c>
      <c r="I206" s="39">
        <v>6</v>
      </c>
      <c r="J206">
        <f t="shared" si="15"/>
        <v>2</v>
      </c>
    </row>
    <row r="207" spans="1:10" x14ac:dyDescent="0.25">
      <c r="A207" s="16" t="s">
        <v>224</v>
      </c>
      <c r="B207" s="14">
        <v>35887</v>
      </c>
      <c r="C207" s="31">
        <f>YEAR(Table1[[#This Row],[Tanggal Lahir]])</f>
        <v>1998</v>
      </c>
      <c r="D207" s="15">
        <f t="shared" si="12"/>
        <v>24.483333333333334</v>
      </c>
      <c r="E207" s="12" t="s">
        <v>10</v>
      </c>
      <c r="F207" s="14">
        <v>40023</v>
      </c>
      <c r="G207" s="13">
        <f t="shared" si="13"/>
        <v>2009</v>
      </c>
      <c r="H207" s="30">
        <f t="shared" si="14"/>
        <v>13000000</v>
      </c>
      <c r="I207" s="39">
        <v>3</v>
      </c>
      <c r="J207">
        <f t="shared" si="15"/>
        <v>2</v>
      </c>
    </row>
    <row r="208" spans="1:10" x14ac:dyDescent="0.25">
      <c r="A208" s="16" t="s">
        <v>225</v>
      </c>
      <c r="B208" s="14">
        <v>34599</v>
      </c>
      <c r="C208" s="31">
        <f>YEAR(Table1[[#This Row],[Tanggal Lahir]])</f>
        <v>1994</v>
      </c>
      <c r="D208" s="15">
        <f t="shared" si="12"/>
        <v>28.011111111111113</v>
      </c>
      <c r="E208" s="12" t="s">
        <v>7</v>
      </c>
      <c r="F208" s="14">
        <v>43504</v>
      </c>
      <c r="G208" s="13">
        <f t="shared" si="13"/>
        <v>2019</v>
      </c>
      <c r="H208" s="30">
        <f t="shared" si="14"/>
        <v>9000000</v>
      </c>
      <c r="I208" s="39">
        <v>6</v>
      </c>
      <c r="J208">
        <f t="shared" si="15"/>
        <v>2</v>
      </c>
    </row>
    <row r="209" spans="1:10" x14ac:dyDescent="0.25">
      <c r="A209" s="16" t="s">
        <v>226</v>
      </c>
      <c r="B209" s="14">
        <v>34887</v>
      </c>
      <c r="C209" s="31">
        <f>YEAR(Table1[[#This Row],[Tanggal Lahir]])</f>
        <v>1995</v>
      </c>
      <c r="D209" s="15">
        <f t="shared" si="12"/>
        <v>27.219444444444445</v>
      </c>
      <c r="E209" s="12" t="s">
        <v>14</v>
      </c>
      <c r="F209" s="14">
        <v>41236</v>
      </c>
      <c r="G209" s="13">
        <f t="shared" si="13"/>
        <v>2012</v>
      </c>
      <c r="H209" s="30">
        <f t="shared" si="14"/>
        <v>13000000</v>
      </c>
      <c r="I209" s="39">
        <v>4</v>
      </c>
      <c r="J209">
        <f t="shared" si="15"/>
        <v>2</v>
      </c>
    </row>
    <row r="210" spans="1:10" x14ac:dyDescent="0.25">
      <c r="A210" s="16" t="s">
        <v>227</v>
      </c>
      <c r="B210" s="14">
        <v>34959</v>
      </c>
      <c r="C210" s="31">
        <f>YEAR(Table1[[#This Row],[Tanggal Lahir]])</f>
        <v>1995</v>
      </c>
      <c r="D210" s="15">
        <f t="shared" si="12"/>
        <v>27.024999999999999</v>
      </c>
      <c r="E210" s="12" t="s">
        <v>10</v>
      </c>
      <c r="F210" s="14">
        <v>38319</v>
      </c>
      <c r="G210" s="13">
        <f t="shared" si="13"/>
        <v>2004</v>
      </c>
      <c r="H210" s="30">
        <f t="shared" si="14"/>
        <v>18000000</v>
      </c>
      <c r="I210" s="39">
        <v>3</v>
      </c>
      <c r="J210">
        <f t="shared" si="15"/>
        <v>2</v>
      </c>
    </row>
    <row r="211" spans="1:10" x14ac:dyDescent="0.25">
      <c r="A211" s="16" t="s">
        <v>228</v>
      </c>
      <c r="B211" s="14">
        <v>37304</v>
      </c>
      <c r="C211" s="31">
        <f>YEAR(Table1[[#This Row],[Tanggal Lahir]])</f>
        <v>2002</v>
      </c>
      <c r="D211" s="15">
        <f t="shared" si="12"/>
        <v>20.608333333333334</v>
      </c>
      <c r="E211" s="12" t="s">
        <v>14</v>
      </c>
      <c r="F211" s="14">
        <v>41673</v>
      </c>
      <c r="G211" s="13">
        <f t="shared" si="13"/>
        <v>2014</v>
      </c>
      <c r="H211" s="30">
        <f t="shared" si="14"/>
        <v>9000000</v>
      </c>
      <c r="I211" s="39">
        <v>2</v>
      </c>
      <c r="J211">
        <f t="shared" si="15"/>
        <v>3</v>
      </c>
    </row>
    <row r="212" spans="1:10" x14ac:dyDescent="0.25">
      <c r="A212" s="16" t="s">
        <v>229</v>
      </c>
      <c r="B212" s="14">
        <v>36156</v>
      </c>
      <c r="C212" s="31">
        <f>YEAR(Table1[[#This Row],[Tanggal Lahir]])</f>
        <v>1998</v>
      </c>
      <c r="D212" s="15">
        <f t="shared" si="12"/>
        <v>23.747222222222224</v>
      </c>
      <c r="E212" s="12" t="s">
        <v>10</v>
      </c>
      <c r="F212" s="14">
        <v>44607</v>
      </c>
      <c r="G212" s="13">
        <f t="shared" si="13"/>
        <v>2022</v>
      </c>
      <c r="H212" s="30">
        <f t="shared" si="14"/>
        <v>6800000</v>
      </c>
      <c r="I212" s="39">
        <v>2</v>
      </c>
      <c r="J212">
        <f t="shared" si="15"/>
        <v>2</v>
      </c>
    </row>
    <row r="213" spans="1:10" x14ac:dyDescent="0.25">
      <c r="A213" s="16" t="s">
        <v>230</v>
      </c>
      <c r="B213" s="14">
        <v>37917</v>
      </c>
      <c r="C213" s="31">
        <f>YEAR(Table1[[#This Row],[Tanggal Lahir]])</f>
        <v>2003</v>
      </c>
      <c r="D213" s="15">
        <f t="shared" si="12"/>
        <v>18.925000000000001</v>
      </c>
      <c r="E213" s="12" t="s">
        <v>10</v>
      </c>
      <c r="F213" s="14">
        <v>42146</v>
      </c>
      <c r="G213" s="13">
        <f t="shared" si="13"/>
        <v>2015</v>
      </c>
      <c r="H213" s="30">
        <f t="shared" si="14"/>
        <v>9000000</v>
      </c>
      <c r="I213" s="39">
        <v>4</v>
      </c>
      <c r="J213">
        <f t="shared" si="15"/>
        <v>2</v>
      </c>
    </row>
    <row r="214" spans="1:10" x14ac:dyDescent="0.25">
      <c r="A214" s="16" t="s">
        <v>231</v>
      </c>
      <c r="B214" s="14">
        <v>37262</v>
      </c>
      <c r="C214" s="31">
        <f>YEAR(Table1[[#This Row],[Tanggal Lahir]])</f>
        <v>2002</v>
      </c>
      <c r="D214" s="15">
        <f t="shared" si="12"/>
        <v>20.722222222222221</v>
      </c>
      <c r="E214" s="12" t="s">
        <v>10</v>
      </c>
      <c r="F214" s="14">
        <v>44327</v>
      </c>
      <c r="G214" s="13">
        <f t="shared" si="13"/>
        <v>2021</v>
      </c>
      <c r="H214" s="30">
        <f t="shared" si="14"/>
        <v>6800000</v>
      </c>
      <c r="I214" s="39">
        <v>6</v>
      </c>
      <c r="J214">
        <f t="shared" si="15"/>
        <v>2</v>
      </c>
    </row>
    <row r="215" spans="1:10" x14ac:dyDescent="0.25">
      <c r="A215" s="16" t="s">
        <v>232</v>
      </c>
      <c r="B215" s="14">
        <v>37043</v>
      </c>
      <c r="C215" s="31">
        <f>YEAR(Table1[[#This Row],[Tanggal Lahir]])</f>
        <v>2001</v>
      </c>
      <c r="D215" s="15">
        <f t="shared" si="12"/>
        <v>21.319444444444443</v>
      </c>
      <c r="E215" s="12" t="s">
        <v>14</v>
      </c>
      <c r="F215" s="14">
        <v>42470</v>
      </c>
      <c r="G215" s="13">
        <f t="shared" si="13"/>
        <v>2016</v>
      </c>
      <c r="H215" s="30">
        <f t="shared" si="14"/>
        <v>9000000</v>
      </c>
      <c r="I215" s="39">
        <v>5</v>
      </c>
      <c r="J215">
        <f t="shared" si="15"/>
        <v>2</v>
      </c>
    </row>
    <row r="216" spans="1:10" x14ac:dyDescent="0.25">
      <c r="A216" s="16" t="s">
        <v>233</v>
      </c>
      <c r="B216" s="14">
        <v>37413</v>
      </c>
      <c r="C216" s="31">
        <f>YEAR(Table1[[#This Row],[Tanggal Lahir]])</f>
        <v>2002</v>
      </c>
      <c r="D216" s="15">
        <f t="shared" si="12"/>
        <v>20.305555555555557</v>
      </c>
      <c r="E216" s="12" t="s">
        <v>10</v>
      </c>
      <c r="F216" s="14">
        <v>40870</v>
      </c>
      <c r="G216" s="13">
        <f t="shared" si="13"/>
        <v>2011</v>
      </c>
      <c r="H216" s="30">
        <f t="shared" si="14"/>
        <v>13000000</v>
      </c>
      <c r="I216" s="39">
        <v>6</v>
      </c>
      <c r="J216">
        <f t="shared" si="15"/>
        <v>2</v>
      </c>
    </row>
    <row r="217" spans="1:10" x14ac:dyDescent="0.25">
      <c r="A217" s="16" t="s">
        <v>234</v>
      </c>
      <c r="B217" s="14">
        <v>35884</v>
      </c>
      <c r="C217" s="31">
        <f>YEAR(Table1[[#This Row],[Tanggal Lahir]])</f>
        <v>1998</v>
      </c>
      <c r="D217" s="15">
        <f t="shared" si="12"/>
        <v>24.488888888888887</v>
      </c>
      <c r="E217" s="12" t="s">
        <v>7</v>
      </c>
      <c r="F217" s="14">
        <v>41444</v>
      </c>
      <c r="G217" s="13">
        <f t="shared" si="13"/>
        <v>2013</v>
      </c>
      <c r="H217" s="30">
        <f t="shared" si="14"/>
        <v>13000000</v>
      </c>
      <c r="I217" s="39">
        <v>3</v>
      </c>
      <c r="J217">
        <f t="shared" si="15"/>
        <v>2</v>
      </c>
    </row>
    <row r="218" spans="1:10" x14ac:dyDescent="0.25">
      <c r="A218" s="16" t="s">
        <v>235</v>
      </c>
      <c r="B218" s="14">
        <v>36118</v>
      </c>
      <c r="C218" s="31">
        <f>YEAR(Table1[[#This Row],[Tanggal Lahir]])</f>
        <v>1998</v>
      </c>
      <c r="D218" s="15">
        <f t="shared" si="12"/>
        <v>23.852777777777778</v>
      </c>
      <c r="E218" s="12" t="s">
        <v>14</v>
      </c>
      <c r="F218" s="14">
        <v>44391</v>
      </c>
      <c r="G218" s="13">
        <f t="shared" si="13"/>
        <v>2021</v>
      </c>
      <c r="H218" s="30">
        <f t="shared" si="14"/>
        <v>6800000</v>
      </c>
      <c r="I218" s="39">
        <v>2</v>
      </c>
      <c r="J218">
        <f t="shared" si="15"/>
        <v>2</v>
      </c>
    </row>
    <row r="219" spans="1:10" x14ac:dyDescent="0.25">
      <c r="A219" s="16" t="s">
        <v>236</v>
      </c>
      <c r="B219" s="14">
        <v>37255</v>
      </c>
      <c r="C219" s="31">
        <f>YEAR(Table1[[#This Row],[Tanggal Lahir]])</f>
        <v>2001</v>
      </c>
      <c r="D219" s="15">
        <f t="shared" si="12"/>
        <v>20.738888888888887</v>
      </c>
      <c r="E219" s="12" t="s">
        <v>14</v>
      </c>
      <c r="F219" s="14">
        <v>43338</v>
      </c>
      <c r="G219" s="13">
        <f t="shared" si="13"/>
        <v>2018</v>
      </c>
      <c r="H219" s="30">
        <f t="shared" si="14"/>
        <v>9000000</v>
      </c>
      <c r="I219" s="39">
        <v>6</v>
      </c>
      <c r="J219">
        <f t="shared" si="15"/>
        <v>3</v>
      </c>
    </row>
    <row r="220" spans="1:10" x14ac:dyDescent="0.25">
      <c r="A220" s="16" t="s">
        <v>237</v>
      </c>
      <c r="B220" s="14">
        <v>35302</v>
      </c>
      <c r="C220" s="31">
        <f>YEAR(Table1[[#This Row],[Tanggal Lahir]])</f>
        <v>1996</v>
      </c>
      <c r="D220" s="15">
        <f t="shared" si="12"/>
        <v>26.086111111111112</v>
      </c>
      <c r="E220" s="12" t="s">
        <v>14</v>
      </c>
      <c r="F220" s="14">
        <v>40288</v>
      </c>
      <c r="G220" s="13">
        <f t="shared" si="13"/>
        <v>2010</v>
      </c>
      <c r="H220" s="30">
        <f t="shared" si="14"/>
        <v>13000000</v>
      </c>
      <c r="I220" s="39">
        <v>1</v>
      </c>
      <c r="J220">
        <f t="shared" si="15"/>
        <v>2</v>
      </c>
    </row>
    <row r="221" spans="1:10" x14ac:dyDescent="0.25">
      <c r="A221" s="16" t="s">
        <v>238</v>
      </c>
      <c r="B221" s="14">
        <v>34608</v>
      </c>
      <c r="C221" s="31">
        <f>YEAR(Table1[[#This Row],[Tanggal Lahir]])</f>
        <v>1994</v>
      </c>
      <c r="D221" s="15">
        <f t="shared" si="12"/>
        <v>27.986111111111111</v>
      </c>
      <c r="E221" s="12" t="s">
        <v>10</v>
      </c>
      <c r="F221" s="14">
        <v>42579</v>
      </c>
      <c r="G221" s="13">
        <f t="shared" si="13"/>
        <v>2016</v>
      </c>
      <c r="H221" s="30">
        <f t="shared" si="14"/>
        <v>9000000</v>
      </c>
      <c r="I221" s="39">
        <v>2</v>
      </c>
      <c r="J221">
        <f t="shared" si="15"/>
        <v>2</v>
      </c>
    </row>
    <row r="222" spans="1:10" x14ac:dyDescent="0.25">
      <c r="A222" s="16" t="s">
        <v>239</v>
      </c>
      <c r="B222" s="14">
        <v>34521</v>
      </c>
      <c r="C222" s="31">
        <f>YEAR(Table1[[#This Row],[Tanggal Lahir]])</f>
        <v>1994</v>
      </c>
      <c r="D222" s="15">
        <f t="shared" si="12"/>
        <v>28.222222222222221</v>
      </c>
      <c r="E222" s="12" t="s">
        <v>14</v>
      </c>
      <c r="F222" s="14">
        <v>40320</v>
      </c>
      <c r="G222" s="13">
        <f t="shared" si="13"/>
        <v>2010</v>
      </c>
      <c r="H222" s="30">
        <f t="shared" si="14"/>
        <v>13000000</v>
      </c>
      <c r="I222" s="39">
        <v>6</v>
      </c>
      <c r="J222">
        <f t="shared" si="15"/>
        <v>2</v>
      </c>
    </row>
    <row r="223" spans="1:10" x14ac:dyDescent="0.25">
      <c r="A223" s="16" t="s">
        <v>240</v>
      </c>
      <c r="B223" s="14">
        <v>37599</v>
      </c>
      <c r="C223" s="31">
        <f>YEAR(Table1[[#This Row],[Tanggal Lahir]])</f>
        <v>2002</v>
      </c>
      <c r="D223" s="15">
        <f t="shared" si="12"/>
        <v>19.797222222222221</v>
      </c>
      <c r="E223" s="12" t="s">
        <v>10</v>
      </c>
      <c r="F223" s="14">
        <v>43665</v>
      </c>
      <c r="G223" s="13">
        <f t="shared" si="13"/>
        <v>2019</v>
      </c>
      <c r="H223" s="30">
        <f t="shared" si="14"/>
        <v>9000000</v>
      </c>
      <c r="I223" s="39">
        <v>2</v>
      </c>
      <c r="J223">
        <f t="shared" si="15"/>
        <v>2</v>
      </c>
    </row>
    <row r="224" spans="1:10" x14ac:dyDescent="0.25">
      <c r="A224" s="16" t="s">
        <v>241</v>
      </c>
      <c r="B224" s="14">
        <v>35060</v>
      </c>
      <c r="C224" s="31">
        <f>YEAR(Table1[[#This Row],[Tanggal Lahir]])</f>
        <v>1995</v>
      </c>
      <c r="D224" s="15">
        <f t="shared" si="12"/>
        <v>26.747222222222224</v>
      </c>
      <c r="E224" s="12" t="s">
        <v>10</v>
      </c>
      <c r="F224" s="14">
        <v>40566</v>
      </c>
      <c r="G224" s="13">
        <f t="shared" si="13"/>
        <v>2011</v>
      </c>
      <c r="H224" s="30">
        <f t="shared" si="14"/>
        <v>13000000</v>
      </c>
      <c r="I224" s="39">
        <v>4</v>
      </c>
      <c r="J224">
        <f t="shared" si="15"/>
        <v>3</v>
      </c>
    </row>
    <row r="225" spans="1:10" x14ac:dyDescent="0.25">
      <c r="A225" s="16" t="s">
        <v>242</v>
      </c>
      <c r="B225" s="14">
        <v>37606</v>
      </c>
      <c r="C225" s="31">
        <f>YEAR(Table1[[#This Row],[Tanggal Lahir]])</f>
        <v>2002</v>
      </c>
      <c r="D225" s="15">
        <f t="shared" si="12"/>
        <v>19.777777777777779</v>
      </c>
      <c r="E225" s="12" t="s">
        <v>10</v>
      </c>
      <c r="F225" s="14">
        <v>39241</v>
      </c>
      <c r="G225" s="13">
        <f t="shared" si="13"/>
        <v>2007</v>
      </c>
      <c r="H225" s="30">
        <f t="shared" si="14"/>
        <v>18000000</v>
      </c>
      <c r="I225" s="39">
        <v>5</v>
      </c>
      <c r="J225">
        <f t="shared" si="15"/>
        <v>2</v>
      </c>
    </row>
    <row r="226" spans="1:10" x14ac:dyDescent="0.25">
      <c r="A226" s="16" t="s">
        <v>243</v>
      </c>
      <c r="B226" s="14">
        <v>36290</v>
      </c>
      <c r="C226" s="31">
        <f>YEAR(Table1[[#This Row],[Tanggal Lahir]])</f>
        <v>1999</v>
      </c>
      <c r="D226" s="15">
        <f t="shared" si="12"/>
        <v>23.377777777777776</v>
      </c>
      <c r="E226" s="12" t="s">
        <v>7</v>
      </c>
      <c r="F226" s="14">
        <v>42114</v>
      </c>
      <c r="G226" s="13">
        <f t="shared" si="13"/>
        <v>2015</v>
      </c>
      <c r="H226" s="30">
        <f t="shared" si="14"/>
        <v>9000000</v>
      </c>
      <c r="I226" s="39">
        <v>1</v>
      </c>
      <c r="J226">
        <f t="shared" si="15"/>
        <v>2</v>
      </c>
    </row>
    <row r="227" spans="1:10" x14ac:dyDescent="0.25">
      <c r="A227" s="16" t="s">
        <v>244</v>
      </c>
      <c r="B227" s="14">
        <v>36181</v>
      </c>
      <c r="C227" s="31">
        <f>YEAR(Table1[[#This Row],[Tanggal Lahir]])</f>
        <v>1999</v>
      </c>
      <c r="D227" s="15">
        <f t="shared" si="12"/>
        <v>23.680555555555557</v>
      </c>
      <c r="E227" s="12" t="s">
        <v>14</v>
      </c>
      <c r="F227" s="14">
        <v>38912</v>
      </c>
      <c r="G227" s="13">
        <f t="shared" si="13"/>
        <v>2006</v>
      </c>
      <c r="H227" s="30">
        <f t="shared" si="14"/>
        <v>18000000</v>
      </c>
      <c r="I227" s="39">
        <v>2</v>
      </c>
      <c r="J227">
        <f t="shared" si="15"/>
        <v>2</v>
      </c>
    </row>
    <row r="228" spans="1:10" x14ac:dyDescent="0.25">
      <c r="A228" s="16" t="s">
        <v>245</v>
      </c>
      <c r="B228" s="14">
        <v>36983</v>
      </c>
      <c r="C228" s="31">
        <f>YEAR(Table1[[#This Row],[Tanggal Lahir]])</f>
        <v>2001</v>
      </c>
      <c r="D228" s="15">
        <f t="shared" si="12"/>
        <v>21.483333333333334</v>
      </c>
      <c r="E228" s="12" t="s">
        <v>10</v>
      </c>
      <c r="F228" s="14">
        <v>41133</v>
      </c>
      <c r="G228" s="13">
        <f t="shared" si="13"/>
        <v>2012</v>
      </c>
      <c r="H228" s="30">
        <f t="shared" si="14"/>
        <v>13000000</v>
      </c>
      <c r="I228" s="39">
        <v>2</v>
      </c>
      <c r="J228">
        <f t="shared" si="15"/>
        <v>2</v>
      </c>
    </row>
    <row r="229" spans="1:10" x14ac:dyDescent="0.25">
      <c r="A229" s="16" t="s">
        <v>246</v>
      </c>
      <c r="B229" s="14">
        <v>36007</v>
      </c>
      <c r="C229" s="31">
        <f>YEAR(Table1[[#This Row],[Tanggal Lahir]])</f>
        <v>1998</v>
      </c>
      <c r="D229" s="15">
        <f t="shared" si="12"/>
        <v>24.155555555555555</v>
      </c>
      <c r="E229" s="12" t="s">
        <v>10</v>
      </c>
      <c r="F229" s="14">
        <v>39563</v>
      </c>
      <c r="G229" s="13">
        <f t="shared" si="13"/>
        <v>2008</v>
      </c>
      <c r="H229" s="30">
        <f t="shared" si="14"/>
        <v>18000000</v>
      </c>
      <c r="I229" s="39">
        <v>6</v>
      </c>
      <c r="J229">
        <f t="shared" si="15"/>
        <v>2</v>
      </c>
    </row>
    <row r="230" spans="1:10" x14ac:dyDescent="0.25">
      <c r="A230" s="16" t="s">
        <v>247</v>
      </c>
      <c r="B230" s="14">
        <v>34755</v>
      </c>
      <c r="C230" s="31">
        <f>YEAR(Table1[[#This Row],[Tanggal Lahir]])</f>
        <v>1995</v>
      </c>
      <c r="D230" s="15">
        <f t="shared" si="12"/>
        <v>27.586111111111112</v>
      </c>
      <c r="E230" s="12" t="s">
        <v>7</v>
      </c>
      <c r="F230" s="14">
        <v>38428</v>
      </c>
      <c r="G230" s="13">
        <f t="shared" si="13"/>
        <v>2005</v>
      </c>
      <c r="H230" s="30">
        <f t="shared" si="14"/>
        <v>18000000</v>
      </c>
      <c r="I230" s="39">
        <v>5</v>
      </c>
      <c r="J230">
        <f t="shared" si="15"/>
        <v>2</v>
      </c>
    </row>
    <row r="231" spans="1:10" x14ac:dyDescent="0.25">
      <c r="A231" s="16" t="s">
        <v>248</v>
      </c>
      <c r="B231" s="14">
        <v>37542</v>
      </c>
      <c r="C231" s="31">
        <f>YEAR(Table1[[#This Row],[Tanggal Lahir]])</f>
        <v>2002</v>
      </c>
      <c r="D231" s="15">
        <f t="shared" si="12"/>
        <v>19.952777777777779</v>
      </c>
      <c r="E231" s="12" t="s">
        <v>10</v>
      </c>
      <c r="F231" s="14">
        <v>43975</v>
      </c>
      <c r="G231" s="13">
        <f t="shared" si="13"/>
        <v>2020</v>
      </c>
      <c r="H231" s="30">
        <f t="shared" si="14"/>
        <v>6800000</v>
      </c>
      <c r="I231" s="39">
        <v>4</v>
      </c>
      <c r="J231">
        <f t="shared" si="15"/>
        <v>2</v>
      </c>
    </row>
    <row r="232" spans="1:10" x14ac:dyDescent="0.25">
      <c r="A232" s="16" t="s">
        <v>249</v>
      </c>
      <c r="B232" s="14">
        <v>36273</v>
      </c>
      <c r="C232" s="31">
        <f>YEAR(Table1[[#This Row],[Tanggal Lahir]])</f>
        <v>1999</v>
      </c>
      <c r="D232" s="15">
        <f t="shared" si="12"/>
        <v>23.425000000000001</v>
      </c>
      <c r="E232" s="12" t="s">
        <v>7</v>
      </c>
      <c r="F232" s="14">
        <v>42601</v>
      </c>
      <c r="G232" s="13">
        <f t="shared" si="13"/>
        <v>2016</v>
      </c>
      <c r="H232" s="30">
        <f t="shared" si="14"/>
        <v>9000000</v>
      </c>
      <c r="I232" s="39">
        <v>5</v>
      </c>
      <c r="J232">
        <f t="shared" si="15"/>
        <v>2</v>
      </c>
    </row>
    <row r="233" spans="1:10" x14ac:dyDescent="0.25">
      <c r="A233" s="16" t="s">
        <v>250</v>
      </c>
      <c r="B233" s="14">
        <v>35214</v>
      </c>
      <c r="C233" s="31">
        <f>YEAR(Table1[[#This Row],[Tanggal Lahir]])</f>
        <v>1996</v>
      </c>
      <c r="D233" s="15">
        <f t="shared" si="12"/>
        <v>26.324999999999999</v>
      </c>
      <c r="E233" s="12" t="s">
        <v>7</v>
      </c>
      <c r="F233" s="14">
        <v>39576</v>
      </c>
      <c r="G233" s="13">
        <f t="shared" si="13"/>
        <v>2008</v>
      </c>
      <c r="H233" s="30">
        <f t="shared" si="14"/>
        <v>18000000</v>
      </c>
      <c r="I233" s="39">
        <v>4</v>
      </c>
      <c r="J233">
        <f t="shared" si="15"/>
        <v>2</v>
      </c>
    </row>
    <row r="234" spans="1:10" x14ac:dyDescent="0.25">
      <c r="A234" s="16" t="s">
        <v>251</v>
      </c>
      <c r="B234" s="14">
        <v>37249</v>
      </c>
      <c r="C234" s="31">
        <f>YEAR(Table1[[#This Row],[Tanggal Lahir]])</f>
        <v>2001</v>
      </c>
      <c r="D234" s="15">
        <f t="shared" si="12"/>
        <v>20.755555555555556</v>
      </c>
      <c r="E234" s="12" t="s">
        <v>10</v>
      </c>
      <c r="F234" s="14">
        <v>41311</v>
      </c>
      <c r="G234" s="13">
        <f t="shared" si="13"/>
        <v>2013</v>
      </c>
      <c r="H234" s="30">
        <f t="shared" si="14"/>
        <v>13000000</v>
      </c>
      <c r="I234" s="39">
        <v>1</v>
      </c>
      <c r="J234">
        <f t="shared" si="15"/>
        <v>2</v>
      </c>
    </row>
    <row r="235" spans="1:10" x14ac:dyDescent="0.25">
      <c r="A235" s="16" t="s">
        <v>252</v>
      </c>
      <c r="B235" s="14">
        <v>34823</v>
      </c>
      <c r="C235" s="31">
        <f>YEAR(Table1[[#This Row],[Tanggal Lahir]])</f>
        <v>1995</v>
      </c>
      <c r="D235" s="15">
        <f t="shared" si="12"/>
        <v>27.394444444444446</v>
      </c>
      <c r="E235" s="12" t="s">
        <v>7</v>
      </c>
      <c r="F235" s="14">
        <v>38564</v>
      </c>
      <c r="G235" s="13">
        <f t="shared" si="13"/>
        <v>2005</v>
      </c>
      <c r="H235" s="30">
        <f t="shared" si="14"/>
        <v>18000000</v>
      </c>
      <c r="I235" s="39">
        <v>1</v>
      </c>
      <c r="J235">
        <f t="shared" si="15"/>
        <v>2</v>
      </c>
    </row>
    <row r="236" spans="1:10" x14ac:dyDescent="0.25">
      <c r="A236" s="16" t="s">
        <v>253</v>
      </c>
      <c r="B236" s="14">
        <v>36650</v>
      </c>
      <c r="C236" s="31">
        <f>YEAR(Table1[[#This Row],[Tanggal Lahir]])</f>
        <v>2000</v>
      </c>
      <c r="D236" s="15">
        <f t="shared" si="12"/>
        <v>22.394444444444446</v>
      </c>
      <c r="E236" s="12" t="s">
        <v>7</v>
      </c>
      <c r="F236" s="14">
        <v>41209</v>
      </c>
      <c r="G236" s="13">
        <f t="shared" si="13"/>
        <v>2012</v>
      </c>
      <c r="H236" s="30">
        <f t="shared" si="14"/>
        <v>13000000</v>
      </c>
      <c r="I236" s="39">
        <v>5</v>
      </c>
      <c r="J236">
        <f t="shared" si="15"/>
        <v>2</v>
      </c>
    </row>
    <row r="237" spans="1:10" x14ac:dyDescent="0.25">
      <c r="A237" s="16" t="s">
        <v>254</v>
      </c>
      <c r="B237" s="14">
        <v>35582</v>
      </c>
      <c r="C237" s="31">
        <f>YEAR(Table1[[#This Row],[Tanggal Lahir]])</f>
        <v>1997</v>
      </c>
      <c r="D237" s="15">
        <f t="shared" si="12"/>
        <v>25.319444444444443</v>
      </c>
      <c r="E237" s="12" t="s">
        <v>10</v>
      </c>
      <c r="F237" s="14">
        <v>40699</v>
      </c>
      <c r="G237" s="13">
        <f t="shared" si="13"/>
        <v>2011</v>
      </c>
      <c r="H237" s="30">
        <f t="shared" si="14"/>
        <v>13000000</v>
      </c>
      <c r="I237" s="39">
        <v>5</v>
      </c>
      <c r="J237">
        <f t="shared" si="15"/>
        <v>2</v>
      </c>
    </row>
    <row r="238" spans="1:10" x14ac:dyDescent="0.25">
      <c r="A238" s="16" t="s">
        <v>255</v>
      </c>
      <c r="B238" s="14">
        <v>35364</v>
      </c>
      <c r="C238" s="31">
        <f>YEAR(Table1[[#This Row],[Tanggal Lahir]])</f>
        <v>1996</v>
      </c>
      <c r="D238" s="15">
        <f t="shared" si="12"/>
        <v>25.916666666666668</v>
      </c>
      <c r="E238" s="12" t="s">
        <v>7</v>
      </c>
      <c r="F238" s="14">
        <v>43570</v>
      </c>
      <c r="G238" s="13">
        <f t="shared" si="13"/>
        <v>2019</v>
      </c>
      <c r="H238" s="30">
        <f t="shared" si="14"/>
        <v>9000000</v>
      </c>
      <c r="I238" s="39">
        <v>4</v>
      </c>
      <c r="J238">
        <f t="shared" si="15"/>
        <v>3</v>
      </c>
    </row>
    <row r="239" spans="1:10" x14ac:dyDescent="0.25">
      <c r="A239" s="16" t="s">
        <v>256</v>
      </c>
      <c r="B239" s="14">
        <v>36372</v>
      </c>
      <c r="C239" s="31">
        <f>YEAR(Table1[[#This Row],[Tanggal Lahir]])</f>
        <v>1999</v>
      </c>
      <c r="D239" s="15">
        <f t="shared" si="12"/>
        <v>23.155555555555555</v>
      </c>
      <c r="E239" s="12" t="s">
        <v>14</v>
      </c>
      <c r="F239" s="14">
        <v>41925</v>
      </c>
      <c r="G239" s="13">
        <f t="shared" si="13"/>
        <v>2014</v>
      </c>
      <c r="H239" s="30">
        <f t="shared" si="14"/>
        <v>9000000</v>
      </c>
      <c r="I239" s="39">
        <v>2</v>
      </c>
      <c r="J239">
        <f t="shared" si="15"/>
        <v>2</v>
      </c>
    </row>
    <row r="240" spans="1:10" x14ac:dyDescent="0.25">
      <c r="A240" s="16" t="s">
        <v>257</v>
      </c>
      <c r="B240" s="14">
        <v>35290</v>
      </c>
      <c r="C240" s="31">
        <f>YEAR(Table1[[#This Row],[Tanggal Lahir]])</f>
        <v>1996</v>
      </c>
      <c r="D240" s="15">
        <f t="shared" si="12"/>
        <v>26.119444444444444</v>
      </c>
      <c r="E240" s="12" t="s">
        <v>10</v>
      </c>
      <c r="F240" s="14">
        <v>42271</v>
      </c>
      <c r="G240" s="13">
        <f t="shared" si="13"/>
        <v>2015</v>
      </c>
      <c r="H240" s="30">
        <f t="shared" si="14"/>
        <v>9000000</v>
      </c>
      <c r="I240" s="39">
        <v>1</v>
      </c>
      <c r="J240">
        <f t="shared" si="15"/>
        <v>2</v>
      </c>
    </row>
    <row r="241" spans="1:10" x14ac:dyDescent="0.25">
      <c r="A241" s="16" t="s">
        <v>258</v>
      </c>
      <c r="B241" s="14">
        <v>35761</v>
      </c>
      <c r="C241" s="31">
        <f>YEAR(Table1[[#This Row],[Tanggal Lahir]])</f>
        <v>1997</v>
      </c>
      <c r="D241" s="15">
        <f t="shared" si="12"/>
        <v>24.830555555555556</v>
      </c>
      <c r="E241" s="12" t="s">
        <v>10</v>
      </c>
      <c r="F241" s="14">
        <v>42968</v>
      </c>
      <c r="G241" s="13">
        <f t="shared" si="13"/>
        <v>2017</v>
      </c>
      <c r="H241" s="30">
        <f t="shared" si="14"/>
        <v>9000000</v>
      </c>
      <c r="I241" s="39">
        <v>1</v>
      </c>
      <c r="J241">
        <f t="shared" si="15"/>
        <v>2</v>
      </c>
    </row>
    <row r="242" spans="1:10" x14ac:dyDescent="0.25">
      <c r="A242" s="16" t="s">
        <v>259</v>
      </c>
      <c r="B242" s="14">
        <v>35432</v>
      </c>
      <c r="C242" s="31">
        <f>YEAR(Table1[[#This Row],[Tanggal Lahir]])</f>
        <v>1997</v>
      </c>
      <c r="D242" s="15">
        <f t="shared" si="12"/>
        <v>25.733333333333334</v>
      </c>
      <c r="E242" s="12" t="s">
        <v>7</v>
      </c>
      <c r="F242" s="14">
        <v>38699</v>
      </c>
      <c r="G242" s="13">
        <f t="shared" si="13"/>
        <v>2005</v>
      </c>
      <c r="H242" s="30">
        <f t="shared" si="14"/>
        <v>18000000</v>
      </c>
      <c r="I242" s="39">
        <v>5</v>
      </c>
      <c r="J242">
        <f t="shared" si="15"/>
        <v>2</v>
      </c>
    </row>
    <row r="243" spans="1:10" x14ac:dyDescent="0.25">
      <c r="A243" s="16" t="s">
        <v>260</v>
      </c>
      <c r="B243" s="14">
        <v>36244</v>
      </c>
      <c r="C243" s="31">
        <f>YEAR(Table1[[#This Row],[Tanggal Lahir]])</f>
        <v>1999</v>
      </c>
      <c r="D243" s="15">
        <f t="shared" si="12"/>
        <v>23.502777777777776</v>
      </c>
      <c r="E243" s="12" t="s">
        <v>83</v>
      </c>
      <c r="F243" s="14">
        <v>41656</v>
      </c>
      <c r="G243" s="13">
        <f t="shared" si="13"/>
        <v>2014</v>
      </c>
      <c r="H243" s="30">
        <f t="shared" si="14"/>
        <v>9000000</v>
      </c>
      <c r="I243" s="39">
        <v>4</v>
      </c>
      <c r="J243">
        <f t="shared" si="15"/>
        <v>3</v>
      </c>
    </row>
    <row r="244" spans="1:10" x14ac:dyDescent="0.25">
      <c r="A244" s="16" t="s">
        <v>261</v>
      </c>
      <c r="B244" s="14">
        <v>36898</v>
      </c>
      <c r="C244" s="31">
        <f>YEAR(Table1[[#This Row],[Tanggal Lahir]])</f>
        <v>2001</v>
      </c>
      <c r="D244" s="15">
        <f t="shared" si="12"/>
        <v>21.719444444444445</v>
      </c>
      <c r="E244" s="12" t="s">
        <v>14</v>
      </c>
      <c r="F244" s="14">
        <v>41461</v>
      </c>
      <c r="G244" s="13">
        <f t="shared" si="13"/>
        <v>2013</v>
      </c>
      <c r="H244" s="30">
        <f t="shared" si="14"/>
        <v>13000000</v>
      </c>
      <c r="I244" s="39">
        <v>4</v>
      </c>
      <c r="J244">
        <f t="shared" si="15"/>
        <v>3</v>
      </c>
    </row>
    <row r="245" spans="1:10" x14ac:dyDescent="0.25">
      <c r="A245" s="16" t="s">
        <v>262</v>
      </c>
      <c r="B245" s="14">
        <v>37140</v>
      </c>
      <c r="C245" s="31">
        <f>YEAR(Table1[[#This Row],[Tanggal Lahir]])</f>
        <v>2001</v>
      </c>
      <c r="D245" s="15">
        <f t="shared" si="12"/>
        <v>21.055555555555557</v>
      </c>
      <c r="E245" s="12" t="s">
        <v>83</v>
      </c>
      <c r="F245" s="14">
        <v>43223</v>
      </c>
      <c r="G245" s="13">
        <f t="shared" si="13"/>
        <v>2018</v>
      </c>
      <c r="H245" s="30">
        <f t="shared" si="14"/>
        <v>9000000</v>
      </c>
      <c r="I245" s="39">
        <v>4</v>
      </c>
      <c r="J245">
        <f t="shared" si="15"/>
        <v>2</v>
      </c>
    </row>
    <row r="246" spans="1:10" x14ac:dyDescent="0.25">
      <c r="A246" s="16" t="s">
        <v>263</v>
      </c>
      <c r="B246" s="14">
        <v>37354</v>
      </c>
      <c r="C246" s="31">
        <f>YEAR(Table1[[#This Row],[Tanggal Lahir]])</f>
        <v>2002</v>
      </c>
      <c r="D246" s="15">
        <f t="shared" si="12"/>
        <v>20.466666666666665</v>
      </c>
      <c r="E246" s="12" t="s">
        <v>7</v>
      </c>
      <c r="F246" s="14">
        <v>44543</v>
      </c>
      <c r="G246" s="13">
        <f t="shared" si="13"/>
        <v>2021</v>
      </c>
      <c r="H246" s="30">
        <f t="shared" si="14"/>
        <v>6800000</v>
      </c>
      <c r="I246" s="39">
        <v>5</v>
      </c>
      <c r="J246">
        <f t="shared" si="15"/>
        <v>3</v>
      </c>
    </row>
    <row r="247" spans="1:10" x14ac:dyDescent="0.25">
      <c r="A247" s="16" t="s">
        <v>264</v>
      </c>
      <c r="B247" s="14">
        <v>34499</v>
      </c>
      <c r="C247" s="31">
        <f>YEAR(Table1[[#This Row],[Tanggal Lahir]])</f>
        <v>1994</v>
      </c>
      <c r="D247" s="15">
        <f t="shared" si="12"/>
        <v>28.283333333333335</v>
      </c>
      <c r="E247" s="12" t="s">
        <v>10</v>
      </c>
      <c r="F247" s="14">
        <v>44308</v>
      </c>
      <c r="G247" s="13">
        <f t="shared" si="13"/>
        <v>2021</v>
      </c>
      <c r="H247" s="30">
        <f t="shared" si="14"/>
        <v>6800000</v>
      </c>
      <c r="I247" s="39">
        <v>6</v>
      </c>
      <c r="J247">
        <f t="shared" si="15"/>
        <v>2</v>
      </c>
    </row>
    <row r="248" spans="1:10" x14ac:dyDescent="0.25">
      <c r="A248" s="16" t="s">
        <v>265</v>
      </c>
      <c r="B248" s="14">
        <v>36335</v>
      </c>
      <c r="C248" s="31">
        <f>YEAR(Table1[[#This Row],[Tanggal Lahir]])</f>
        <v>1999</v>
      </c>
      <c r="D248" s="15">
        <f t="shared" si="12"/>
        <v>23.255555555555556</v>
      </c>
      <c r="E248" s="12" t="s">
        <v>7</v>
      </c>
      <c r="F248" s="14">
        <v>41876</v>
      </c>
      <c r="G248" s="13">
        <f t="shared" si="13"/>
        <v>2014</v>
      </c>
      <c r="H248" s="30">
        <f t="shared" si="14"/>
        <v>9000000</v>
      </c>
      <c r="I248" s="39">
        <v>1</v>
      </c>
      <c r="J248">
        <f t="shared" si="15"/>
        <v>3</v>
      </c>
    </row>
    <row r="249" spans="1:10" x14ac:dyDescent="0.25">
      <c r="A249" s="16" t="s">
        <v>266</v>
      </c>
      <c r="B249" s="14">
        <v>37977</v>
      </c>
      <c r="C249" s="31">
        <f>YEAR(Table1[[#This Row],[Tanggal Lahir]])</f>
        <v>2003</v>
      </c>
      <c r="D249" s="15">
        <f t="shared" si="12"/>
        <v>18.761111111111113</v>
      </c>
      <c r="E249" s="12" t="s">
        <v>10</v>
      </c>
      <c r="F249" s="14">
        <v>43859</v>
      </c>
      <c r="G249" s="13">
        <f t="shared" si="13"/>
        <v>2020</v>
      </c>
      <c r="H249" s="30">
        <f t="shared" si="14"/>
        <v>6800000</v>
      </c>
      <c r="I249" s="39">
        <v>3</v>
      </c>
      <c r="J249">
        <f t="shared" si="15"/>
        <v>3</v>
      </c>
    </row>
    <row r="250" spans="1:10" x14ac:dyDescent="0.25">
      <c r="A250" s="16" t="s">
        <v>267</v>
      </c>
      <c r="B250" s="14">
        <v>37372</v>
      </c>
      <c r="C250" s="31">
        <f>YEAR(Table1[[#This Row],[Tanggal Lahir]])</f>
        <v>2002</v>
      </c>
      <c r="D250" s="15">
        <f t="shared" si="12"/>
        <v>20.416666666666668</v>
      </c>
      <c r="E250" s="12" t="s">
        <v>10</v>
      </c>
      <c r="F250" s="14">
        <v>42552</v>
      </c>
      <c r="G250" s="13">
        <f t="shared" si="13"/>
        <v>2016</v>
      </c>
      <c r="H250" s="30">
        <f t="shared" si="14"/>
        <v>9000000</v>
      </c>
      <c r="I250" s="39">
        <v>3</v>
      </c>
      <c r="J250">
        <f t="shared" si="15"/>
        <v>3</v>
      </c>
    </row>
    <row r="251" spans="1:10" x14ac:dyDescent="0.25">
      <c r="A251" s="16" t="s">
        <v>268</v>
      </c>
      <c r="B251" s="14">
        <v>36603</v>
      </c>
      <c r="C251" s="31">
        <f>YEAR(Table1[[#This Row],[Tanggal Lahir]])</f>
        <v>2000</v>
      </c>
      <c r="D251" s="15">
        <f t="shared" si="12"/>
        <v>22.522222222222222</v>
      </c>
      <c r="E251" s="12" t="s">
        <v>10</v>
      </c>
      <c r="F251" s="14">
        <v>39824</v>
      </c>
      <c r="G251" s="13">
        <f t="shared" si="13"/>
        <v>2009</v>
      </c>
      <c r="H251" s="30">
        <f t="shared" si="14"/>
        <v>13000000</v>
      </c>
      <c r="I251" s="39">
        <v>1</v>
      </c>
      <c r="J251">
        <f t="shared" si="15"/>
        <v>2</v>
      </c>
    </row>
    <row r="252" spans="1:10" x14ac:dyDescent="0.25">
      <c r="A252" s="16" t="s">
        <v>269</v>
      </c>
      <c r="B252" s="14">
        <v>36208</v>
      </c>
      <c r="C252" s="31">
        <f>YEAR(Table1[[#This Row],[Tanggal Lahir]])</f>
        <v>1999</v>
      </c>
      <c r="D252" s="15">
        <f t="shared" si="12"/>
        <v>23.608333333333334</v>
      </c>
      <c r="E252" s="12" t="s">
        <v>10</v>
      </c>
      <c r="F252" s="14">
        <v>39334</v>
      </c>
      <c r="G252" s="13">
        <f t="shared" si="13"/>
        <v>2007</v>
      </c>
      <c r="H252" s="30">
        <f t="shared" si="14"/>
        <v>18000000</v>
      </c>
      <c r="I252" s="39">
        <v>1</v>
      </c>
      <c r="J252">
        <f t="shared" si="15"/>
        <v>3</v>
      </c>
    </row>
    <row r="253" spans="1:10" x14ac:dyDescent="0.25">
      <c r="A253" s="16" t="s">
        <v>270</v>
      </c>
      <c r="B253" s="14">
        <v>37277</v>
      </c>
      <c r="C253" s="31">
        <f>YEAR(Table1[[#This Row],[Tanggal Lahir]])</f>
        <v>2002</v>
      </c>
      <c r="D253" s="15">
        <f t="shared" si="12"/>
        <v>20.680555555555557</v>
      </c>
      <c r="E253" s="12" t="s">
        <v>7</v>
      </c>
      <c r="F253" s="14">
        <v>43341</v>
      </c>
      <c r="G253" s="13">
        <f t="shared" si="13"/>
        <v>2018</v>
      </c>
      <c r="H253" s="30">
        <f t="shared" si="14"/>
        <v>9000000</v>
      </c>
      <c r="I253" s="39">
        <v>1</v>
      </c>
      <c r="J253">
        <f t="shared" si="15"/>
        <v>3</v>
      </c>
    </row>
    <row r="254" spans="1:10" x14ac:dyDescent="0.25">
      <c r="A254" s="16" t="s">
        <v>271</v>
      </c>
      <c r="B254" s="14">
        <v>35090</v>
      </c>
      <c r="C254" s="31">
        <f>YEAR(Table1[[#This Row],[Tanggal Lahir]])</f>
        <v>1996</v>
      </c>
      <c r="D254" s="15">
        <f t="shared" si="12"/>
        <v>26.666666666666668</v>
      </c>
      <c r="E254" s="12" t="s">
        <v>10</v>
      </c>
      <c r="F254" s="14">
        <v>42735</v>
      </c>
      <c r="G254" s="13">
        <f t="shared" si="13"/>
        <v>2016</v>
      </c>
      <c r="H254" s="30">
        <f t="shared" si="14"/>
        <v>9000000</v>
      </c>
      <c r="I254" s="39">
        <v>5</v>
      </c>
      <c r="J254">
        <f t="shared" si="15"/>
        <v>3</v>
      </c>
    </row>
    <row r="255" spans="1:10" x14ac:dyDescent="0.25">
      <c r="A255" s="16" t="s">
        <v>272</v>
      </c>
      <c r="B255" s="14">
        <v>36730</v>
      </c>
      <c r="C255" s="31">
        <f>YEAR(Table1[[#This Row],[Tanggal Lahir]])</f>
        <v>2000</v>
      </c>
      <c r="D255" s="15">
        <f t="shared" si="12"/>
        <v>22.175000000000001</v>
      </c>
      <c r="E255" s="12" t="s">
        <v>14</v>
      </c>
      <c r="F255" s="14">
        <v>41244</v>
      </c>
      <c r="G255" s="13">
        <f t="shared" si="13"/>
        <v>2012</v>
      </c>
      <c r="H255" s="30">
        <f t="shared" si="14"/>
        <v>13000000</v>
      </c>
      <c r="I255" s="39">
        <v>6</v>
      </c>
      <c r="J255">
        <f t="shared" si="15"/>
        <v>2</v>
      </c>
    </row>
    <row r="256" spans="1:10" x14ac:dyDescent="0.25">
      <c r="A256" s="16" t="s">
        <v>273</v>
      </c>
      <c r="B256" s="14">
        <v>34802</v>
      </c>
      <c r="C256" s="31">
        <f>YEAR(Table1[[#This Row],[Tanggal Lahir]])</f>
        <v>1995</v>
      </c>
      <c r="D256" s="15">
        <f t="shared" si="12"/>
        <v>27.452777777777779</v>
      </c>
      <c r="E256" s="12" t="s">
        <v>10</v>
      </c>
      <c r="F256" s="14">
        <v>41892</v>
      </c>
      <c r="G256" s="13">
        <f t="shared" si="13"/>
        <v>2014</v>
      </c>
      <c r="H256" s="30">
        <f t="shared" si="14"/>
        <v>9000000</v>
      </c>
      <c r="I256" s="39">
        <v>3</v>
      </c>
      <c r="J256">
        <f t="shared" si="15"/>
        <v>2</v>
      </c>
    </row>
    <row r="257" spans="1:10" x14ac:dyDescent="0.25">
      <c r="A257" s="16" t="s">
        <v>274</v>
      </c>
      <c r="B257" s="14">
        <v>35684</v>
      </c>
      <c r="C257" s="31">
        <f>YEAR(Table1[[#This Row],[Tanggal Lahir]])</f>
        <v>1997</v>
      </c>
      <c r="D257" s="15">
        <f t="shared" si="12"/>
        <v>25.041666666666668</v>
      </c>
      <c r="E257" s="12" t="s">
        <v>10</v>
      </c>
      <c r="F257" s="14">
        <v>41730</v>
      </c>
      <c r="G257" s="13">
        <f t="shared" si="13"/>
        <v>2014</v>
      </c>
      <c r="H257" s="30">
        <f t="shared" si="14"/>
        <v>9000000</v>
      </c>
      <c r="I257" s="39">
        <v>2</v>
      </c>
      <c r="J257">
        <f t="shared" si="15"/>
        <v>2</v>
      </c>
    </row>
    <row r="258" spans="1:10" x14ac:dyDescent="0.25">
      <c r="A258" s="16" t="s">
        <v>275</v>
      </c>
      <c r="B258" s="14">
        <v>36173</v>
      </c>
      <c r="C258" s="31">
        <f>YEAR(Table1[[#This Row],[Tanggal Lahir]])</f>
        <v>1999</v>
      </c>
      <c r="D258" s="15">
        <f t="shared" ref="D258:D321" si="16">YEARFRAC(B258,$L$2)</f>
        <v>23.702777777777779</v>
      </c>
      <c r="E258" s="12" t="s">
        <v>7</v>
      </c>
      <c r="F258" s="14">
        <v>42742</v>
      </c>
      <c r="G258" s="13">
        <f t="shared" ref="G258:G321" si="17">YEAR(F258)</f>
        <v>2017</v>
      </c>
      <c r="H258" s="30">
        <f t="shared" ref="H258:H321" si="18">IF(G258&lt;= 2008,18000000,IF(AND(G258&gt;=2009,G258&lt;=2013),13000000,IF(AND(G258&gt;=2014,G258&lt;=2019),9000000,6800000)))</f>
        <v>9000000</v>
      </c>
      <c r="I258" s="39">
        <v>2</v>
      </c>
      <c r="J258">
        <f t="shared" ref="J258:J321" si="19">SUM(LEN(A258)-LEN(SUBSTITUTE(A258," ",""))+1)</f>
        <v>2</v>
      </c>
    </row>
    <row r="259" spans="1:10" x14ac:dyDescent="0.25">
      <c r="A259" s="16" t="s">
        <v>276</v>
      </c>
      <c r="B259" s="14">
        <v>36174</v>
      </c>
      <c r="C259" s="31">
        <f>YEAR(Table1[[#This Row],[Tanggal Lahir]])</f>
        <v>1999</v>
      </c>
      <c r="D259" s="15">
        <f t="shared" si="16"/>
        <v>23.7</v>
      </c>
      <c r="E259" s="12" t="s">
        <v>10</v>
      </c>
      <c r="F259" s="14">
        <v>42133</v>
      </c>
      <c r="G259" s="13">
        <f t="shared" si="17"/>
        <v>2015</v>
      </c>
      <c r="H259" s="30">
        <f t="shared" si="18"/>
        <v>9000000</v>
      </c>
      <c r="I259" s="39">
        <v>1</v>
      </c>
      <c r="J259">
        <f t="shared" si="19"/>
        <v>2</v>
      </c>
    </row>
    <row r="260" spans="1:10" x14ac:dyDescent="0.25">
      <c r="A260" s="16" t="s">
        <v>277</v>
      </c>
      <c r="B260" s="14">
        <v>34906</v>
      </c>
      <c r="C260" s="31">
        <f>YEAR(Table1[[#This Row],[Tanggal Lahir]])</f>
        <v>1995</v>
      </c>
      <c r="D260" s="15">
        <f t="shared" si="16"/>
        <v>27.166666666666668</v>
      </c>
      <c r="E260" s="12" t="s">
        <v>10</v>
      </c>
      <c r="F260" s="14">
        <v>43230</v>
      </c>
      <c r="G260" s="13">
        <f t="shared" si="17"/>
        <v>2018</v>
      </c>
      <c r="H260" s="30">
        <f t="shared" si="18"/>
        <v>9000000</v>
      </c>
      <c r="I260" s="39">
        <v>6</v>
      </c>
      <c r="J260">
        <f t="shared" si="19"/>
        <v>3</v>
      </c>
    </row>
    <row r="261" spans="1:10" x14ac:dyDescent="0.25">
      <c r="A261" s="16" t="s">
        <v>278</v>
      </c>
      <c r="B261" s="14">
        <v>37712</v>
      </c>
      <c r="C261" s="31">
        <f>YEAR(Table1[[#This Row],[Tanggal Lahir]])</f>
        <v>2003</v>
      </c>
      <c r="D261" s="15">
        <f t="shared" si="16"/>
        <v>19.486111111111111</v>
      </c>
      <c r="E261" s="12" t="s">
        <v>14</v>
      </c>
      <c r="F261" s="14">
        <v>44291</v>
      </c>
      <c r="G261" s="13">
        <f t="shared" si="17"/>
        <v>2021</v>
      </c>
      <c r="H261" s="30">
        <f t="shared" si="18"/>
        <v>6800000</v>
      </c>
      <c r="I261" s="39">
        <v>3</v>
      </c>
      <c r="J261">
        <f t="shared" si="19"/>
        <v>2</v>
      </c>
    </row>
    <row r="262" spans="1:10" x14ac:dyDescent="0.25">
      <c r="A262" s="16" t="s">
        <v>279</v>
      </c>
      <c r="B262" s="14">
        <v>37361</v>
      </c>
      <c r="C262" s="31">
        <f>YEAR(Table1[[#This Row],[Tanggal Lahir]])</f>
        <v>2002</v>
      </c>
      <c r="D262" s="15">
        <f t="shared" si="16"/>
        <v>20.447222222222223</v>
      </c>
      <c r="E262" s="12" t="s">
        <v>14</v>
      </c>
      <c r="F262" s="14">
        <v>39836</v>
      </c>
      <c r="G262" s="13">
        <f t="shared" si="17"/>
        <v>2009</v>
      </c>
      <c r="H262" s="30">
        <f t="shared" si="18"/>
        <v>13000000</v>
      </c>
      <c r="I262" s="39">
        <v>5</v>
      </c>
      <c r="J262">
        <f t="shared" si="19"/>
        <v>2</v>
      </c>
    </row>
    <row r="263" spans="1:10" x14ac:dyDescent="0.25">
      <c r="A263" s="16" t="s">
        <v>280</v>
      </c>
      <c r="B263" s="14">
        <v>36670</v>
      </c>
      <c r="C263" s="31">
        <f>YEAR(Table1[[#This Row],[Tanggal Lahir]])</f>
        <v>2000</v>
      </c>
      <c r="D263" s="15">
        <f t="shared" si="16"/>
        <v>22.338888888888889</v>
      </c>
      <c r="E263" s="12" t="s">
        <v>10</v>
      </c>
      <c r="F263" s="14">
        <v>43747</v>
      </c>
      <c r="G263" s="13">
        <f t="shared" si="17"/>
        <v>2019</v>
      </c>
      <c r="H263" s="30">
        <f t="shared" si="18"/>
        <v>9000000</v>
      </c>
      <c r="I263" s="39">
        <v>2</v>
      </c>
      <c r="J263">
        <f t="shared" si="19"/>
        <v>2</v>
      </c>
    </row>
    <row r="264" spans="1:10" x14ac:dyDescent="0.25">
      <c r="A264" s="16" t="s">
        <v>281</v>
      </c>
      <c r="B264" s="14">
        <v>36055</v>
      </c>
      <c r="C264" s="31">
        <f>YEAR(Table1[[#This Row],[Tanggal Lahir]])</f>
        <v>1998</v>
      </c>
      <c r="D264" s="15">
        <f t="shared" si="16"/>
        <v>24.024999999999999</v>
      </c>
      <c r="E264" s="12" t="s">
        <v>10</v>
      </c>
      <c r="F264" s="14">
        <v>40616</v>
      </c>
      <c r="G264" s="13">
        <f t="shared" si="17"/>
        <v>2011</v>
      </c>
      <c r="H264" s="30">
        <f t="shared" si="18"/>
        <v>13000000</v>
      </c>
      <c r="I264" s="39">
        <v>4</v>
      </c>
      <c r="J264">
        <f t="shared" si="19"/>
        <v>3</v>
      </c>
    </row>
    <row r="265" spans="1:10" x14ac:dyDescent="0.25">
      <c r="A265" s="16" t="s">
        <v>282</v>
      </c>
      <c r="B265" s="14">
        <v>36152</v>
      </c>
      <c r="C265" s="31">
        <f>YEAR(Table1[[#This Row],[Tanggal Lahir]])</f>
        <v>1998</v>
      </c>
      <c r="D265" s="15">
        <f t="shared" si="16"/>
        <v>23.758333333333333</v>
      </c>
      <c r="E265" s="12" t="s">
        <v>10</v>
      </c>
      <c r="F265" s="14">
        <v>39109</v>
      </c>
      <c r="G265" s="13">
        <f t="shared" si="17"/>
        <v>2007</v>
      </c>
      <c r="H265" s="30">
        <f t="shared" si="18"/>
        <v>18000000</v>
      </c>
      <c r="I265" s="39">
        <v>3</v>
      </c>
      <c r="J265">
        <f t="shared" si="19"/>
        <v>3</v>
      </c>
    </row>
    <row r="266" spans="1:10" x14ac:dyDescent="0.25">
      <c r="A266" s="16" t="s">
        <v>283</v>
      </c>
      <c r="B266" s="14">
        <v>36010</v>
      </c>
      <c r="C266" s="31">
        <f>YEAR(Table1[[#This Row],[Tanggal Lahir]])</f>
        <v>1998</v>
      </c>
      <c r="D266" s="15">
        <f t="shared" si="16"/>
        <v>24.147222222222222</v>
      </c>
      <c r="E266" s="12" t="s">
        <v>14</v>
      </c>
      <c r="F266" s="14">
        <v>39100</v>
      </c>
      <c r="G266" s="13">
        <f t="shared" si="17"/>
        <v>2007</v>
      </c>
      <c r="H266" s="30">
        <f t="shared" si="18"/>
        <v>18000000</v>
      </c>
      <c r="I266" s="39">
        <v>4</v>
      </c>
      <c r="J266">
        <f t="shared" si="19"/>
        <v>2</v>
      </c>
    </row>
    <row r="267" spans="1:10" x14ac:dyDescent="0.25">
      <c r="A267" s="16" t="s">
        <v>284</v>
      </c>
      <c r="B267" s="14">
        <v>37234</v>
      </c>
      <c r="C267" s="31">
        <f>YEAR(Table1[[#This Row],[Tanggal Lahir]])</f>
        <v>2001</v>
      </c>
      <c r="D267" s="15">
        <f t="shared" si="16"/>
        <v>20.797222222222221</v>
      </c>
      <c r="E267" s="12" t="s">
        <v>14</v>
      </c>
      <c r="F267" s="14">
        <v>42855</v>
      </c>
      <c r="G267" s="13">
        <f t="shared" si="17"/>
        <v>2017</v>
      </c>
      <c r="H267" s="30">
        <f t="shared" si="18"/>
        <v>9000000</v>
      </c>
      <c r="I267" s="39">
        <v>5</v>
      </c>
      <c r="J267">
        <f t="shared" si="19"/>
        <v>2</v>
      </c>
    </row>
    <row r="268" spans="1:10" x14ac:dyDescent="0.25">
      <c r="A268" s="16" t="s">
        <v>285</v>
      </c>
      <c r="B268" s="14">
        <v>36829</v>
      </c>
      <c r="C268" s="31">
        <f>YEAR(Table1[[#This Row],[Tanggal Lahir]])</f>
        <v>2000</v>
      </c>
      <c r="D268" s="15">
        <f t="shared" si="16"/>
        <v>21.905555555555555</v>
      </c>
      <c r="E268" s="12" t="s">
        <v>14</v>
      </c>
      <c r="F268" s="14">
        <v>44691</v>
      </c>
      <c r="G268" s="13">
        <f t="shared" si="17"/>
        <v>2022</v>
      </c>
      <c r="H268" s="30">
        <f t="shared" si="18"/>
        <v>6800000</v>
      </c>
      <c r="I268" s="39">
        <v>3</v>
      </c>
      <c r="J268">
        <f t="shared" si="19"/>
        <v>2</v>
      </c>
    </row>
    <row r="269" spans="1:10" x14ac:dyDescent="0.25">
      <c r="A269" s="16" t="s">
        <v>286</v>
      </c>
      <c r="B269" s="14">
        <v>35656</v>
      </c>
      <c r="C269" s="31">
        <f>YEAR(Table1[[#This Row],[Tanggal Lahir]])</f>
        <v>1997</v>
      </c>
      <c r="D269" s="15">
        <f t="shared" si="16"/>
        <v>25.116666666666667</v>
      </c>
      <c r="E269" s="12" t="s">
        <v>14</v>
      </c>
      <c r="F269" s="14">
        <v>44604</v>
      </c>
      <c r="G269" s="13">
        <f t="shared" si="17"/>
        <v>2022</v>
      </c>
      <c r="H269" s="30">
        <f t="shared" si="18"/>
        <v>6800000</v>
      </c>
      <c r="I269" s="39">
        <v>6</v>
      </c>
      <c r="J269">
        <f t="shared" si="19"/>
        <v>3</v>
      </c>
    </row>
    <row r="270" spans="1:10" x14ac:dyDescent="0.25">
      <c r="A270" s="16" t="s">
        <v>287</v>
      </c>
      <c r="B270" s="14">
        <v>35436</v>
      </c>
      <c r="C270" s="31">
        <f>YEAR(Table1[[#This Row],[Tanggal Lahir]])</f>
        <v>1997</v>
      </c>
      <c r="D270" s="15">
        <f t="shared" si="16"/>
        <v>25.722222222222221</v>
      </c>
      <c r="E270" s="12" t="s">
        <v>10</v>
      </c>
      <c r="F270" s="14">
        <v>39728</v>
      </c>
      <c r="G270" s="13">
        <f t="shared" si="17"/>
        <v>2008</v>
      </c>
      <c r="H270" s="30">
        <f t="shared" si="18"/>
        <v>18000000</v>
      </c>
      <c r="I270" s="39">
        <v>6</v>
      </c>
      <c r="J270">
        <f t="shared" si="19"/>
        <v>2</v>
      </c>
    </row>
    <row r="271" spans="1:10" x14ac:dyDescent="0.25">
      <c r="A271" s="16" t="s">
        <v>288</v>
      </c>
      <c r="B271" s="14">
        <v>37276</v>
      </c>
      <c r="C271" s="31">
        <f>YEAR(Table1[[#This Row],[Tanggal Lahir]])</f>
        <v>2002</v>
      </c>
      <c r="D271" s="15">
        <f t="shared" si="16"/>
        <v>20.683333333333334</v>
      </c>
      <c r="E271" s="12" t="s">
        <v>10</v>
      </c>
      <c r="F271" s="14">
        <v>41669</v>
      </c>
      <c r="G271" s="13">
        <f t="shared" si="17"/>
        <v>2014</v>
      </c>
      <c r="H271" s="30">
        <f t="shared" si="18"/>
        <v>9000000</v>
      </c>
      <c r="I271" s="39">
        <v>3</v>
      </c>
      <c r="J271">
        <f t="shared" si="19"/>
        <v>2</v>
      </c>
    </row>
    <row r="272" spans="1:10" x14ac:dyDescent="0.25">
      <c r="A272" s="16" t="s">
        <v>289</v>
      </c>
      <c r="B272" s="14">
        <v>37609</v>
      </c>
      <c r="C272" s="31">
        <f>YEAR(Table1[[#This Row],[Tanggal Lahir]])</f>
        <v>2002</v>
      </c>
      <c r="D272" s="15">
        <f t="shared" si="16"/>
        <v>19.769444444444446</v>
      </c>
      <c r="E272" s="12" t="s">
        <v>10</v>
      </c>
      <c r="F272" s="14">
        <v>40664</v>
      </c>
      <c r="G272" s="13">
        <f t="shared" si="17"/>
        <v>2011</v>
      </c>
      <c r="H272" s="30">
        <f t="shared" si="18"/>
        <v>13000000</v>
      </c>
      <c r="I272" s="39">
        <v>1</v>
      </c>
      <c r="J272">
        <f t="shared" si="19"/>
        <v>2</v>
      </c>
    </row>
    <row r="273" spans="1:10" x14ac:dyDescent="0.25">
      <c r="A273" s="16" t="s">
        <v>290</v>
      </c>
      <c r="B273" s="14">
        <v>35584</v>
      </c>
      <c r="C273" s="31">
        <f>YEAR(Table1[[#This Row],[Tanggal Lahir]])</f>
        <v>1997</v>
      </c>
      <c r="D273" s="15">
        <f t="shared" si="16"/>
        <v>25.31388888888889</v>
      </c>
      <c r="E273" s="12" t="s">
        <v>10</v>
      </c>
      <c r="F273" s="14">
        <v>39389</v>
      </c>
      <c r="G273" s="13">
        <f t="shared" si="17"/>
        <v>2007</v>
      </c>
      <c r="H273" s="30">
        <f t="shared" si="18"/>
        <v>18000000</v>
      </c>
      <c r="I273" s="39">
        <v>2</v>
      </c>
      <c r="J273">
        <f t="shared" si="19"/>
        <v>2</v>
      </c>
    </row>
    <row r="274" spans="1:10" x14ac:dyDescent="0.25">
      <c r="A274" s="16" t="s">
        <v>291</v>
      </c>
      <c r="B274" s="14">
        <v>34668</v>
      </c>
      <c r="C274" s="31">
        <f>YEAR(Table1[[#This Row],[Tanggal Lahir]])</f>
        <v>1994</v>
      </c>
      <c r="D274" s="15">
        <f t="shared" si="16"/>
        <v>27.822222222222223</v>
      </c>
      <c r="E274" s="12" t="s">
        <v>10</v>
      </c>
      <c r="F274" s="14">
        <v>43968</v>
      </c>
      <c r="G274" s="13">
        <f t="shared" si="17"/>
        <v>2020</v>
      </c>
      <c r="H274" s="30">
        <f t="shared" si="18"/>
        <v>6800000</v>
      </c>
      <c r="I274" s="39">
        <v>3</v>
      </c>
      <c r="J274">
        <f t="shared" si="19"/>
        <v>2</v>
      </c>
    </row>
    <row r="275" spans="1:10" x14ac:dyDescent="0.25">
      <c r="A275" s="16" t="s">
        <v>292</v>
      </c>
      <c r="B275" s="14">
        <v>37149</v>
      </c>
      <c r="C275" s="31">
        <f>YEAR(Table1[[#This Row],[Tanggal Lahir]])</f>
        <v>2001</v>
      </c>
      <c r="D275" s="15">
        <f t="shared" si="16"/>
        <v>21.030555555555555</v>
      </c>
      <c r="E275" s="12" t="s">
        <v>14</v>
      </c>
      <c r="F275" s="14">
        <v>40770</v>
      </c>
      <c r="G275" s="13">
        <f t="shared" si="17"/>
        <v>2011</v>
      </c>
      <c r="H275" s="30">
        <f t="shared" si="18"/>
        <v>13000000</v>
      </c>
      <c r="I275" s="39">
        <v>4</v>
      </c>
      <c r="J275">
        <f t="shared" si="19"/>
        <v>2</v>
      </c>
    </row>
    <row r="276" spans="1:10" x14ac:dyDescent="0.25">
      <c r="A276" s="16" t="s">
        <v>293</v>
      </c>
      <c r="B276" s="14">
        <v>37040</v>
      </c>
      <c r="C276" s="31">
        <f>YEAR(Table1[[#This Row],[Tanggal Lahir]])</f>
        <v>2001</v>
      </c>
      <c r="D276" s="15">
        <f t="shared" si="16"/>
        <v>21.324999999999999</v>
      </c>
      <c r="E276" s="12" t="s">
        <v>7</v>
      </c>
      <c r="F276" s="14">
        <v>43612</v>
      </c>
      <c r="G276" s="13">
        <f t="shared" si="17"/>
        <v>2019</v>
      </c>
      <c r="H276" s="30">
        <f t="shared" si="18"/>
        <v>9000000</v>
      </c>
      <c r="I276" s="39">
        <v>6</v>
      </c>
      <c r="J276">
        <f t="shared" si="19"/>
        <v>2</v>
      </c>
    </row>
    <row r="277" spans="1:10" x14ac:dyDescent="0.25">
      <c r="A277" s="16" t="s">
        <v>294</v>
      </c>
      <c r="B277" s="14">
        <v>36733</v>
      </c>
      <c r="C277" s="31">
        <f>YEAR(Table1[[#This Row],[Tanggal Lahir]])</f>
        <v>2000</v>
      </c>
      <c r="D277" s="15">
        <f t="shared" si="16"/>
        <v>22.166666666666668</v>
      </c>
      <c r="E277" s="12" t="s">
        <v>10</v>
      </c>
      <c r="F277" s="14">
        <v>38740</v>
      </c>
      <c r="G277" s="13">
        <f t="shared" si="17"/>
        <v>2006</v>
      </c>
      <c r="H277" s="30">
        <f t="shared" si="18"/>
        <v>18000000</v>
      </c>
      <c r="I277" s="39">
        <v>3</v>
      </c>
      <c r="J277">
        <f t="shared" si="19"/>
        <v>2</v>
      </c>
    </row>
    <row r="278" spans="1:10" x14ac:dyDescent="0.25">
      <c r="A278" s="16" t="s">
        <v>295</v>
      </c>
      <c r="B278" s="14">
        <v>37660</v>
      </c>
      <c r="C278" s="31">
        <f>YEAR(Table1[[#This Row],[Tanggal Lahir]])</f>
        <v>2003</v>
      </c>
      <c r="D278" s="15">
        <f t="shared" si="16"/>
        <v>19.633333333333333</v>
      </c>
      <c r="E278" s="12" t="s">
        <v>10</v>
      </c>
      <c r="F278" s="14">
        <v>44250</v>
      </c>
      <c r="G278" s="13">
        <f t="shared" si="17"/>
        <v>2021</v>
      </c>
      <c r="H278" s="30">
        <f t="shared" si="18"/>
        <v>6800000</v>
      </c>
      <c r="I278" s="39">
        <v>3</v>
      </c>
      <c r="J278">
        <f t="shared" si="19"/>
        <v>2</v>
      </c>
    </row>
    <row r="279" spans="1:10" x14ac:dyDescent="0.25">
      <c r="A279" s="16" t="s">
        <v>296</v>
      </c>
      <c r="B279" s="14">
        <v>37471</v>
      </c>
      <c r="C279" s="31">
        <f>YEAR(Table1[[#This Row],[Tanggal Lahir]])</f>
        <v>2002</v>
      </c>
      <c r="D279" s="15">
        <f t="shared" si="16"/>
        <v>20.147222222222222</v>
      </c>
      <c r="E279" s="12" t="s">
        <v>10</v>
      </c>
      <c r="F279" s="14">
        <v>40057</v>
      </c>
      <c r="G279" s="13">
        <f t="shared" si="17"/>
        <v>2009</v>
      </c>
      <c r="H279" s="30">
        <f t="shared" si="18"/>
        <v>13000000</v>
      </c>
      <c r="I279" s="39">
        <v>2</v>
      </c>
      <c r="J279">
        <f t="shared" si="19"/>
        <v>2</v>
      </c>
    </row>
    <row r="280" spans="1:10" x14ac:dyDescent="0.25">
      <c r="A280" s="16" t="s">
        <v>297</v>
      </c>
      <c r="B280" s="14">
        <v>37869</v>
      </c>
      <c r="C280" s="31">
        <f>YEAR(Table1[[#This Row],[Tanggal Lahir]])</f>
        <v>2003</v>
      </c>
      <c r="D280" s="15">
        <f t="shared" si="16"/>
        <v>19.058333333333334</v>
      </c>
      <c r="E280" s="12" t="s">
        <v>10</v>
      </c>
      <c r="F280" s="14">
        <v>38925</v>
      </c>
      <c r="G280" s="13">
        <f t="shared" si="17"/>
        <v>2006</v>
      </c>
      <c r="H280" s="30">
        <f t="shared" si="18"/>
        <v>18000000</v>
      </c>
      <c r="I280" s="39">
        <v>5</v>
      </c>
      <c r="J280">
        <f t="shared" si="19"/>
        <v>2</v>
      </c>
    </row>
    <row r="281" spans="1:10" x14ac:dyDescent="0.25">
      <c r="A281" s="16" t="s">
        <v>298</v>
      </c>
      <c r="B281" s="14">
        <v>35535</v>
      </c>
      <c r="C281" s="31">
        <f>YEAR(Table1[[#This Row],[Tanggal Lahir]])</f>
        <v>1997</v>
      </c>
      <c r="D281" s="15">
        <f t="shared" si="16"/>
        <v>25.447222222222223</v>
      </c>
      <c r="E281" s="12" t="s">
        <v>299</v>
      </c>
      <c r="F281" s="14">
        <v>44464</v>
      </c>
      <c r="G281" s="13">
        <f t="shared" si="17"/>
        <v>2021</v>
      </c>
      <c r="H281" s="30">
        <f t="shared" si="18"/>
        <v>6800000</v>
      </c>
      <c r="I281" s="39">
        <v>3</v>
      </c>
      <c r="J281">
        <f t="shared" si="19"/>
        <v>2</v>
      </c>
    </row>
    <row r="282" spans="1:10" x14ac:dyDescent="0.25">
      <c r="A282" s="16" t="s">
        <v>300</v>
      </c>
      <c r="B282" s="14">
        <v>36927</v>
      </c>
      <c r="C282" s="31">
        <f>YEAR(Table1[[#This Row],[Tanggal Lahir]])</f>
        <v>2001</v>
      </c>
      <c r="D282" s="15">
        <f t="shared" si="16"/>
        <v>21.641666666666666</v>
      </c>
      <c r="E282" s="12" t="s">
        <v>10</v>
      </c>
      <c r="F282" s="14">
        <v>38402</v>
      </c>
      <c r="G282" s="13">
        <f t="shared" si="17"/>
        <v>2005</v>
      </c>
      <c r="H282" s="30">
        <f t="shared" si="18"/>
        <v>18000000</v>
      </c>
      <c r="I282" s="39">
        <v>2</v>
      </c>
      <c r="J282">
        <f t="shared" si="19"/>
        <v>2</v>
      </c>
    </row>
    <row r="283" spans="1:10" x14ac:dyDescent="0.25">
      <c r="A283" s="16" t="s">
        <v>301</v>
      </c>
      <c r="B283" s="14">
        <v>35300</v>
      </c>
      <c r="C283" s="31">
        <f>YEAR(Table1[[#This Row],[Tanggal Lahir]])</f>
        <v>1996</v>
      </c>
      <c r="D283" s="15">
        <f t="shared" si="16"/>
        <v>26.091666666666665</v>
      </c>
      <c r="E283" s="12" t="s">
        <v>10</v>
      </c>
      <c r="F283" s="14">
        <v>38943</v>
      </c>
      <c r="G283" s="13">
        <f t="shared" si="17"/>
        <v>2006</v>
      </c>
      <c r="H283" s="30">
        <f t="shared" si="18"/>
        <v>18000000</v>
      </c>
      <c r="I283" s="39">
        <v>5</v>
      </c>
      <c r="J283">
        <f t="shared" si="19"/>
        <v>2</v>
      </c>
    </row>
    <row r="284" spans="1:10" x14ac:dyDescent="0.25">
      <c r="A284" s="16" t="s">
        <v>302</v>
      </c>
      <c r="B284" s="14">
        <v>37514</v>
      </c>
      <c r="C284" s="31">
        <f>YEAR(Table1[[#This Row],[Tanggal Lahir]])</f>
        <v>2002</v>
      </c>
      <c r="D284" s="15">
        <f t="shared" si="16"/>
        <v>20.030555555555555</v>
      </c>
      <c r="E284" s="12" t="s">
        <v>7</v>
      </c>
      <c r="F284" s="14">
        <v>41867</v>
      </c>
      <c r="G284" s="13">
        <f t="shared" si="17"/>
        <v>2014</v>
      </c>
      <c r="H284" s="30">
        <f t="shared" si="18"/>
        <v>9000000</v>
      </c>
      <c r="I284" s="39">
        <v>5</v>
      </c>
      <c r="J284">
        <f t="shared" si="19"/>
        <v>2</v>
      </c>
    </row>
    <row r="285" spans="1:10" x14ac:dyDescent="0.25">
      <c r="A285" s="16" t="s">
        <v>303</v>
      </c>
      <c r="B285" s="14">
        <v>37574</v>
      </c>
      <c r="C285" s="31">
        <f>YEAR(Table1[[#This Row],[Tanggal Lahir]])</f>
        <v>2002</v>
      </c>
      <c r="D285" s="15">
        <f t="shared" si="16"/>
        <v>19.866666666666667</v>
      </c>
      <c r="E285" s="12" t="s">
        <v>10</v>
      </c>
      <c r="F285" s="14">
        <v>39318</v>
      </c>
      <c r="G285" s="13">
        <f t="shared" si="17"/>
        <v>2007</v>
      </c>
      <c r="H285" s="30">
        <f t="shared" si="18"/>
        <v>18000000</v>
      </c>
      <c r="I285" s="39">
        <v>6</v>
      </c>
      <c r="J285">
        <f t="shared" si="19"/>
        <v>3</v>
      </c>
    </row>
    <row r="286" spans="1:10" x14ac:dyDescent="0.25">
      <c r="A286" s="16" t="s">
        <v>304</v>
      </c>
      <c r="B286" s="14">
        <v>37968</v>
      </c>
      <c r="C286" s="31">
        <f>YEAR(Table1[[#This Row],[Tanggal Lahir]])</f>
        <v>2003</v>
      </c>
      <c r="D286" s="15">
        <f t="shared" si="16"/>
        <v>18.786111111111111</v>
      </c>
      <c r="E286" s="12" t="s">
        <v>14</v>
      </c>
      <c r="F286" s="14">
        <v>42208</v>
      </c>
      <c r="G286" s="13">
        <f t="shared" si="17"/>
        <v>2015</v>
      </c>
      <c r="H286" s="30">
        <f t="shared" si="18"/>
        <v>9000000</v>
      </c>
      <c r="I286" s="39">
        <v>2</v>
      </c>
      <c r="J286">
        <f t="shared" si="19"/>
        <v>2</v>
      </c>
    </row>
    <row r="287" spans="1:10" x14ac:dyDescent="0.25">
      <c r="A287" s="16" t="s">
        <v>305</v>
      </c>
      <c r="B287" s="14">
        <v>36690</v>
      </c>
      <c r="C287" s="31">
        <f>YEAR(Table1[[#This Row],[Tanggal Lahir]])</f>
        <v>2000</v>
      </c>
      <c r="D287" s="15">
        <f t="shared" si="16"/>
        <v>22.286111111111111</v>
      </c>
      <c r="E287" s="12" t="s">
        <v>10</v>
      </c>
      <c r="F287" s="14">
        <v>40501</v>
      </c>
      <c r="G287" s="13">
        <f t="shared" si="17"/>
        <v>2010</v>
      </c>
      <c r="H287" s="30">
        <f t="shared" si="18"/>
        <v>13000000</v>
      </c>
      <c r="I287" s="39">
        <v>5</v>
      </c>
      <c r="J287">
        <f t="shared" si="19"/>
        <v>2</v>
      </c>
    </row>
    <row r="288" spans="1:10" x14ac:dyDescent="0.25">
      <c r="A288" s="16" t="s">
        <v>306</v>
      </c>
      <c r="B288" s="14">
        <v>34854</v>
      </c>
      <c r="C288" s="31">
        <f>YEAR(Table1[[#This Row],[Tanggal Lahir]])</f>
        <v>1995</v>
      </c>
      <c r="D288" s="15">
        <f t="shared" si="16"/>
        <v>27.31111111111111</v>
      </c>
      <c r="E288" s="12" t="s">
        <v>10</v>
      </c>
      <c r="F288" s="14">
        <v>41763</v>
      </c>
      <c r="G288" s="13">
        <f t="shared" si="17"/>
        <v>2014</v>
      </c>
      <c r="H288" s="30">
        <f t="shared" si="18"/>
        <v>9000000</v>
      </c>
      <c r="I288" s="39">
        <v>5</v>
      </c>
      <c r="J288">
        <f t="shared" si="19"/>
        <v>3</v>
      </c>
    </row>
    <row r="289" spans="1:10" x14ac:dyDescent="0.25">
      <c r="A289" s="16" t="s">
        <v>307</v>
      </c>
      <c r="B289" s="14">
        <v>34881</v>
      </c>
      <c r="C289" s="31">
        <f>YEAR(Table1[[#This Row],[Tanggal Lahir]])</f>
        <v>1995</v>
      </c>
      <c r="D289" s="15">
        <f t="shared" si="16"/>
        <v>27.236111111111111</v>
      </c>
      <c r="E289" s="12" t="s">
        <v>10</v>
      </c>
      <c r="F289" s="14">
        <v>38957</v>
      </c>
      <c r="G289" s="13">
        <f t="shared" si="17"/>
        <v>2006</v>
      </c>
      <c r="H289" s="30">
        <f t="shared" si="18"/>
        <v>18000000</v>
      </c>
      <c r="I289" s="39">
        <v>2</v>
      </c>
      <c r="J289">
        <f t="shared" si="19"/>
        <v>2</v>
      </c>
    </row>
    <row r="290" spans="1:10" x14ac:dyDescent="0.25">
      <c r="A290" s="16" t="s">
        <v>308</v>
      </c>
      <c r="B290" s="14">
        <v>35491</v>
      </c>
      <c r="C290" s="31">
        <f>YEAR(Table1[[#This Row],[Tanggal Lahir]])</f>
        <v>1997</v>
      </c>
      <c r="D290" s="15">
        <f t="shared" si="16"/>
        <v>25.566666666666666</v>
      </c>
      <c r="E290" s="12" t="s">
        <v>10</v>
      </c>
      <c r="F290" s="14">
        <v>43036</v>
      </c>
      <c r="G290" s="13">
        <f t="shared" si="17"/>
        <v>2017</v>
      </c>
      <c r="H290" s="30">
        <f t="shared" si="18"/>
        <v>9000000</v>
      </c>
      <c r="I290" s="39">
        <v>3</v>
      </c>
      <c r="J290">
        <f t="shared" si="19"/>
        <v>2</v>
      </c>
    </row>
    <row r="291" spans="1:10" x14ac:dyDescent="0.25">
      <c r="A291" s="16" t="s">
        <v>309</v>
      </c>
      <c r="B291" s="14">
        <v>37728</v>
      </c>
      <c r="C291" s="31">
        <f>YEAR(Table1[[#This Row],[Tanggal Lahir]])</f>
        <v>2003</v>
      </c>
      <c r="D291" s="15">
        <f t="shared" si="16"/>
        <v>19.441666666666666</v>
      </c>
      <c r="E291" s="12" t="s">
        <v>10</v>
      </c>
      <c r="F291" s="14">
        <v>40785</v>
      </c>
      <c r="G291" s="13">
        <f t="shared" si="17"/>
        <v>2011</v>
      </c>
      <c r="H291" s="30">
        <f t="shared" si="18"/>
        <v>13000000</v>
      </c>
      <c r="I291" s="39">
        <v>1</v>
      </c>
      <c r="J291">
        <f t="shared" si="19"/>
        <v>2</v>
      </c>
    </row>
    <row r="292" spans="1:10" x14ac:dyDescent="0.25">
      <c r="A292" s="16" t="s">
        <v>310</v>
      </c>
      <c r="B292" s="14">
        <v>37759</v>
      </c>
      <c r="C292" s="31">
        <f>YEAR(Table1[[#This Row],[Tanggal Lahir]])</f>
        <v>2003</v>
      </c>
      <c r="D292" s="15">
        <f t="shared" si="16"/>
        <v>19.355555555555554</v>
      </c>
      <c r="E292" s="12" t="s">
        <v>10</v>
      </c>
      <c r="F292" s="14">
        <v>39767</v>
      </c>
      <c r="G292" s="13">
        <f t="shared" si="17"/>
        <v>2008</v>
      </c>
      <c r="H292" s="30">
        <f t="shared" si="18"/>
        <v>18000000</v>
      </c>
      <c r="I292" s="39">
        <v>5</v>
      </c>
      <c r="J292">
        <f t="shared" si="19"/>
        <v>2</v>
      </c>
    </row>
    <row r="293" spans="1:10" x14ac:dyDescent="0.25">
      <c r="A293" s="16" t="s">
        <v>311</v>
      </c>
      <c r="B293" s="14">
        <v>36589</v>
      </c>
      <c r="C293" s="31">
        <f>YEAR(Table1[[#This Row],[Tanggal Lahir]])</f>
        <v>2000</v>
      </c>
      <c r="D293" s="15">
        <f t="shared" si="16"/>
        <v>22.56111111111111</v>
      </c>
      <c r="E293" s="12" t="s">
        <v>14</v>
      </c>
      <c r="F293" s="14">
        <v>39149</v>
      </c>
      <c r="G293" s="13">
        <f t="shared" si="17"/>
        <v>2007</v>
      </c>
      <c r="H293" s="30">
        <f t="shared" si="18"/>
        <v>18000000</v>
      </c>
      <c r="I293" s="39">
        <v>4</v>
      </c>
      <c r="J293">
        <f t="shared" si="19"/>
        <v>3</v>
      </c>
    </row>
    <row r="294" spans="1:10" x14ac:dyDescent="0.25">
      <c r="A294" s="16" t="s">
        <v>312</v>
      </c>
      <c r="B294" s="14">
        <v>36922</v>
      </c>
      <c r="C294" s="31">
        <f>YEAR(Table1[[#This Row],[Tanggal Lahir]])</f>
        <v>2001</v>
      </c>
      <c r="D294" s="15">
        <f t="shared" si="16"/>
        <v>21.655555555555555</v>
      </c>
      <c r="E294" s="12" t="s">
        <v>7</v>
      </c>
      <c r="F294" s="14">
        <v>40022</v>
      </c>
      <c r="G294" s="13">
        <f t="shared" si="17"/>
        <v>2009</v>
      </c>
      <c r="H294" s="30">
        <f t="shared" si="18"/>
        <v>13000000</v>
      </c>
      <c r="I294" s="39">
        <v>5</v>
      </c>
      <c r="J294">
        <f t="shared" si="19"/>
        <v>2</v>
      </c>
    </row>
    <row r="295" spans="1:10" x14ac:dyDescent="0.25">
      <c r="A295" s="16" t="s">
        <v>313</v>
      </c>
      <c r="B295" s="14">
        <v>35989</v>
      </c>
      <c r="C295" s="31">
        <f>YEAR(Table1[[#This Row],[Tanggal Lahir]])</f>
        <v>1998</v>
      </c>
      <c r="D295" s="15">
        <f t="shared" si="16"/>
        <v>24.202777777777779</v>
      </c>
      <c r="E295" s="12" t="s">
        <v>7</v>
      </c>
      <c r="F295" s="14">
        <v>43281</v>
      </c>
      <c r="G295" s="13">
        <f t="shared" si="17"/>
        <v>2018</v>
      </c>
      <c r="H295" s="30">
        <f t="shared" si="18"/>
        <v>9000000</v>
      </c>
      <c r="I295" s="39">
        <v>3</v>
      </c>
      <c r="J295">
        <f t="shared" si="19"/>
        <v>2</v>
      </c>
    </row>
    <row r="296" spans="1:10" x14ac:dyDescent="0.25">
      <c r="A296" s="16" t="s">
        <v>314</v>
      </c>
      <c r="B296" s="14">
        <v>37910</v>
      </c>
      <c r="C296" s="31">
        <f>YEAR(Table1[[#This Row],[Tanggal Lahir]])</f>
        <v>2003</v>
      </c>
      <c r="D296" s="15">
        <f t="shared" si="16"/>
        <v>18.944444444444443</v>
      </c>
      <c r="E296" s="12" t="s">
        <v>7</v>
      </c>
      <c r="F296" s="14">
        <v>41849</v>
      </c>
      <c r="G296" s="13">
        <f t="shared" si="17"/>
        <v>2014</v>
      </c>
      <c r="H296" s="30">
        <f t="shared" si="18"/>
        <v>9000000</v>
      </c>
      <c r="I296" s="39">
        <v>6</v>
      </c>
      <c r="J296">
        <f t="shared" si="19"/>
        <v>3</v>
      </c>
    </row>
    <row r="297" spans="1:10" x14ac:dyDescent="0.25">
      <c r="A297" s="16" t="s">
        <v>315</v>
      </c>
      <c r="B297" s="14">
        <v>34506</v>
      </c>
      <c r="C297" s="31">
        <f>YEAR(Table1[[#This Row],[Tanggal Lahir]])</f>
        <v>1994</v>
      </c>
      <c r="D297" s="15">
        <f t="shared" si="16"/>
        <v>28.263888888888889</v>
      </c>
      <c r="E297" s="12" t="s">
        <v>7</v>
      </c>
      <c r="F297" s="14">
        <v>43155</v>
      </c>
      <c r="G297" s="13">
        <f t="shared" si="17"/>
        <v>2018</v>
      </c>
      <c r="H297" s="30">
        <f t="shared" si="18"/>
        <v>9000000</v>
      </c>
      <c r="I297" s="39">
        <v>4</v>
      </c>
      <c r="J297">
        <f t="shared" si="19"/>
        <v>3</v>
      </c>
    </row>
    <row r="298" spans="1:10" x14ac:dyDescent="0.25">
      <c r="A298" s="16" t="s">
        <v>316</v>
      </c>
      <c r="B298" s="14">
        <v>37295</v>
      </c>
      <c r="C298" s="31">
        <f>YEAR(Table1[[#This Row],[Tanggal Lahir]])</f>
        <v>2002</v>
      </c>
      <c r="D298" s="15">
        <f t="shared" si="16"/>
        <v>20.633333333333333</v>
      </c>
      <c r="E298" s="12" t="s">
        <v>10</v>
      </c>
      <c r="F298" s="14">
        <v>42611</v>
      </c>
      <c r="G298" s="13">
        <f t="shared" si="17"/>
        <v>2016</v>
      </c>
      <c r="H298" s="30">
        <f t="shared" si="18"/>
        <v>9000000</v>
      </c>
      <c r="I298" s="39">
        <v>4</v>
      </c>
      <c r="J298">
        <f t="shared" si="19"/>
        <v>2</v>
      </c>
    </row>
    <row r="299" spans="1:10" x14ac:dyDescent="0.25">
      <c r="A299" s="16" t="s">
        <v>317</v>
      </c>
      <c r="B299" s="14">
        <v>37531</v>
      </c>
      <c r="C299" s="31">
        <f>YEAR(Table1[[#This Row],[Tanggal Lahir]])</f>
        <v>2002</v>
      </c>
      <c r="D299" s="15">
        <f t="shared" si="16"/>
        <v>19.983333333333334</v>
      </c>
      <c r="E299" s="12" t="s">
        <v>10</v>
      </c>
      <c r="F299" s="14">
        <v>40073</v>
      </c>
      <c r="G299" s="13">
        <f t="shared" si="17"/>
        <v>2009</v>
      </c>
      <c r="H299" s="30">
        <f t="shared" si="18"/>
        <v>13000000</v>
      </c>
      <c r="I299" s="39">
        <v>5</v>
      </c>
      <c r="J299">
        <f t="shared" si="19"/>
        <v>2</v>
      </c>
    </row>
    <row r="300" spans="1:10" x14ac:dyDescent="0.25">
      <c r="A300" s="16" t="s">
        <v>318</v>
      </c>
      <c r="B300" s="14">
        <v>35459</v>
      </c>
      <c r="C300" s="31">
        <f>YEAR(Table1[[#This Row],[Tanggal Lahir]])</f>
        <v>1997</v>
      </c>
      <c r="D300" s="15">
        <f t="shared" si="16"/>
        <v>25.658333333333335</v>
      </c>
      <c r="E300" s="12" t="s">
        <v>10</v>
      </c>
      <c r="F300" s="14">
        <v>43353</v>
      </c>
      <c r="G300" s="13">
        <f t="shared" si="17"/>
        <v>2018</v>
      </c>
      <c r="H300" s="30">
        <f t="shared" si="18"/>
        <v>9000000</v>
      </c>
      <c r="I300" s="39">
        <v>1</v>
      </c>
      <c r="J300">
        <f t="shared" si="19"/>
        <v>2</v>
      </c>
    </row>
    <row r="301" spans="1:10" x14ac:dyDescent="0.25">
      <c r="A301" s="16" t="s">
        <v>319</v>
      </c>
      <c r="B301" s="14">
        <v>36222</v>
      </c>
      <c r="C301" s="31">
        <f>YEAR(Table1[[#This Row],[Tanggal Lahir]])</f>
        <v>1999</v>
      </c>
      <c r="D301" s="15">
        <f t="shared" si="16"/>
        <v>23.56388888888889</v>
      </c>
      <c r="E301" s="12" t="s">
        <v>10</v>
      </c>
      <c r="F301" s="14">
        <v>44711</v>
      </c>
      <c r="G301" s="13">
        <f t="shared" si="17"/>
        <v>2022</v>
      </c>
      <c r="H301" s="30">
        <f t="shared" si="18"/>
        <v>6800000</v>
      </c>
      <c r="I301" s="39">
        <v>6</v>
      </c>
      <c r="J301">
        <f t="shared" si="19"/>
        <v>2</v>
      </c>
    </row>
    <row r="302" spans="1:10" x14ac:dyDescent="0.25">
      <c r="A302" s="16" t="s">
        <v>320</v>
      </c>
      <c r="B302" s="14">
        <v>35802</v>
      </c>
      <c r="C302" s="31">
        <f>YEAR(Table1[[#This Row],[Tanggal Lahir]])</f>
        <v>1998</v>
      </c>
      <c r="D302" s="15">
        <f t="shared" si="16"/>
        <v>24.719444444444445</v>
      </c>
      <c r="E302" s="12" t="s">
        <v>10</v>
      </c>
      <c r="F302" s="14">
        <v>41693</v>
      </c>
      <c r="G302" s="13">
        <f t="shared" si="17"/>
        <v>2014</v>
      </c>
      <c r="H302" s="30">
        <f t="shared" si="18"/>
        <v>9000000</v>
      </c>
      <c r="I302" s="39">
        <v>5</v>
      </c>
      <c r="J302">
        <f t="shared" si="19"/>
        <v>2</v>
      </c>
    </row>
    <row r="303" spans="1:10" x14ac:dyDescent="0.25">
      <c r="A303" s="16" t="s">
        <v>321</v>
      </c>
      <c r="B303" s="14">
        <v>34588</v>
      </c>
      <c r="C303" s="31">
        <f>YEAR(Table1[[#This Row],[Tanggal Lahir]])</f>
        <v>1994</v>
      </c>
      <c r="D303" s="15">
        <f t="shared" si="16"/>
        <v>28.041666666666668</v>
      </c>
      <c r="E303" s="12" t="s">
        <v>7</v>
      </c>
      <c r="F303" s="14">
        <v>42887</v>
      </c>
      <c r="G303" s="13">
        <f t="shared" si="17"/>
        <v>2017</v>
      </c>
      <c r="H303" s="30">
        <f t="shared" si="18"/>
        <v>9000000</v>
      </c>
      <c r="I303" s="39">
        <v>5</v>
      </c>
      <c r="J303">
        <f t="shared" si="19"/>
        <v>2</v>
      </c>
    </row>
    <row r="304" spans="1:10" x14ac:dyDescent="0.25">
      <c r="A304" s="16" t="s">
        <v>322</v>
      </c>
      <c r="B304" s="14">
        <v>35742</v>
      </c>
      <c r="C304" s="31">
        <f>YEAR(Table1[[#This Row],[Tanggal Lahir]])</f>
        <v>1997</v>
      </c>
      <c r="D304" s="15">
        <f t="shared" si="16"/>
        <v>24.883333333333333</v>
      </c>
      <c r="E304" s="12" t="s">
        <v>10</v>
      </c>
      <c r="F304" s="14">
        <v>43964</v>
      </c>
      <c r="G304" s="13">
        <f t="shared" si="17"/>
        <v>2020</v>
      </c>
      <c r="H304" s="30">
        <f t="shared" si="18"/>
        <v>6800000</v>
      </c>
      <c r="I304" s="39">
        <v>4</v>
      </c>
      <c r="J304">
        <f t="shared" si="19"/>
        <v>2</v>
      </c>
    </row>
    <row r="305" spans="1:10" x14ac:dyDescent="0.25">
      <c r="A305" s="16" t="s">
        <v>323</v>
      </c>
      <c r="B305" s="14">
        <v>36720</v>
      </c>
      <c r="C305" s="31">
        <f>YEAR(Table1[[#This Row],[Tanggal Lahir]])</f>
        <v>2000</v>
      </c>
      <c r="D305" s="15">
        <f t="shared" si="16"/>
        <v>22.202777777777779</v>
      </c>
      <c r="E305" s="12" t="s">
        <v>7</v>
      </c>
      <c r="F305" s="14">
        <v>38974</v>
      </c>
      <c r="G305" s="13">
        <f t="shared" si="17"/>
        <v>2006</v>
      </c>
      <c r="H305" s="30">
        <f t="shared" si="18"/>
        <v>18000000</v>
      </c>
      <c r="I305" s="39">
        <v>3</v>
      </c>
      <c r="J305">
        <f t="shared" si="19"/>
        <v>2</v>
      </c>
    </row>
    <row r="306" spans="1:10" x14ac:dyDescent="0.25">
      <c r="A306" s="16" t="s">
        <v>324</v>
      </c>
      <c r="B306" s="14">
        <v>35372</v>
      </c>
      <c r="C306" s="31">
        <f>YEAR(Table1[[#This Row],[Tanggal Lahir]])</f>
        <v>1996</v>
      </c>
      <c r="D306" s="15">
        <f t="shared" si="16"/>
        <v>25.897222222222222</v>
      </c>
      <c r="E306" s="12" t="s">
        <v>7</v>
      </c>
      <c r="F306" s="14">
        <v>39678</v>
      </c>
      <c r="G306" s="13">
        <f t="shared" si="17"/>
        <v>2008</v>
      </c>
      <c r="H306" s="30">
        <f t="shared" si="18"/>
        <v>18000000</v>
      </c>
      <c r="I306" s="39">
        <v>3</v>
      </c>
      <c r="J306">
        <f t="shared" si="19"/>
        <v>2</v>
      </c>
    </row>
    <row r="307" spans="1:10" x14ac:dyDescent="0.25">
      <c r="A307" s="16" t="s">
        <v>325</v>
      </c>
      <c r="B307" s="14">
        <v>37418</v>
      </c>
      <c r="C307" s="31">
        <f>YEAR(Table1[[#This Row],[Tanggal Lahir]])</f>
        <v>2002</v>
      </c>
      <c r="D307" s="15">
        <f t="shared" si="16"/>
        <v>20.291666666666668</v>
      </c>
      <c r="E307" s="12" t="s">
        <v>10</v>
      </c>
      <c r="F307" s="14">
        <v>38410</v>
      </c>
      <c r="G307" s="13">
        <f t="shared" si="17"/>
        <v>2005</v>
      </c>
      <c r="H307" s="30">
        <f t="shared" si="18"/>
        <v>18000000</v>
      </c>
      <c r="I307" s="39">
        <v>1</v>
      </c>
      <c r="J307">
        <f t="shared" si="19"/>
        <v>2</v>
      </c>
    </row>
    <row r="308" spans="1:10" x14ac:dyDescent="0.25">
      <c r="A308" s="16" t="s">
        <v>326</v>
      </c>
      <c r="B308" s="14">
        <v>35010</v>
      </c>
      <c r="C308" s="31">
        <f>YEAR(Table1[[#This Row],[Tanggal Lahir]])</f>
        <v>1995</v>
      </c>
      <c r="D308" s="15">
        <f t="shared" si="16"/>
        <v>26.886111111111113</v>
      </c>
      <c r="E308" s="12" t="s">
        <v>10</v>
      </c>
      <c r="F308" s="14">
        <v>42578</v>
      </c>
      <c r="G308" s="13">
        <f t="shared" si="17"/>
        <v>2016</v>
      </c>
      <c r="H308" s="30">
        <f t="shared" si="18"/>
        <v>9000000</v>
      </c>
      <c r="I308" s="39">
        <v>4</v>
      </c>
      <c r="J308">
        <f t="shared" si="19"/>
        <v>2</v>
      </c>
    </row>
    <row r="309" spans="1:10" x14ac:dyDescent="0.25">
      <c r="A309" s="16" t="s">
        <v>327</v>
      </c>
      <c r="B309" s="14">
        <v>36511</v>
      </c>
      <c r="C309" s="31">
        <f>YEAR(Table1[[#This Row],[Tanggal Lahir]])</f>
        <v>1999</v>
      </c>
      <c r="D309" s="15">
        <f t="shared" si="16"/>
        <v>22.774999999999999</v>
      </c>
      <c r="E309" s="12" t="s">
        <v>10</v>
      </c>
      <c r="F309" s="14">
        <v>44461</v>
      </c>
      <c r="G309" s="13">
        <f t="shared" si="17"/>
        <v>2021</v>
      </c>
      <c r="H309" s="30">
        <f t="shared" si="18"/>
        <v>6800000</v>
      </c>
      <c r="I309" s="39">
        <v>6</v>
      </c>
      <c r="J309">
        <f t="shared" si="19"/>
        <v>2</v>
      </c>
    </row>
    <row r="310" spans="1:10" x14ac:dyDescent="0.25">
      <c r="A310" s="16" t="s">
        <v>328</v>
      </c>
      <c r="B310" s="14">
        <v>36730</v>
      </c>
      <c r="C310" s="31">
        <f>YEAR(Table1[[#This Row],[Tanggal Lahir]])</f>
        <v>2000</v>
      </c>
      <c r="D310" s="15">
        <f t="shared" si="16"/>
        <v>22.175000000000001</v>
      </c>
      <c r="E310" s="12" t="s">
        <v>10</v>
      </c>
      <c r="F310" s="14">
        <v>42457</v>
      </c>
      <c r="G310" s="13">
        <f t="shared" si="17"/>
        <v>2016</v>
      </c>
      <c r="H310" s="30">
        <f t="shared" si="18"/>
        <v>9000000</v>
      </c>
      <c r="I310" s="39">
        <v>4</v>
      </c>
      <c r="J310">
        <f t="shared" si="19"/>
        <v>2</v>
      </c>
    </row>
    <row r="311" spans="1:10" x14ac:dyDescent="0.25">
      <c r="A311" s="16" t="s">
        <v>329</v>
      </c>
      <c r="B311" s="14">
        <v>37478</v>
      </c>
      <c r="C311" s="31">
        <f>YEAR(Table1[[#This Row],[Tanggal Lahir]])</f>
        <v>2002</v>
      </c>
      <c r="D311" s="15">
        <f t="shared" si="16"/>
        <v>20.127777777777776</v>
      </c>
      <c r="E311" s="12" t="s">
        <v>7</v>
      </c>
      <c r="F311" s="14">
        <v>44151</v>
      </c>
      <c r="G311" s="13">
        <f t="shared" si="17"/>
        <v>2020</v>
      </c>
      <c r="H311" s="30">
        <f t="shared" si="18"/>
        <v>6800000</v>
      </c>
      <c r="I311" s="39">
        <v>2</v>
      </c>
      <c r="J311">
        <f t="shared" si="19"/>
        <v>2</v>
      </c>
    </row>
    <row r="312" spans="1:10" x14ac:dyDescent="0.25">
      <c r="A312" s="16" t="s">
        <v>330</v>
      </c>
      <c r="B312" s="14">
        <v>36043</v>
      </c>
      <c r="C312" s="31">
        <f>YEAR(Table1[[#This Row],[Tanggal Lahir]])</f>
        <v>1998</v>
      </c>
      <c r="D312" s="15">
        <f t="shared" si="16"/>
        <v>24.058333333333334</v>
      </c>
      <c r="E312" s="12" t="s">
        <v>7</v>
      </c>
      <c r="F312" s="14">
        <v>38543</v>
      </c>
      <c r="G312" s="13">
        <f t="shared" si="17"/>
        <v>2005</v>
      </c>
      <c r="H312" s="30">
        <f t="shared" si="18"/>
        <v>18000000</v>
      </c>
      <c r="I312" s="39">
        <v>3</v>
      </c>
      <c r="J312">
        <f t="shared" si="19"/>
        <v>2</v>
      </c>
    </row>
    <row r="313" spans="1:10" x14ac:dyDescent="0.25">
      <c r="A313" s="16" t="s">
        <v>331</v>
      </c>
      <c r="B313" s="14">
        <v>35535</v>
      </c>
      <c r="C313" s="31">
        <f>YEAR(Table1[[#This Row],[Tanggal Lahir]])</f>
        <v>1997</v>
      </c>
      <c r="D313" s="15">
        <f t="shared" si="16"/>
        <v>25.447222222222223</v>
      </c>
      <c r="E313" s="12" t="s">
        <v>7</v>
      </c>
      <c r="F313" s="14">
        <v>40008</v>
      </c>
      <c r="G313" s="13">
        <f t="shared" si="17"/>
        <v>2009</v>
      </c>
      <c r="H313" s="30">
        <f t="shared" si="18"/>
        <v>13000000</v>
      </c>
      <c r="I313" s="39">
        <v>6</v>
      </c>
      <c r="J313">
        <f t="shared" si="19"/>
        <v>2</v>
      </c>
    </row>
    <row r="314" spans="1:10" x14ac:dyDescent="0.25">
      <c r="A314" s="16" t="s">
        <v>332</v>
      </c>
      <c r="B314" s="14">
        <v>36698</v>
      </c>
      <c r="C314" s="31">
        <f>YEAR(Table1[[#This Row],[Tanggal Lahir]])</f>
        <v>2000</v>
      </c>
      <c r="D314" s="15">
        <f t="shared" si="16"/>
        <v>22.263888888888889</v>
      </c>
      <c r="E314" s="12" t="s">
        <v>10</v>
      </c>
      <c r="F314" s="14">
        <v>40209</v>
      </c>
      <c r="G314" s="13">
        <f t="shared" si="17"/>
        <v>2010</v>
      </c>
      <c r="H314" s="30">
        <f t="shared" si="18"/>
        <v>13000000</v>
      </c>
      <c r="I314" s="39">
        <v>4</v>
      </c>
      <c r="J314">
        <f t="shared" si="19"/>
        <v>2</v>
      </c>
    </row>
    <row r="315" spans="1:10" x14ac:dyDescent="0.25">
      <c r="A315" s="16" t="s">
        <v>333</v>
      </c>
      <c r="B315" s="14">
        <v>34660</v>
      </c>
      <c r="C315" s="31">
        <f>YEAR(Table1[[#This Row],[Tanggal Lahir]])</f>
        <v>1994</v>
      </c>
      <c r="D315" s="15">
        <f t="shared" si="16"/>
        <v>27.844444444444445</v>
      </c>
      <c r="E315" s="12" t="s">
        <v>7</v>
      </c>
      <c r="F315" s="14">
        <v>42068</v>
      </c>
      <c r="G315" s="13">
        <f t="shared" si="17"/>
        <v>2015</v>
      </c>
      <c r="H315" s="30">
        <f t="shared" si="18"/>
        <v>9000000</v>
      </c>
      <c r="I315" s="39">
        <v>5</v>
      </c>
      <c r="J315">
        <f t="shared" si="19"/>
        <v>2</v>
      </c>
    </row>
    <row r="316" spans="1:10" x14ac:dyDescent="0.25">
      <c r="A316" s="16" t="s">
        <v>334</v>
      </c>
      <c r="B316" s="14">
        <v>35088</v>
      </c>
      <c r="C316" s="31">
        <f>YEAR(Table1[[#This Row],[Tanggal Lahir]])</f>
        <v>1996</v>
      </c>
      <c r="D316" s="15">
        <f t="shared" si="16"/>
        <v>26.672222222222221</v>
      </c>
      <c r="E316" s="12" t="s">
        <v>14</v>
      </c>
      <c r="F316" s="14">
        <v>39354</v>
      </c>
      <c r="G316" s="13">
        <f t="shared" si="17"/>
        <v>2007</v>
      </c>
      <c r="H316" s="30">
        <f t="shared" si="18"/>
        <v>18000000</v>
      </c>
      <c r="I316" s="39">
        <v>6</v>
      </c>
      <c r="J316">
        <f t="shared" si="19"/>
        <v>2</v>
      </c>
    </row>
    <row r="317" spans="1:10" x14ac:dyDescent="0.25">
      <c r="A317" s="16" t="s">
        <v>335</v>
      </c>
      <c r="B317" s="14">
        <v>37767</v>
      </c>
      <c r="C317" s="31">
        <f>YEAR(Table1[[#This Row],[Tanggal Lahir]])</f>
        <v>2003</v>
      </c>
      <c r="D317" s="15">
        <f t="shared" si="16"/>
        <v>19.333333333333332</v>
      </c>
      <c r="E317" s="12" t="s">
        <v>10</v>
      </c>
      <c r="F317" s="14">
        <v>40597</v>
      </c>
      <c r="G317" s="13">
        <f t="shared" si="17"/>
        <v>2011</v>
      </c>
      <c r="H317" s="30">
        <f t="shared" si="18"/>
        <v>13000000</v>
      </c>
      <c r="I317" s="39">
        <v>5</v>
      </c>
      <c r="J317">
        <f t="shared" si="19"/>
        <v>2</v>
      </c>
    </row>
    <row r="318" spans="1:10" x14ac:dyDescent="0.25">
      <c r="A318" s="16" t="s">
        <v>336</v>
      </c>
      <c r="B318" s="14">
        <v>34680</v>
      </c>
      <c r="C318" s="31">
        <f>YEAR(Table1[[#This Row],[Tanggal Lahir]])</f>
        <v>1994</v>
      </c>
      <c r="D318" s="15">
        <f t="shared" si="16"/>
        <v>27.788888888888888</v>
      </c>
      <c r="E318" s="12" t="s">
        <v>10</v>
      </c>
      <c r="F318" s="14">
        <v>42563</v>
      </c>
      <c r="G318" s="13">
        <f t="shared" si="17"/>
        <v>2016</v>
      </c>
      <c r="H318" s="30">
        <f t="shared" si="18"/>
        <v>9000000</v>
      </c>
      <c r="I318" s="39">
        <v>6</v>
      </c>
      <c r="J318">
        <f t="shared" si="19"/>
        <v>2</v>
      </c>
    </row>
    <row r="319" spans="1:10" x14ac:dyDescent="0.25">
      <c r="A319" s="16" t="s">
        <v>337</v>
      </c>
      <c r="B319" s="14">
        <v>35328</v>
      </c>
      <c r="C319" s="31">
        <f>YEAR(Table1[[#This Row],[Tanggal Lahir]])</f>
        <v>1996</v>
      </c>
      <c r="D319" s="15">
        <f t="shared" si="16"/>
        <v>26.016666666666666</v>
      </c>
      <c r="E319" s="12" t="s">
        <v>7</v>
      </c>
      <c r="F319" s="14">
        <v>43720</v>
      </c>
      <c r="G319" s="13">
        <f t="shared" si="17"/>
        <v>2019</v>
      </c>
      <c r="H319" s="30">
        <f t="shared" si="18"/>
        <v>9000000</v>
      </c>
      <c r="I319" s="39">
        <v>4</v>
      </c>
      <c r="J319">
        <f t="shared" si="19"/>
        <v>2</v>
      </c>
    </row>
    <row r="320" spans="1:10" x14ac:dyDescent="0.25">
      <c r="A320" s="16" t="s">
        <v>338</v>
      </c>
      <c r="B320" s="14">
        <v>35410</v>
      </c>
      <c r="C320" s="31">
        <f>YEAR(Table1[[#This Row],[Tanggal Lahir]])</f>
        <v>1996</v>
      </c>
      <c r="D320" s="15">
        <f t="shared" si="16"/>
        <v>25.791666666666668</v>
      </c>
      <c r="E320" s="12" t="s">
        <v>14</v>
      </c>
      <c r="F320" s="14">
        <v>41028</v>
      </c>
      <c r="G320" s="13">
        <f t="shared" si="17"/>
        <v>2012</v>
      </c>
      <c r="H320" s="30">
        <f t="shared" si="18"/>
        <v>13000000</v>
      </c>
      <c r="I320" s="39">
        <v>6</v>
      </c>
      <c r="J320">
        <f t="shared" si="19"/>
        <v>2</v>
      </c>
    </row>
    <row r="321" spans="1:10" x14ac:dyDescent="0.25">
      <c r="A321" s="16" t="s">
        <v>339</v>
      </c>
      <c r="B321" s="14">
        <v>37107</v>
      </c>
      <c r="C321" s="31">
        <f>YEAR(Table1[[#This Row],[Tanggal Lahir]])</f>
        <v>2001</v>
      </c>
      <c r="D321" s="15">
        <f t="shared" si="16"/>
        <v>21.144444444444446</v>
      </c>
      <c r="E321" s="12" t="s">
        <v>14</v>
      </c>
      <c r="F321" s="14">
        <v>38472</v>
      </c>
      <c r="G321" s="13">
        <f t="shared" si="17"/>
        <v>2005</v>
      </c>
      <c r="H321" s="30">
        <f t="shared" si="18"/>
        <v>18000000</v>
      </c>
      <c r="I321" s="39">
        <v>3</v>
      </c>
      <c r="J321">
        <f t="shared" si="19"/>
        <v>2</v>
      </c>
    </row>
    <row r="322" spans="1:10" x14ac:dyDescent="0.25">
      <c r="A322" s="16" t="s">
        <v>340</v>
      </c>
      <c r="B322" s="14">
        <v>36072</v>
      </c>
      <c r="C322" s="31">
        <f>YEAR(Table1[[#This Row],[Tanggal Lahir]])</f>
        <v>1998</v>
      </c>
      <c r="D322" s="15">
        <f t="shared" ref="D322:D385" si="20">YEARFRAC(B322,$L$2)</f>
        <v>23.977777777777778</v>
      </c>
      <c r="E322" s="12" t="s">
        <v>14</v>
      </c>
      <c r="F322" s="14">
        <v>39832</v>
      </c>
      <c r="G322" s="13">
        <f t="shared" ref="G322:G385" si="21">YEAR(F322)</f>
        <v>2009</v>
      </c>
      <c r="H322" s="30">
        <f t="shared" ref="H322:H385" si="22">IF(G322&lt;= 2008,18000000,IF(AND(G322&gt;=2009,G322&lt;=2013),13000000,IF(AND(G322&gt;=2014,G322&lt;=2019),9000000,6800000)))</f>
        <v>13000000</v>
      </c>
      <c r="I322" s="39">
        <v>4</v>
      </c>
      <c r="J322">
        <f t="shared" ref="J322:J385" si="23">SUM(LEN(A322)-LEN(SUBSTITUTE(A322," ",""))+1)</f>
        <v>2</v>
      </c>
    </row>
    <row r="323" spans="1:10" x14ac:dyDescent="0.25">
      <c r="A323" s="16" t="s">
        <v>341</v>
      </c>
      <c r="B323" s="14">
        <v>35204</v>
      </c>
      <c r="C323" s="31">
        <f>YEAR(Table1[[#This Row],[Tanggal Lahir]])</f>
        <v>1996</v>
      </c>
      <c r="D323" s="15">
        <f t="shared" si="20"/>
        <v>26.352777777777778</v>
      </c>
      <c r="E323" s="12" t="s">
        <v>10</v>
      </c>
      <c r="F323" s="14">
        <v>41889</v>
      </c>
      <c r="G323" s="13">
        <f t="shared" si="21"/>
        <v>2014</v>
      </c>
      <c r="H323" s="30">
        <f t="shared" si="22"/>
        <v>9000000</v>
      </c>
      <c r="I323" s="39">
        <v>1</v>
      </c>
      <c r="J323">
        <f t="shared" si="23"/>
        <v>2</v>
      </c>
    </row>
    <row r="324" spans="1:10" x14ac:dyDescent="0.25">
      <c r="A324" s="16" t="s">
        <v>342</v>
      </c>
      <c r="B324" s="14">
        <v>36230</v>
      </c>
      <c r="C324" s="31">
        <f>YEAR(Table1[[#This Row],[Tanggal Lahir]])</f>
        <v>1999</v>
      </c>
      <c r="D324" s="15">
        <f t="shared" si="20"/>
        <v>23.541666666666668</v>
      </c>
      <c r="E324" s="12" t="s">
        <v>10</v>
      </c>
      <c r="F324" s="14">
        <v>39998</v>
      </c>
      <c r="G324" s="13">
        <f t="shared" si="21"/>
        <v>2009</v>
      </c>
      <c r="H324" s="30">
        <f t="shared" si="22"/>
        <v>13000000</v>
      </c>
      <c r="I324" s="39">
        <v>1</v>
      </c>
      <c r="J324">
        <f t="shared" si="23"/>
        <v>2</v>
      </c>
    </row>
    <row r="325" spans="1:10" x14ac:dyDescent="0.25">
      <c r="A325" s="16" t="s">
        <v>343</v>
      </c>
      <c r="B325" s="14">
        <v>36801</v>
      </c>
      <c r="C325" s="31">
        <f>YEAR(Table1[[#This Row],[Tanggal Lahir]])</f>
        <v>2000</v>
      </c>
      <c r="D325" s="15">
        <f t="shared" si="20"/>
        <v>21.983333333333334</v>
      </c>
      <c r="E325" s="12" t="s">
        <v>10</v>
      </c>
      <c r="F325" s="14">
        <v>39774</v>
      </c>
      <c r="G325" s="13">
        <f t="shared" si="21"/>
        <v>2008</v>
      </c>
      <c r="H325" s="30">
        <f t="shared" si="22"/>
        <v>18000000</v>
      </c>
      <c r="I325" s="39">
        <v>5</v>
      </c>
      <c r="J325">
        <f t="shared" si="23"/>
        <v>2</v>
      </c>
    </row>
    <row r="326" spans="1:10" x14ac:dyDescent="0.25">
      <c r="A326" s="16" t="s">
        <v>344</v>
      </c>
      <c r="B326" s="14">
        <v>37692</v>
      </c>
      <c r="C326" s="31">
        <f>YEAR(Table1[[#This Row],[Tanggal Lahir]])</f>
        <v>2003</v>
      </c>
      <c r="D326" s="15">
        <f t="shared" si="20"/>
        <v>19.538888888888888</v>
      </c>
      <c r="E326" s="12" t="s">
        <v>14</v>
      </c>
      <c r="F326" s="14">
        <v>42619</v>
      </c>
      <c r="G326" s="13">
        <f t="shared" si="21"/>
        <v>2016</v>
      </c>
      <c r="H326" s="30">
        <f t="shared" si="22"/>
        <v>9000000</v>
      </c>
      <c r="I326" s="39">
        <v>3</v>
      </c>
      <c r="J326">
        <f t="shared" si="23"/>
        <v>2</v>
      </c>
    </row>
    <row r="327" spans="1:10" x14ac:dyDescent="0.25">
      <c r="A327" s="16" t="s">
        <v>345</v>
      </c>
      <c r="B327" s="14">
        <v>36731</v>
      </c>
      <c r="C327" s="31">
        <f>YEAR(Table1[[#This Row],[Tanggal Lahir]])</f>
        <v>2000</v>
      </c>
      <c r="D327" s="15">
        <f t="shared" si="20"/>
        <v>22.172222222222221</v>
      </c>
      <c r="E327" s="12" t="s">
        <v>7</v>
      </c>
      <c r="F327" s="14">
        <v>41590</v>
      </c>
      <c r="G327" s="13">
        <f t="shared" si="21"/>
        <v>2013</v>
      </c>
      <c r="H327" s="30">
        <f t="shared" si="22"/>
        <v>13000000</v>
      </c>
      <c r="I327" s="39">
        <v>3</v>
      </c>
      <c r="J327">
        <f t="shared" si="23"/>
        <v>2</v>
      </c>
    </row>
    <row r="328" spans="1:10" x14ac:dyDescent="0.25">
      <c r="A328" s="16" t="s">
        <v>346</v>
      </c>
      <c r="B328" s="14">
        <v>34783</v>
      </c>
      <c r="C328" s="31">
        <f>YEAR(Table1[[#This Row],[Tanggal Lahir]])</f>
        <v>1995</v>
      </c>
      <c r="D328" s="15">
        <f t="shared" si="20"/>
        <v>27.502777777777776</v>
      </c>
      <c r="E328" s="12" t="s">
        <v>14</v>
      </c>
      <c r="F328" s="14">
        <v>38767</v>
      </c>
      <c r="G328" s="13">
        <f t="shared" si="21"/>
        <v>2006</v>
      </c>
      <c r="H328" s="30">
        <f t="shared" si="22"/>
        <v>18000000</v>
      </c>
      <c r="I328" s="39">
        <v>4</v>
      </c>
      <c r="J328">
        <f t="shared" si="23"/>
        <v>2</v>
      </c>
    </row>
    <row r="329" spans="1:10" x14ac:dyDescent="0.25">
      <c r="A329" s="16" t="s">
        <v>347</v>
      </c>
      <c r="B329" s="14">
        <v>35066</v>
      </c>
      <c r="C329" s="31">
        <f>YEAR(Table1[[#This Row],[Tanggal Lahir]])</f>
        <v>1996</v>
      </c>
      <c r="D329" s="15">
        <f t="shared" si="20"/>
        <v>26.733333333333334</v>
      </c>
      <c r="E329" s="12" t="s">
        <v>10</v>
      </c>
      <c r="F329" s="14">
        <v>41466</v>
      </c>
      <c r="G329" s="13">
        <f t="shared" si="21"/>
        <v>2013</v>
      </c>
      <c r="H329" s="30">
        <f t="shared" si="22"/>
        <v>13000000</v>
      </c>
      <c r="I329" s="39">
        <v>2</v>
      </c>
      <c r="J329">
        <f t="shared" si="23"/>
        <v>2</v>
      </c>
    </row>
    <row r="330" spans="1:10" x14ac:dyDescent="0.25">
      <c r="A330" s="16" t="s">
        <v>348</v>
      </c>
      <c r="B330" s="14">
        <v>34667</v>
      </c>
      <c r="C330" s="31">
        <f>YEAR(Table1[[#This Row],[Tanggal Lahir]])</f>
        <v>1994</v>
      </c>
      <c r="D330" s="15">
        <f t="shared" si="20"/>
        <v>27.824999999999999</v>
      </c>
      <c r="E330" s="12" t="s">
        <v>7</v>
      </c>
      <c r="F330" s="14">
        <v>39159</v>
      </c>
      <c r="G330" s="13">
        <f t="shared" si="21"/>
        <v>2007</v>
      </c>
      <c r="H330" s="30">
        <f t="shared" si="22"/>
        <v>18000000</v>
      </c>
      <c r="I330" s="39">
        <v>3</v>
      </c>
      <c r="J330">
        <f t="shared" si="23"/>
        <v>2</v>
      </c>
    </row>
    <row r="331" spans="1:10" x14ac:dyDescent="0.25">
      <c r="A331" s="16" t="s">
        <v>349</v>
      </c>
      <c r="B331" s="14">
        <v>36885</v>
      </c>
      <c r="C331" s="31">
        <f>YEAR(Table1[[#This Row],[Tanggal Lahir]])</f>
        <v>2000</v>
      </c>
      <c r="D331" s="15">
        <f t="shared" si="20"/>
        <v>21.752777777777776</v>
      </c>
      <c r="E331" s="12" t="s">
        <v>10</v>
      </c>
      <c r="F331" s="14">
        <v>42814</v>
      </c>
      <c r="G331" s="13">
        <f t="shared" si="21"/>
        <v>2017</v>
      </c>
      <c r="H331" s="30">
        <f t="shared" si="22"/>
        <v>9000000</v>
      </c>
      <c r="I331" s="39">
        <v>1</v>
      </c>
      <c r="J331">
        <f t="shared" si="23"/>
        <v>2</v>
      </c>
    </row>
    <row r="332" spans="1:10" x14ac:dyDescent="0.25">
      <c r="A332" s="16" t="s">
        <v>350</v>
      </c>
      <c r="B332" s="14">
        <v>36730</v>
      </c>
      <c r="C332" s="31">
        <f>YEAR(Table1[[#This Row],[Tanggal Lahir]])</f>
        <v>2000</v>
      </c>
      <c r="D332" s="15">
        <f t="shared" si="20"/>
        <v>22.175000000000001</v>
      </c>
      <c r="E332" s="12" t="s">
        <v>10</v>
      </c>
      <c r="F332" s="14">
        <v>41404</v>
      </c>
      <c r="G332" s="13">
        <f t="shared" si="21"/>
        <v>2013</v>
      </c>
      <c r="H332" s="30">
        <f t="shared" si="22"/>
        <v>13000000</v>
      </c>
      <c r="I332" s="39">
        <v>4</v>
      </c>
      <c r="J332">
        <f t="shared" si="23"/>
        <v>2</v>
      </c>
    </row>
    <row r="333" spans="1:10" x14ac:dyDescent="0.25">
      <c r="A333" s="16" t="s">
        <v>351</v>
      </c>
      <c r="B333" s="14">
        <v>36026</v>
      </c>
      <c r="C333" s="31">
        <f>YEAR(Table1[[#This Row],[Tanggal Lahir]])</f>
        <v>1998</v>
      </c>
      <c r="D333" s="15">
        <f t="shared" si="20"/>
        <v>24.102777777777778</v>
      </c>
      <c r="E333" s="12" t="s">
        <v>14</v>
      </c>
      <c r="F333" s="14">
        <v>40774</v>
      </c>
      <c r="G333" s="13">
        <f t="shared" si="21"/>
        <v>2011</v>
      </c>
      <c r="H333" s="30">
        <f t="shared" si="22"/>
        <v>13000000</v>
      </c>
      <c r="I333" s="39">
        <v>1</v>
      </c>
      <c r="J333">
        <f t="shared" si="23"/>
        <v>3</v>
      </c>
    </row>
    <row r="334" spans="1:10" x14ac:dyDescent="0.25">
      <c r="A334" s="16" t="s">
        <v>352</v>
      </c>
      <c r="B334" s="14">
        <v>36307</v>
      </c>
      <c r="C334" s="31">
        <f>YEAR(Table1[[#This Row],[Tanggal Lahir]])</f>
        <v>1999</v>
      </c>
      <c r="D334" s="15">
        <f t="shared" si="20"/>
        <v>23.330555555555556</v>
      </c>
      <c r="E334" s="12" t="s">
        <v>10</v>
      </c>
      <c r="F334" s="14">
        <v>38319</v>
      </c>
      <c r="G334" s="13">
        <f t="shared" si="21"/>
        <v>2004</v>
      </c>
      <c r="H334" s="30">
        <f t="shared" si="22"/>
        <v>18000000</v>
      </c>
      <c r="I334" s="39">
        <v>2</v>
      </c>
      <c r="J334">
        <f t="shared" si="23"/>
        <v>2</v>
      </c>
    </row>
    <row r="335" spans="1:10" x14ac:dyDescent="0.25">
      <c r="A335" s="16" t="s">
        <v>353</v>
      </c>
      <c r="B335" s="14">
        <v>36152</v>
      </c>
      <c r="C335" s="31">
        <f>YEAR(Table1[[#This Row],[Tanggal Lahir]])</f>
        <v>1998</v>
      </c>
      <c r="D335" s="15">
        <f t="shared" si="20"/>
        <v>23.758333333333333</v>
      </c>
      <c r="E335" s="12" t="s">
        <v>10</v>
      </c>
      <c r="F335" s="14">
        <v>42029</v>
      </c>
      <c r="G335" s="13">
        <f t="shared" si="21"/>
        <v>2015</v>
      </c>
      <c r="H335" s="30">
        <f t="shared" si="22"/>
        <v>9000000</v>
      </c>
      <c r="I335" s="39">
        <v>1</v>
      </c>
      <c r="J335">
        <f t="shared" si="23"/>
        <v>2</v>
      </c>
    </row>
    <row r="336" spans="1:10" x14ac:dyDescent="0.25">
      <c r="A336" s="16" t="s">
        <v>354</v>
      </c>
      <c r="B336" s="14">
        <v>37850</v>
      </c>
      <c r="C336" s="31">
        <f>YEAR(Table1[[#This Row],[Tanggal Lahir]])</f>
        <v>2003</v>
      </c>
      <c r="D336" s="15">
        <f t="shared" si="20"/>
        <v>19.108333333333334</v>
      </c>
      <c r="E336" s="12" t="s">
        <v>10</v>
      </c>
      <c r="F336" s="14">
        <v>39649</v>
      </c>
      <c r="G336" s="13">
        <f t="shared" si="21"/>
        <v>2008</v>
      </c>
      <c r="H336" s="30">
        <f t="shared" si="22"/>
        <v>18000000</v>
      </c>
      <c r="I336" s="39">
        <v>2</v>
      </c>
      <c r="J336">
        <f t="shared" si="23"/>
        <v>2</v>
      </c>
    </row>
    <row r="337" spans="1:10" x14ac:dyDescent="0.25">
      <c r="A337" s="16" t="s">
        <v>355</v>
      </c>
      <c r="B337" s="14">
        <v>37328</v>
      </c>
      <c r="C337" s="31">
        <f>YEAR(Table1[[#This Row],[Tanggal Lahir]])</f>
        <v>2002</v>
      </c>
      <c r="D337" s="15">
        <f t="shared" si="20"/>
        <v>20.536111111111111</v>
      </c>
      <c r="E337" s="12" t="s">
        <v>14</v>
      </c>
      <c r="F337" s="14">
        <v>43404</v>
      </c>
      <c r="G337" s="13">
        <f t="shared" si="21"/>
        <v>2018</v>
      </c>
      <c r="H337" s="30">
        <f t="shared" si="22"/>
        <v>9000000</v>
      </c>
      <c r="I337" s="39">
        <v>2</v>
      </c>
      <c r="J337">
        <f t="shared" si="23"/>
        <v>2</v>
      </c>
    </row>
    <row r="338" spans="1:10" x14ac:dyDescent="0.25">
      <c r="A338" s="16" t="s">
        <v>356</v>
      </c>
      <c r="B338" s="14">
        <v>35232</v>
      </c>
      <c r="C338" s="31">
        <f>YEAR(Table1[[#This Row],[Tanggal Lahir]])</f>
        <v>1996</v>
      </c>
      <c r="D338" s="15">
        <f t="shared" si="20"/>
        <v>26.277777777777779</v>
      </c>
      <c r="E338" s="12" t="s">
        <v>10</v>
      </c>
      <c r="F338" s="14">
        <v>41164</v>
      </c>
      <c r="G338" s="13">
        <f t="shared" si="21"/>
        <v>2012</v>
      </c>
      <c r="H338" s="30">
        <f t="shared" si="22"/>
        <v>13000000</v>
      </c>
      <c r="I338" s="39">
        <v>3</v>
      </c>
      <c r="J338">
        <f t="shared" si="23"/>
        <v>3</v>
      </c>
    </row>
    <row r="339" spans="1:10" x14ac:dyDescent="0.25">
      <c r="A339" s="16" t="s">
        <v>357</v>
      </c>
      <c r="B339" s="14">
        <v>36089</v>
      </c>
      <c r="C339" s="31">
        <f>YEAR(Table1[[#This Row],[Tanggal Lahir]])</f>
        <v>1998</v>
      </c>
      <c r="D339" s="15">
        <f t="shared" si="20"/>
        <v>23.930555555555557</v>
      </c>
      <c r="E339" s="12" t="s">
        <v>10</v>
      </c>
      <c r="F339" s="14">
        <v>39270</v>
      </c>
      <c r="G339" s="13">
        <f t="shared" si="21"/>
        <v>2007</v>
      </c>
      <c r="H339" s="30">
        <f t="shared" si="22"/>
        <v>18000000</v>
      </c>
      <c r="I339" s="39">
        <v>5</v>
      </c>
      <c r="J339">
        <f t="shared" si="23"/>
        <v>2</v>
      </c>
    </row>
    <row r="340" spans="1:10" x14ac:dyDescent="0.25">
      <c r="A340" s="16" t="s">
        <v>358</v>
      </c>
      <c r="B340" s="14">
        <v>37090</v>
      </c>
      <c r="C340" s="31">
        <f>YEAR(Table1[[#This Row],[Tanggal Lahir]])</f>
        <v>2001</v>
      </c>
      <c r="D340" s="15">
        <f t="shared" si="20"/>
        <v>21.18888888888889</v>
      </c>
      <c r="E340" s="12" t="s">
        <v>7</v>
      </c>
      <c r="F340" s="14">
        <v>41190</v>
      </c>
      <c r="G340" s="13">
        <f t="shared" si="21"/>
        <v>2012</v>
      </c>
      <c r="H340" s="30">
        <f t="shared" si="22"/>
        <v>13000000</v>
      </c>
      <c r="I340" s="39">
        <v>6</v>
      </c>
      <c r="J340">
        <f t="shared" si="23"/>
        <v>2</v>
      </c>
    </row>
    <row r="341" spans="1:10" x14ac:dyDescent="0.25">
      <c r="A341" s="16" t="s">
        <v>359</v>
      </c>
      <c r="B341" s="14">
        <v>36762</v>
      </c>
      <c r="C341" s="31">
        <f>YEAR(Table1[[#This Row],[Tanggal Lahir]])</f>
        <v>2000</v>
      </c>
      <c r="D341" s="15">
        <f t="shared" si="20"/>
        <v>22.088888888888889</v>
      </c>
      <c r="E341" s="12" t="s">
        <v>10</v>
      </c>
      <c r="F341" s="14">
        <v>38989</v>
      </c>
      <c r="G341" s="13">
        <f t="shared" si="21"/>
        <v>2006</v>
      </c>
      <c r="H341" s="30">
        <f t="shared" si="22"/>
        <v>18000000</v>
      </c>
      <c r="I341" s="39">
        <v>3</v>
      </c>
      <c r="J341">
        <f t="shared" si="23"/>
        <v>2</v>
      </c>
    </row>
    <row r="342" spans="1:10" x14ac:dyDescent="0.25">
      <c r="A342" s="16" t="s">
        <v>360</v>
      </c>
      <c r="B342" s="14">
        <v>37620</v>
      </c>
      <c r="C342" s="31">
        <f>YEAR(Table1[[#This Row],[Tanggal Lahir]])</f>
        <v>2002</v>
      </c>
      <c r="D342" s="15">
        <f t="shared" si="20"/>
        <v>19.738888888888887</v>
      </c>
      <c r="E342" s="12" t="s">
        <v>10</v>
      </c>
      <c r="F342" s="14">
        <v>43202</v>
      </c>
      <c r="G342" s="13">
        <f t="shared" si="21"/>
        <v>2018</v>
      </c>
      <c r="H342" s="30">
        <f t="shared" si="22"/>
        <v>9000000</v>
      </c>
      <c r="I342" s="39">
        <v>2</v>
      </c>
      <c r="J342">
        <f t="shared" si="23"/>
        <v>2</v>
      </c>
    </row>
    <row r="343" spans="1:10" x14ac:dyDescent="0.25">
      <c r="A343" s="16" t="s">
        <v>361</v>
      </c>
      <c r="B343" s="14">
        <v>36347</v>
      </c>
      <c r="C343" s="31">
        <f>YEAR(Table1[[#This Row],[Tanggal Lahir]])</f>
        <v>1999</v>
      </c>
      <c r="D343" s="15">
        <f t="shared" si="20"/>
        <v>23.222222222222221</v>
      </c>
      <c r="E343" s="12" t="s">
        <v>10</v>
      </c>
      <c r="F343" s="14">
        <v>41259</v>
      </c>
      <c r="G343" s="13">
        <f t="shared" si="21"/>
        <v>2012</v>
      </c>
      <c r="H343" s="30">
        <f t="shared" si="22"/>
        <v>13000000</v>
      </c>
      <c r="I343" s="39">
        <v>3</v>
      </c>
      <c r="J343">
        <f t="shared" si="23"/>
        <v>2</v>
      </c>
    </row>
    <row r="344" spans="1:10" x14ac:dyDescent="0.25">
      <c r="A344" s="16" t="s">
        <v>362</v>
      </c>
      <c r="B344" s="14">
        <v>35965</v>
      </c>
      <c r="C344" s="31">
        <f>YEAR(Table1[[#This Row],[Tanggal Lahir]])</f>
        <v>1998</v>
      </c>
      <c r="D344" s="15">
        <f t="shared" si="20"/>
        <v>24.269444444444446</v>
      </c>
      <c r="E344" s="12" t="s">
        <v>10</v>
      </c>
      <c r="F344" s="14">
        <v>41456</v>
      </c>
      <c r="G344" s="13">
        <f t="shared" si="21"/>
        <v>2013</v>
      </c>
      <c r="H344" s="30">
        <f t="shared" si="22"/>
        <v>13000000</v>
      </c>
      <c r="I344" s="39">
        <v>4</v>
      </c>
      <c r="J344">
        <f t="shared" si="23"/>
        <v>2</v>
      </c>
    </row>
    <row r="345" spans="1:10" x14ac:dyDescent="0.25">
      <c r="A345" s="16" t="s">
        <v>363</v>
      </c>
      <c r="B345" s="14">
        <v>36734</v>
      </c>
      <c r="C345" s="31">
        <f>YEAR(Table1[[#This Row],[Tanggal Lahir]])</f>
        <v>2000</v>
      </c>
      <c r="D345" s="15">
        <f t="shared" si="20"/>
        <v>22.163888888888888</v>
      </c>
      <c r="E345" s="12" t="s">
        <v>14</v>
      </c>
      <c r="F345" s="14">
        <v>43203</v>
      </c>
      <c r="G345" s="13">
        <f t="shared" si="21"/>
        <v>2018</v>
      </c>
      <c r="H345" s="30">
        <f t="shared" si="22"/>
        <v>9000000</v>
      </c>
      <c r="I345" s="39">
        <v>1</v>
      </c>
      <c r="J345">
        <f t="shared" si="23"/>
        <v>2</v>
      </c>
    </row>
    <row r="346" spans="1:10" x14ac:dyDescent="0.25">
      <c r="A346" s="16" t="s">
        <v>364</v>
      </c>
      <c r="B346" s="14">
        <v>36531</v>
      </c>
      <c r="C346" s="31">
        <f>YEAR(Table1[[#This Row],[Tanggal Lahir]])</f>
        <v>2000</v>
      </c>
      <c r="D346" s="15">
        <f t="shared" si="20"/>
        <v>22.722222222222221</v>
      </c>
      <c r="E346" s="12" t="s">
        <v>10</v>
      </c>
      <c r="F346" s="14">
        <v>43154</v>
      </c>
      <c r="G346" s="13">
        <f t="shared" si="21"/>
        <v>2018</v>
      </c>
      <c r="H346" s="30">
        <f t="shared" si="22"/>
        <v>9000000</v>
      </c>
      <c r="I346" s="39">
        <v>5</v>
      </c>
      <c r="J346">
        <f t="shared" si="23"/>
        <v>2</v>
      </c>
    </row>
    <row r="347" spans="1:10" x14ac:dyDescent="0.25">
      <c r="A347" s="16" t="s">
        <v>365</v>
      </c>
      <c r="B347" s="14">
        <v>35003</v>
      </c>
      <c r="C347" s="31">
        <f>YEAR(Table1[[#This Row],[Tanggal Lahir]])</f>
        <v>1995</v>
      </c>
      <c r="D347" s="15">
        <f t="shared" si="20"/>
        <v>26.905555555555555</v>
      </c>
      <c r="E347" s="12" t="s">
        <v>14</v>
      </c>
      <c r="F347" s="14">
        <v>42211</v>
      </c>
      <c r="G347" s="13">
        <f t="shared" si="21"/>
        <v>2015</v>
      </c>
      <c r="H347" s="30">
        <f t="shared" si="22"/>
        <v>9000000</v>
      </c>
      <c r="I347" s="39">
        <v>5</v>
      </c>
      <c r="J347">
        <f t="shared" si="23"/>
        <v>2</v>
      </c>
    </row>
    <row r="348" spans="1:10" x14ac:dyDescent="0.25">
      <c r="A348" s="16" t="s">
        <v>366</v>
      </c>
      <c r="B348" s="14">
        <v>35327</v>
      </c>
      <c r="C348" s="31">
        <f>YEAR(Table1[[#This Row],[Tanggal Lahir]])</f>
        <v>1996</v>
      </c>
      <c r="D348" s="15">
        <f t="shared" si="20"/>
        <v>26.019444444444446</v>
      </c>
      <c r="E348" s="12" t="s">
        <v>10</v>
      </c>
      <c r="F348" s="14">
        <v>43610</v>
      </c>
      <c r="G348" s="13">
        <f t="shared" si="21"/>
        <v>2019</v>
      </c>
      <c r="H348" s="30">
        <f t="shared" si="22"/>
        <v>9000000</v>
      </c>
      <c r="I348" s="39">
        <v>6</v>
      </c>
      <c r="J348">
        <f t="shared" si="23"/>
        <v>2</v>
      </c>
    </row>
    <row r="349" spans="1:10" x14ac:dyDescent="0.25">
      <c r="A349" s="16" t="s">
        <v>367</v>
      </c>
      <c r="B349" s="14">
        <v>35402</v>
      </c>
      <c r="C349" s="31">
        <f>YEAR(Table1[[#This Row],[Tanggal Lahir]])</f>
        <v>1996</v>
      </c>
      <c r="D349" s="15">
        <f t="shared" si="20"/>
        <v>25.81388888888889</v>
      </c>
      <c r="E349" s="12" t="s">
        <v>10</v>
      </c>
      <c r="F349" s="14">
        <v>41627</v>
      </c>
      <c r="G349" s="13">
        <f t="shared" si="21"/>
        <v>2013</v>
      </c>
      <c r="H349" s="30">
        <f t="shared" si="22"/>
        <v>13000000</v>
      </c>
      <c r="I349" s="39">
        <v>4</v>
      </c>
      <c r="J349">
        <f t="shared" si="23"/>
        <v>2</v>
      </c>
    </row>
    <row r="350" spans="1:10" x14ac:dyDescent="0.25">
      <c r="A350" s="16" t="s">
        <v>368</v>
      </c>
      <c r="B350" s="14">
        <v>36761</v>
      </c>
      <c r="C350" s="31">
        <f>YEAR(Table1[[#This Row],[Tanggal Lahir]])</f>
        <v>2000</v>
      </c>
      <c r="D350" s="15">
        <f t="shared" si="20"/>
        <v>22.091666666666665</v>
      </c>
      <c r="E350" s="12" t="s">
        <v>10</v>
      </c>
      <c r="F350" s="14">
        <v>42335</v>
      </c>
      <c r="G350" s="13">
        <f t="shared" si="21"/>
        <v>2015</v>
      </c>
      <c r="H350" s="30">
        <f t="shared" si="22"/>
        <v>9000000</v>
      </c>
      <c r="I350" s="39">
        <v>3</v>
      </c>
      <c r="J350">
        <f t="shared" si="23"/>
        <v>2</v>
      </c>
    </row>
    <row r="351" spans="1:10" x14ac:dyDescent="0.25">
      <c r="A351" s="16" t="s">
        <v>369</v>
      </c>
      <c r="B351" s="14">
        <v>35767</v>
      </c>
      <c r="C351" s="31">
        <f>YEAR(Table1[[#This Row],[Tanggal Lahir]])</f>
        <v>1997</v>
      </c>
      <c r="D351" s="15">
        <f t="shared" si="20"/>
        <v>24.81388888888889</v>
      </c>
      <c r="E351" s="12" t="s">
        <v>14</v>
      </c>
      <c r="F351" s="14">
        <v>40573</v>
      </c>
      <c r="G351" s="13">
        <f t="shared" si="21"/>
        <v>2011</v>
      </c>
      <c r="H351" s="30">
        <f t="shared" si="22"/>
        <v>13000000</v>
      </c>
      <c r="I351" s="39">
        <v>4</v>
      </c>
      <c r="J351">
        <f t="shared" si="23"/>
        <v>2</v>
      </c>
    </row>
    <row r="352" spans="1:10" x14ac:dyDescent="0.25">
      <c r="A352" s="16" t="s">
        <v>370</v>
      </c>
      <c r="B352" s="14">
        <v>37860</v>
      </c>
      <c r="C352" s="31">
        <f>YEAR(Table1[[#This Row],[Tanggal Lahir]])</f>
        <v>2003</v>
      </c>
      <c r="D352" s="15">
        <f t="shared" si="20"/>
        <v>19.080555555555556</v>
      </c>
      <c r="E352" s="12" t="s">
        <v>10</v>
      </c>
      <c r="F352" s="14">
        <v>43552</v>
      </c>
      <c r="G352" s="13">
        <f t="shared" si="21"/>
        <v>2019</v>
      </c>
      <c r="H352" s="30">
        <f t="shared" si="22"/>
        <v>9000000</v>
      </c>
      <c r="I352" s="39">
        <v>4</v>
      </c>
      <c r="J352">
        <f t="shared" si="23"/>
        <v>3</v>
      </c>
    </row>
    <row r="353" spans="1:10" x14ac:dyDescent="0.25">
      <c r="A353" s="16" t="s">
        <v>371</v>
      </c>
      <c r="B353" s="14">
        <v>36597</v>
      </c>
      <c r="C353" s="31">
        <f>YEAR(Table1[[#This Row],[Tanggal Lahir]])</f>
        <v>2000</v>
      </c>
      <c r="D353" s="15">
        <f t="shared" si="20"/>
        <v>22.538888888888888</v>
      </c>
      <c r="E353" s="12" t="s">
        <v>10</v>
      </c>
      <c r="F353" s="14">
        <v>39431</v>
      </c>
      <c r="G353" s="13">
        <f t="shared" si="21"/>
        <v>2007</v>
      </c>
      <c r="H353" s="30">
        <f t="shared" si="22"/>
        <v>18000000</v>
      </c>
      <c r="I353" s="39">
        <v>2</v>
      </c>
      <c r="J353">
        <f t="shared" si="23"/>
        <v>2</v>
      </c>
    </row>
    <row r="354" spans="1:10" x14ac:dyDescent="0.25">
      <c r="A354" s="16" t="s">
        <v>372</v>
      </c>
      <c r="B354" s="14">
        <v>37467</v>
      </c>
      <c r="C354" s="31">
        <f>YEAR(Table1[[#This Row],[Tanggal Lahir]])</f>
        <v>2002</v>
      </c>
      <c r="D354" s="15">
        <f t="shared" si="20"/>
        <v>20.155555555555555</v>
      </c>
      <c r="E354" s="12" t="s">
        <v>10</v>
      </c>
      <c r="F354" s="14">
        <v>42815</v>
      </c>
      <c r="G354" s="13">
        <f t="shared" si="21"/>
        <v>2017</v>
      </c>
      <c r="H354" s="30">
        <f t="shared" si="22"/>
        <v>9000000</v>
      </c>
      <c r="I354" s="39">
        <v>1</v>
      </c>
      <c r="J354">
        <f t="shared" si="23"/>
        <v>2</v>
      </c>
    </row>
    <row r="355" spans="1:10" x14ac:dyDescent="0.25">
      <c r="A355" s="16" t="s">
        <v>373</v>
      </c>
      <c r="B355" s="14">
        <v>37992</v>
      </c>
      <c r="C355" s="31">
        <f>YEAR(Table1[[#This Row],[Tanggal Lahir]])</f>
        <v>2004</v>
      </c>
      <c r="D355" s="15">
        <f t="shared" si="20"/>
        <v>18.722222222222221</v>
      </c>
      <c r="E355" s="12" t="s">
        <v>10</v>
      </c>
      <c r="F355" s="14">
        <v>41480</v>
      </c>
      <c r="G355" s="13">
        <f t="shared" si="21"/>
        <v>2013</v>
      </c>
      <c r="H355" s="30">
        <f t="shared" si="22"/>
        <v>13000000</v>
      </c>
      <c r="I355" s="39">
        <v>2</v>
      </c>
      <c r="J355">
        <f t="shared" si="23"/>
        <v>2</v>
      </c>
    </row>
    <row r="356" spans="1:10" x14ac:dyDescent="0.25">
      <c r="A356" s="16" t="s">
        <v>374</v>
      </c>
      <c r="B356" s="14">
        <v>36529</v>
      </c>
      <c r="C356" s="31">
        <f>YEAR(Table1[[#This Row],[Tanggal Lahir]])</f>
        <v>2000</v>
      </c>
      <c r="D356" s="15">
        <f t="shared" si="20"/>
        <v>22.727777777777778</v>
      </c>
      <c r="E356" s="12" t="s">
        <v>7</v>
      </c>
      <c r="F356" s="14">
        <v>43235</v>
      </c>
      <c r="G356" s="13">
        <f t="shared" si="21"/>
        <v>2018</v>
      </c>
      <c r="H356" s="30">
        <f t="shared" si="22"/>
        <v>9000000</v>
      </c>
      <c r="I356" s="39">
        <v>3</v>
      </c>
      <c r="J356">
        <f t="shared" si="23"/>
        <v>2</v>
      </c>
    </row>
    <row r="357" spans="1:10" x14ac:dyDescent="0.25">
      <c r="A357" s="16" t="s">
        <v>375</v>
      </c>
      <c r="B357" s="14">
        <v>35407</v>
      </c>
      <c r="C357" s="31">
        <f>YEAR(Table1[[#This Row],[Tanggal Lahir]])</f>
        <v>1996</v>
      </c>
      <c r="D357" s="15">
        <f t="shared" si="20"/>
        <v>25.8</v>
      </c>
      <c r="E357" s="12" t="s">
        <v>10</v>
      </c>
      <c r="F357" s="14">
        <v>40492</v>
      </c>
      <c r="G357" s="13">
        <f t="shared" si="21"/>
        <v>2010</v>
      </c>
      <c r="H357" s="30">
        <f t="shared" si="22"/>
        <v>13000000</v>
      </c>
      <c r="I357" s="39">
        <v>4</v>
      </c>
      <c r="J357">
        <f t="shared" si="23"/>
        <v>3</v>
      </c>
    </row>
    <row r="358" spans="1:10" x14ac:dyDescent="0.25">
      <c r="A358" s="16" t="s">
        <v>376</v>
      </c>
      <c r="B358" s="14">
        <v>35822</v>
      </c>
      <c r="C358" s="31">
        <f>YEAR(Table1[[#This Row],[Tanggal Lahir]])</f>
        <v>1998</v>
      </c>
      <c r="D358" s="15">
        <f t="shared" si="20"/>
        <v>24.663888888888888</v>
      </c>
      <c r="E358" s="12" t="s">
        <v>10</v>
      </c>
      <c r="F358" s="14">
        <v>41189</v>
      </c>
      <c r="G358" s="13">
        <f t="shared" si="21"/>
        <v>2012</v>
      </c>
      <c r="H358" s="30">
        <f t="shared" si="22"/>
        <v>13000000</v>
      </c>
      <c r="I358" s="39">
        <v>3</v>
      </c>
      <c r="J358">
        <f t="shared" si="23"/>
        <v>2</v>
      </c>
    </row>
    <row r="359" spans="1:10" x14ac:dyDescent="0.25">
      <c r="A359" s="16" t="s">
        <v>377</v>
      </c>
      <c r="B359" s="14">
        <v>37375</v>
      </c>
      <c r="C359" s="31">
        <f>YEAR(Table1[[#This Row],[Tanggal Lahir]])</f>
        <v>2002</v>
      </c>
      <c r="D359" s="15">
        <f t="shared" si="20"/>
        <v>20.408333333333335</v>
      </c>
      <c r="E359" s="12" t="s">
        <v>10</v>
      </c>
      <c r="F359" s="14">
        <v>41513</v>
      </c>
      <c r="G359" s="13">
        <f t="shared" si="21"/>
        <v>2013</v>
      </c>
      <c r="H359" s="30">
        <f t="shared" si="22"/>
        <v>13000000</v>
      </c>
      <c r="I359" s="39">
        <v>5</v>
      </c>
      <c r="J359">
        <f t="shared" si="23"/>
        <v>2</v>
      </c>
    </row>
    <row r="360" spans="1:10" x14ac:dyDescent="0.25">
      <c r="A360" s="16" t="s">
        <v>378</v>
      </c>
      <c r="B360" s="14">
        <v>37111</v>
      </c>
      <c r="C360" s="31">
        <f>YEAR(Table1[[#This Row],[Tanggal Lahir]])</f>
        <v>2001</v>
      </c>
      <c r="D360" s="15">
        <f t="shared" si="20"/>
        <v>21.133333333333333</v>
      </c>
      <c r="E360" s="12" t="s">
        <v>10</v>
      </c>
      <c r="F360" s="14">
        <v>44716</v>
      </c>
      <c r="G360" s="13">
        <f t="shared" si="21"/>
        <v>2022</v>
      </c>
      <c r="H360" s="30">
        <f t="shared" si="22"/>
        <v>6800000</v>
      </c>
      <c r="I360" s="39">
        <v>3</v>
      </c>
      <c r="J360">
        <f t="shared" si="23"/>
        <v>2</v>
      </c>
    </row>
    <row r="361" spans="1:10" x14ac:dyDescent="0.25">
      <c r="A361" s="16" t="s">
        <v>379</v>
      </c>
      <c r="B361" s="14">
        <v>35017</v>
      </c>
      <c r="C361" s="31">
        <f>YEAR(Table1[[#This Row],[Tanggal Lahir]])</f>
        <v>1995</v>
      </c>
      <c r="D361" s="15">
        <f t="shared" si="20"/>
        <v>26.866666666666667</v>
      </c>
      <c r="E361" s="12" t="s">
        <v>10</v>
      </c>
      <c r="F361" s="14">
        <v>44700</v>
      </c>
      <c r="G361" s="13">
        <f t="shared" si="21"/>
        <v>2022</v>
      </c>
      <c r="H361" s="30">
        <f t="shared" si="22"/>
        <v>6800000</v>
      </c>
      <c r="I361" s="39">
        <v>6</v>
      </c>
      <c r="J361">
        <f t="shared" si="23"/>
        <v>2</v>
      </c>
    </row>
    <row r="362" spans="1:10" x14ac:dyDescent="0.25">
      <c r="A362" s="16" t="s">
        <v>380</v>
      </c>
      <c r="B362" s="14">
        <v>36975</v>
      </c>
      <c r="C362" s="31">
        <f>YEAR(Table1[[#This Row],[Tanggal Lahir]])</f>
        <v>2001</v>
      </c>
      <c r="D362" s="15">
        <f t="shared" si="20"/>
        <v>21.502777777777776</v>
      </c>
      <c r="E362" s="12" t="s">
        <v>10</v>
      </c>
      <c r="F362" s="14">
        <v>39071</v>
      </c>
      <c r="G362" s="13">
        <f t="shared" si="21"/>
        <v>2006</v>
      </c>
      <c r="H362" s="30">
        <f t="shared" si="22"/>
        <v>18000000</v>
      </c>
      <c r="I362" s="39">
        <v>3</v>
      </c>
      <c r="J362">
        <f t="shared" si="23"/>
        <v>2</v>
      </c>
    </row>
    <row r="363" spans="1:10" x14ac:dyDescent="0.25">
      <c r="A363" s="16" t="s">
        <v>381</v>
      </c>
      <c r="B363" s="14">
        <v>35744</v>
      </c>
      <c r="C363" s="31">
        <f>YEAR(Table1[[#This Row],[Tanggal Lahir]])</f>
        <v>1997</v>
      </c>
      <c r="D363" s="15">
        <f t="shared" si="20"/>
        <v>24.877777777777776</v>
      </c>
      <c r="E363" s="12" t="s">
        <v>10</v>
      </c>
      <c r="F363" s="14">
        <v>40981</v>
      </c>
      <c r="G363" s="13">
        <f t="shared" si="21"/>
        <v>2012</v>
      </c>
      <c r="H363" s="30">
        <f t="shared" si="22"/>
        <v>13000000</v>
      </c>
      <c r="I363" s="39">
        <v>3</v>
      </c>
      <c r="J363">
        <f t="shared" si="23"/>
        <v>2</v>
      </c>
    </row>
    <row r="364" spans="1:10" x14ac:dyDescent="0.25">
      <c r="A364" s="16" t="s">
        <v>382</v>
      </c>
      <c r="B364" s="14">
        <v>37472</v>
      </c>
      <c r="C364" s="31">
        <f>YEAR(Table1[[#This Row],[Tanggal Lahir]])</f>
        <v>2002</v>
      </c>
      <c r="D364" s="15">
        <f t="shared" si="20"/>
        <v>20.144444444444446</v>
      </c>
      <c r="E364" s="12" t="s">
        <v>7</v>
      </c>
      <c r="F364" s="14">
        <v>42215</v>
      </c>
      <c r="G364" s="13">
        <f t="shared" si="21"/>
        <v>2015</v>
      </c>
      <c r="H364" s="30">
        <f t="shared" si="22"/>
        <v>9000000</v>
      </c>
      <c r="I364" s="39">
        <v>1</v>
      </c>
      <c r="J364">
        <f t="shared" si="23"/>
        <v>2</v>
      </c>
    </row>
    <row r="365" spans="1:10" x14ac:dyDescent="0.25">
      <c r="A365" s="16" t="s">
        <v>383</v>
      </c>
      <c r="B365" s="14">
        <v>35927</v>
      </c>
      <c r="C365" s="31">
        <f>YEAR(Table1[[#This Row],[Tanggal Lahir]])</f>
        <v>1998</v>
      </c>
      <c r="D365" s="15">
        <f t="shared" si="20"/>
        <v>24.372222222222224</v>
      </c>
      <c r="E365" s="12" t="s">
        <v>10</v>
      </c>
      <c r="F365" s="14">
        <v>43841</v>
      </c>
      <c r="G365" s="13">
        <f t="shared" si="21"/>
        <v>2020</v>
      </c>
      <c r="H365" s="30">
        <f t="shared" si="22"/>
        <v>6800000</v>
      </c>
      <c r="I365" s="39">
        <v>2</v>
      </c>
      <c r="J365">
        <f t="shared" si="23"/>
        <v>2</v>
      </c>
    </row>
    <row r="366" spans="1:10" x14ac:dyDescent="0.25">
      <c r="A366" s="16" t="s">
        <v>384</v>
      </c>
      <c r="B366" s="14">
        <v>37419</v>
      </c>
      <c r="C366" s="31">
        <f>YEAR(Table1[[#This Row],[Tanggal Lahir]])</f>
        <v>2002</v>
      </c>
      <c r="D366" s="15">
        <f t="shared" si="20"/>
        <v>20.288888888888888</v>
      </c>
      <c r="E366" s="12" t="s">
        <v>7</v>
      </c>
      <c r="F366" s="14">
        <v>43071</v>
      </c>
      <c r="G366" s="13">
        <f t="shared" si="21"/>
        <v>2017</v>
      </c>
      <c r="H366" s="30">
        <f t="shared" si="22"/>
        <v>9000000</v>
      </c>
      <c r="I366" s="39">
        <v>6</v>
      </c>
      <c r="J366">
        <f t="shared" si="23"/>
        <v>2</v>
      </c>
    </row>
    <row r="367" spans="1:10" x14ac:dyDescent="0.25">
      <c r="A367" s="16" t="s">
        <v>385</v>
      </c>
      <c r="B367" s="14">
        <v>37405</v>
      </c>
      <c r="C367" s="31">
        <f>YEAR(Table1[[#This Row],[Tanggal Lahir]])</f>
        <v>2002</v>
      </c>
      <c r="D367" s="15">
        <f t="shared" si="20"/>
        <v>20.324999999999999</v>
      </c>
      <c r="E367" s="12" t="s">
        <v>10</v>
      </c>
      <c r="F367" s="14">
        <v>44256</v>
      </c>
      <c r="G367" s="13">
        <f t="shared" si="21"/>
        <v>2021</v>
      </c>
      <c r="H367" s="30">
        <f t="shared" si="22"/>
        <v>6800000</v>
      </c>
      <c r="I367" s="39">
        <v>6</v>
      </c>
      <c r="J367">
        <f t="shared" si="23"/>
        <v>2</v>
      </c>
    </row>
    <row r="368" spans="1:10" x14ac:dyDescent="0.25">
      <c r="A368" s="16" t="s">
        <v>386</v>
      </c>
      <c r="B368" s="14">
        <v>37285</v>
      </c>
      <c r="C368" s="31">
        <f>YEAR(Table1[[#This Row],[Tanggal Lahir]])</f>
        <v>2002</v>
      </c>
      <c r="D368" s="15">
        <f t="shared" si="20"/>
        <v>20.658333333333335</v>
      </c>
      <c r="E368" s="12" t="s">
        <v>10</v>
      </c>
      <c r="F368" s="14">
        <v>39890</v>
      </c>
      <c r="G368" s="13">
        <f t="shared" si="21"/>
        <v>2009</v>
      </c>
      <c r="H368" s="30">
        <f t="shared" si="22"/>
        <v>13000000</v>
      </c>
      <c r="I368" s="39">
        <v>3</v>
      </c>
      <c r="J368">
        <f t="shared" si="23"/>
        <v>2</v>
      </c>
    </row>
    <row r="369" spans="1:10" x14ac:dyDescent="0.25">
      <c r="A369" s="16" t="s">
        <v>387</v>
      </c>
      <c r="B369" s="14">
        <v>36905</v>
      </c>
      <c r="C369" s="31">
        <f>YEAR(Table1[[#This Row],[Tanggal Lahir]])</f>
        <v>2001</v>
      </c>
      <c r="D369" s="15">
        <f t="shared" si="20"/>
        <v>21.7</v>
      </c>
      <c r="E369" s="12" t="s">
        <v>10</v>
      </c>
      <c r="F369" s="14">
        <v>38632</v>
      </c>
      <c r="G369" s="13">
        <f t="shared" si="21"/>
        <v>2005</v>
      </c>
      <c r="H369" s="30">
        <f t="shared" si="22"/>
        <v>18000000</v>
      </c>
      <c r="I369" s="39">
        <v>5</v>
      </c>
      <c r="J369">
        <f t="shared" si="23"/>
        <v>2</v>
      </c>
    </row>
    <row r="370" spans="1:10" x14ac:dyDescent="0.25">
      <c r="A370" s="16" t="s">
        <v>388</v>
      </c>
      <c r="B370" s="14">
        <v>37950</v>
      </c>
      <c r="C370" s="31">
        <f>YEAR(Table1[[#This Row],[Tanggal Lahir]])</f>
        <v>2003</v>
      </c>
      <c r="D370" s="15">
        <f t="shared" si="20"/>
        <v>18.836111111111112</v>
      </c>
      <c r="E370" s="12" t="s">
        <v>10</v>
      </c>
      <c r="F370" s="14">
        <v>40234</v>
      </c>
      <c r="G370" s="13">
        <f t="shared" si="21"/>
        <v>2010</v>
      </c>
      <c r="H370" s="30">
        <f t="shared" si="22"/>
        <v>13000000</v>
      </c>
      <c r="I370" s="39">
        <v>1</v>
      </c>
      <c r="J370">
        <f t="shared" si="23"/>
        <v>2</v>
      </c>
    </row>
    <row r="371" spans="1:10" x14ac:dyDescent="0.25">
      <c r="A371" s="16" t="s">
        <v>389</v>
      </c>
      <c r="B371" s="14">
        <v>37328</v>
      </c>
      <c r="C371" s="31">
        <f>YEAR(Table1[[#This Row],[Tanggal Lahir]])</f>
        <v>2002</v>
      </c>
      <c r="D371" s="15">
        <f t="shared" si="20"/>
        <v>20.536111111111111</v>
      </c>
      <c r="E371" s="12" t="s">
        <v>390</v>
      </c>
      <c r="F371" s="14">
        <v>39992</v>
      </c>
      <c r="G371" s="13">
        <f t="shared" si="21"/>
        <v>2009</v>
      </c>
      <c r="H371" s="30">
        <f t="shared" si="22"/>
        <v>13000000</v>
      </c>
      <c r="I371" s="39">
        <v>4</v>
      </c>
      <c r="J371">
        <f t="shared" si="23"/>
        <v>2</v>
      </c>
    </row>
    <row r="372" spans="1:10" x14ac:dyDescent="0.25">
      <c r="A372" s="16" t="s">
        <v>391</v>
      </c>
      <c r="B372" s="14">
        <v>37242</v>
      </c>
      <c r="C372" s="31">
        <f>YEAR(Table1[[#This Row],[Tanggal Lahir]])</f>
        <v>2001</v>
      </c>
      <c r="D372" s="15">
        <f t="shared" si="20"/>
        <v>20.774999999999999</v>
      </c>
      <c r="E372" s="12" t="s">
        <v>10</v>
      </c>
      <c r="F372" s="14">
        <v>42097</v>
      </c>
      <c r="G372" s="13">
        <f t="shared" si="21"/>
        <v>2015</v>
      </c>
      <c r="H372" s="30">
        <f t="shared" si="22"/>
        <v>9000000</v>
      </c>
      <c r="I372" s="39">
        <v>3</v>
      </c>
      <c r="J372">
        <f t="shared" si="23"/>
        <v>2</v>
      </c>
    </row>
    <row r="373" spans="1:10" x14ac:dyDescent="0.25">
      <c r="A373" s="16" t="s">
        <v>392</v>
      </c>
      <c r="B373" s="14">
        <v>37752</v>
      </c>
      <c r="C373" s="31">
        <f>YEAR(Table1[[#This Row],[Tanggal Lahir]])</f>
        <v>2003</v>
      </c>
      <c r="D373" s="15">
        <f t="shared" si="20"/>
        <v>19.375</v>
      </c>
      <c r="E373" s="12" t="s">
        <v>10</v>
      </c>
      <c r="F373" s="14">
        <v>38368</v>
      </c>
      <c r="G373" s="13">
        <f t="shared" si="21"/>
        <v>2005</v>
      </c>
      <c r="H373" s="30">
        <f t="shared" si="22"/>
        <v>18000000</v>
      </c>
      <c r="I373" s="39">
        <v>3</v>
      </c>
      <c r="J373">
        <f t="shared" si="23"/>
        <v>3</v>
      </c>
    </row>
    <row r="374" spans="1:10" x14ac:dyDescent="0.25">
      <c r="A374" s="16" t="s">
        <v>393</v>
      </c>
      <c r="B374" s="14">
        <v>34893</v>
      </c>
      <c r="C374" s="31">
        <f>YEAR(Table1[[#This Row],[Tanggal Lahir]])</f>
        <v>1995</v>
      </c>
      <c r="D374" s="15">
        <f t="shared" si="20"/>
        <v>27.202777777777779</v>
      </c>
      <c r="E374" s="12" t="s">
        <v>10</v>
      </c>
      <c r="F374" s="14">
        <v>41603</v>
      </c>
      <c r="G374" s="13">
        <f t="shared" si="21"/>
        <v>2013</v>
      </c>
      <c r="H374" s="30">
        <f t="shared" si="22"/>
        <v>13000000</v>
      </c>
      <c r="I374" s="39">
        <v>3</v>
      </c>
      <c r="J374">
        <f t="shared" si="23"/>
        <v>2</v>
      </c>
    </row>
    <row r="375" spans="1:10" x14ac:dyDescent="0.25">
      <c r="A375" s="16" t="s">
        <v>394</v>
      </c>
      <c r="B375" s="14">
        <v>34898</v>
      </c>
      <c r="C375" s="31">
        <f>YEAR(Table1[[#This Row],[Tanggal Lahir]])</f>
        <v>1995</v>
      </c>
      <c r="D375" s="15">
        <f t="shared" si="20"/>
        <v>27.18888888888889</v>
      </c>
      <c r="E375" s="12" t="s">
        <v>14</v>
      </c>
      <c r="F375" s="14">
        <v>42068</v>
      </c>
      <c r="G375" s="13">
        <f t="shared" si="21"/>
        <v>2015</v>
      </c>
      <c r="H375" s="30">
        <f t="shared" si="22"/>
        <v>9000000</v>
      </c>
      <c r="I375" s="39">
        <v>3</v>
      </c>
      <c r="J375">
        <f t="shared" si="23"/>
        <v>3</v>
      </c>
    </row>
    <row r="376" spans="1:10" x14ac:dyDescent="0.25">
      <c r="A376" s="16" t="s">
        <v>395</v>
      </c>
      <c r="B376" s="14">
        <v>37908</v>
      </c>
      <c r="C376" s="31">
        <f>YEAR(Table1[[#This Row],[Tanggal Lahir]])</f>
        <v>2003</v>
      </c>
      <c r="D376" s="15">
        <f t="shared" si="20"/>
        <v>18.95</v>
      </c>
      <c r="E376" s="12" t="s">
        <v>10</v>
      </c>
      <c r="F376" s="14">
        <v>43271</v>
      </c>
      <c r="G376" s="13">
        <f t="shared" si="21"/>
        <v>2018</v>
      </c>
      <c r="H376" s="30">
        <f t="shared" si="22"/>
        <v>9000000</v>
      </c>
      <c r="I376" s="39">
        <v>2</v>
      </c>
      <c r="J376">
        <f t="shared" si="23"/>
        <v>2</v>
      </c>
    </row>
    <row r="377" spans="1:10" x14ac:dyDescent="0.25">
      <c r="A377" s="16" t="s">
        <v>396</v>
      </c>
      <c r="B377" s="14">
        <v>34871</v>
      </c>
      <c r="C377" s="31">
        <f>YEAR(Table1[[#This Row],[Tanggal Lahir]])</f>
        <v>1995</v>
      </c>
      <c r="D377" s="15">
        <f t="shared" si="20"/>
        <v>27.263888888888889</v>
      </c>
      <c r="E377" s="12" t="s">
        <v>14</v>
      </c>
      <c r="F377" s="14">
        <v>41985</v>
      </c>
      <c r="G377" s="13">
        <f t="shared" si="21"/>
        <v>2014</v>
      </c>
      <c r="H377" s="30">
        <f t="shared" si="22"/>
        <v>9000000</v>
      </c>
      <c r="I377" s="39">
        <v>1</v>
      </c>
      <c r="J377">
        <f t="shared" si="23"/>
        <v>2</v>
      </c>
    </row>
    <row r="378" spans="1:10" x14ac:dyDescent="0.25">
      <c r="A378" s="16" t="s">
        <v>397</v>
      </c>
      <c r="B378" s="14">
        <v>36048</v>
      </c>
      <c r="C378" s="31">
        <f>YEAR(Table1[[#This Row],[Tanggal Lahir]])</f>
        <v>1998</v>
      </c>
      <c r="D378" s="15">
        <f t="shared" si="20"/>
        <v>24.044444444444444</v>
      </c>
      <c r="E378" s="12" t="s">
        <v>10</v>
      </c>
      <c r="F378" s="14">
        <v>38439</v>
      </c>
      <c r="G378" s="13">
        <f t="shared" si="21"/>
        <v>2005</v>
      </c>
      <c r="H378" s="30">
        <f t="shared" si="22"/>
        <v>18000000</v>
      </c>
      <c r="I378" s="39">
        <v>2</v>
      </c>
      <c r="J378">
        <f t="shared" si="23"/>
        <v>2</v>
      </c>
    </row>
    <row r="379" spans="1:10" x14ac:dyDescent="0.25">
      <c r="A379" s="16" t="s">
        <v>398</v>
      </c>
      <c r="B379" s="14">
        <v>35901</v>
      </c>
      <c r="C379" s="31">
        <f>YEAR(Table1[[#This Row],[Tanggal Lahir]])</f>
        <v>1998</v>
      </c>
      <c r="D379" s="15">
        <f t="shared" si="20"/>
        <v>24.444444444444443</v>
      </c>
      <c r="E379" s="12" t="s">
        <v>399</v>
      </c>
      <c r="F379" s="14">
        <v>38817</v>
      </c>
      <c r="G379" s="13">
        <f t="shared" si="21"/>
        <v>2006</v>
      </c>
      <c r="H379" s="30">
        <f t="shared" si="22"/>
        <v>18000000</v>
      </c>
      <c r="I379" s="39">
        <v>5</v>
      </c>
      <c r="J379">
        <f t="shared" si="23"/>
        <v>2</v>
      </c>
    </row>
    <row r="380" spans="1:10" x14ac:dyDescent="0.25">
      <c r="A380" s="16" t="s">
        <v>400</v>
      </c>
      <c r="B380" s="14">
        <v>37930</v>
      </c>
      <c r="C380" s="31">
        <f>YEAR(Table1[[#This Row],[Tanggal Lahir]])</f>
        <v>2003</v>
      </c>
      <c r="D380" s="15">
        <f t="shared" si="20"/>
        <v>18.891666666666666</v>
      </c>
      <c r="E380" s="12" t="s">
        <v>10</v>
      </c>
      <c r="F380" s="14">
        <v>40057</v>
      </c>
      <c r="G380" s="13">
        <f t="shared" si="21"/>
        <v>2009</v>
      </c>
      <c r="H380" s="30">
        <f t="shared" si="22"/>
        <v>13000000</v>
      </c>
      <c r="I380" s="39">
        <v>1</v>
      </c>
      <c r="J380">
        <f t="shared" si="23"/>
        <v>2</v>
      </c>
    </row>
    <row r="381" spans="1:10" x14ac:dyDescent="0.25">
      <c r="A381" s="16" t="s">
        <v>401</v>
      </c>
      <c r="B381" s="14">
        <v>37249</v>
      </c>
      <c r="C381" s="31">
        <f>YEAR(Table1[[#This Row],[Tanggal Lahir]])</f>
        <v>2001</v>
      </c>
      <c r="D381" s="15">
        <f t="shared" si="20"/>
        <v>20.755555555555556</v>
      </c>
      <c r="E381" s="12" t="s">
        <v>10</v>
      </c>
      <c r="F381" s="14">
        <v>38736</v>
      </c>
      <c r="G381" s="13">
        <f t="shared" si="21"/>
        <v>2006</v>
      </c>
      <c r="H381" s="30">
        <f t="shared" si="22"/>
        <v>18000000</v>
      </c>
      <c r="I381" s="39">
        <v>4</v>
      </c>
      <c r="J381">
        <f t="shared" si="23"/>
        <v>2</v>
      </c>
    </row>
    <row r="382" spans="1:10" x14ac:dyDescent="0.25">
      <c r="A382" s="16" t="s">
        <v>402</v>
      </c>
      <c r="B382" s="14">
        <v>37124</v>
      </c>
      <c r="C382" s="31">
        <f>YEAR(Table1[[#This Row],[Tanggal Lahir]])</f>
        <v>2001</v>
      </c>
      <c r="D382" s="15">
        <f t="shared" si="20"/>
        <v>21.097222222222221</v>
      </c>
      <c r="E382" s="12" t="s">
        <v>10</v>
      </c>
      <c r="F382" s="14">
        <v>41639</v>
      </c>
      <c r="G382" s="13">
        <f t="shared" si="21"/>
        <v>2013</v>
      </c>
      <c r="H382" s="30">
        <f t="shared" si="22"/>
        <v>13000000</v>
      </c>
      <c r="I382" s="39">
        <v>3</v>
      </c>
      <c r="J382">
        <f t="shared" si="23"/>
        <v>2</v>
      </c>
    </row>
    <row r="383" spans="1:10" x14ac:dyDescent="0.25">
      <c r="A383" s="16" t="s">
        <v>403</v>
      </c>
      <c r="B383" s="14">
        <v>37864</v>
      </c>
      <c r="C383" s="31">
        <f>YEAR(Table1[[#This Row],[Tanggal Lahir]])</f>
        <v>2003</v>
      </c>
      <c r="D383" s="15">
        <f t="shared" si="20"/>
        <v>19.072222222222223</v>
      </c>
      <c r="E383" s="12" t="s">
        <v>10</v>
      </c>
      <c r="F383" s="14">
        <v>40367</v>
      </c>
      <c r="G383" s="13">
        <f t="shared" si="21"/>
        <v>2010</v>
      </c>
      <c r="H383" s="30">
        <f t="shared" si="22"/>
        <v>13000000</v>
      </c>
      <c r="I383" s="39">
        <v>4</v>
      </c>
      <c r="J383">
        <f t="shared" si="23"/>
        <v>2</v>
      </c>
    </row>
    <row r="384" spans="1:10" x14ac:dyDescent="0.25">
      <c r="A384" s="16" t="s">
        <v>404</v>
      </c>
      <c r="B384" s="14">
        <v>35327</v>
      </c>
      <c r="C384" s="31">
        <f>YEAR(Table1[[#This Row],[Tanggal Lahir]])</f>
        <v>1996</v>
      </c>
      <c r="D384" s="15">
        <f t="shared" si="20"/>
        <v>26.019444444444446</v>
      </c>
      <c r="E384" s="12" t="s">
        <v>10</v>
      </c>
      <c r="F384" s="14">
        <v>44111</v>
      </c>
      <c r="G384" s="13">
        <f t="shared" si="21"/>
        <v>2020</v>
      </c>
      <c r="H384" s="30">
        <f t="shared" si="22"/>
        <v>6800000</v>
      </c>
      <c r="I384" s="39">
        <v>2</v>
      </c>
      <c r="J384">
        <f t="shared" si="23"/>
        <v>2</v>
      </c>
    </row>
    <row r="385" spans="1:10" x14ac:dyDescent="0.25">
      <c r="A385" s="16" t="s">
        <v>405</v>
      </c>
      <c r="B385" s="14">
        <v>36688</v>
      </c>
      <c r="C385" s="31">
        <f>YEAR(Table1[[#This Row],[Tanggal Lahir]])</f>
        <v>2000</v>
      </c>
      <c r="D385" s="15">
        <f t="shared" si="20"/>
        <v>22.291666666666668</v>
      </c>
      <c r="E385" s="12" t="s">
        <v>14</v>
      </c>
      <c r="F385" s="14">
        <v>38535</v>
      </c>
      <c r="G385" s="13">
        <f t="shared" si="21"/>
        <v>2005</v>
      </c>
      <c r="H385" s="30">
        <f t="shared" si="22"/>
        <v>18000000</v>
      </c>
      <c r="I385" s="39">
        <v>2</v>
      </c>
      <c r="J385">
        <f t="shared" si="23"/>
        <v>2</v>
      </c>
    </row>
    <row r="386" spans="1:10" x14ac:dyDescent="0.25">
      <c r="A386" s="16" t="s">
        <v>406</v>
      </c>
      <c r="B386" s="14">
        <v>36915</v>
      </c>
      <c r="C386" s="31">
        <f>YEAR(Table1[[#This Row],[Tanggal Lahir]])</f>
        <v>2001</v>
      </c>
      <c r="D386" s="15">
        <f t="shared" ref="D386:D449" si="24">YEARFRAC(B386,$L$2)</f>
        <v>21.672222222222221</v>
      </c>
      <c r="E386" s="12" t="s">
        <v>7</v>
      </c>
      <c r="F386" s="14">
        <v>44205</v>
      </c>
      <c r="G386" s="13">
        <f t="shared" ref="G386:G449" si="25">YEAR(F386)</f>
        <v>2021</v>
      </c>
      <c r="H386" s="30">
        <f t="shared" ref="H386:H449" si="26">IF(G386&lt;= 2008,18000000,IF(AND(G386&gt;=2009,G386&lt;=2013),13000000,IF(AND(G386&gt;=2014,G386&lt;=2019),9000000,6800000)))</f>
        <v>6800000</v>
      </c>
      <c r="I386" s="39">
        <v>5</v>
      </c>
      <c r="J386">
        <f t="shared" ref="J386:J449" si="27">SUM(LEN(A386)-LEN(SUBSTITUTE(A386," ",""))+1)</f>
        <v>2</v>
      </c>
    </row>
    <row r="387" spans="1:10" x14ac:dyDescent="0.25">
      <c r="A387" s="16" t="s">
        <v>407</v>
      </c>
      <c r="B387" s="14">
        <v>34553</v>
      </c>
      <c r="C387" s="31">
        <f>YEAR(Table1[[#This Row],[Tanggal Lahir]])</f>
        <v>1994</v>
      </c>
      <c r="D387" s="15">
        <f t="shared" si="24"/>
        <v>28.136111111111113</v>
      </c>
      <c r="E387" s="12" t="s">
        <v>14</v>
      </c>
      <c r="F387" s="14">
        <v>40791</v>
      </c>
      <c r="G387" s="13">
        <f t="shared" si="25"/>
        <v>2011</v>
      </c>
      <c r="H387" s="30">
        <f t="shared" si="26"/>
        <v>13000000</v>
      </c>
      <c r="I387" s="39">
        <v>3</v>
      </c>
      <c r="J387">
        <f t="shared" si="27"/>
        <v>2</v>
      </c>
    </row>
    <row r="388" spans="1:10" x14ac:dyDescent="0.25">
      <c r="A388" s="16" t="s">
        <v>408</v>
      </c>
      <c r="B388" s="14">
        <v>37236</v>
      </c>
      <c r="C388" s="31">
        <f>YEAR(Table1[[#This Row],[Tanggal Lahir]])</f>
        <v>2001</v>
      </c>
      <c r="D388" s="15">
        <f t="shared" si="24"/>
        <v>20.791666666666668</v>
      </c>
      <c r="E388" s="12" t="s">
        <v>14</v>
      </c>
      <c r="F388" s="14">
        <v>43619</v>
      </c>
      <c r="G388" s="13">
        <f t="shared" si="25"/>
        <v>2019</v>
      </c>
      <c r="H388" s="30">
        <f t="shared" si="26"/>
        <v>9000000</v>
      </c>
      <c r="I388" s="39">
        <v>6</v>
      </c>
      <c r="J388">
        <f t="shared" si="27"/>
        <v>2</v>
      </c>
    </row>
    <row r="389" spans="1:10" x14ac:dyDescent="0.25">
      <c r="A389" s="16" t="s">
        <v>409</v>
      </c>
      <c r="B389" s="14">
        <v>35297</v>
      </c>
      <c r="C389" s="31">
        <f>YEAR(Table1[[#This Row],[Tanggal Lahir]])</f>
        <v>1996</v>
      </c>
      <c r="D389" s="15">
        <f t="shared" si="24"/>
        <v>26.1</v>
      </c>
      <c r="E389" s="12" t="s">
        <v>7</v>
      </c>
      <c r="F389" s="14">
        <v>43556</v>
      </c>
      <c r="G389" s="13">
        <f t="shared" si="25"/>
        <v>2019</v>
      </c>
      <c r="H389" s="30">
        <f t="shared" si="26"/>
        <v>9000000</v>
      </c>
      <c r="I389" s="39">
        <v>4</v>
      </c>
      <c r="J389">
        <f t="shared" si="27"/>
        <v>2</v>
      </c>
    </row>
    <row r="390" spans="1:10" x14ac:dyDescent="0.25">
      <c r="A390" s="16" t="s">
        <v>410</v>
      </c>
      <c r="B390" s="14">
        <v>35587</v>
      </c>
      <c r="C390" s="31">
        <f>YEAR(Table1[[#This Row],[Tanggal Lahir]])</f>
        <v>1997</v>
      </c>
      <c r="D390" s="15">
        <f t="shared" si="24"/>
        <v>25.305555555555557</v>
      </c>
      <c r="E390" s="12" t="s">
        <v>10</v>
      </c>
      <c r="F390" s="14">
        <v>39874</v>
      </c>
      <c r="G390" s="13">
        <f t="shared" si="25"/>
        <v>2009</v>
      </c>
      <c r="H390" s="30">
        <f t="shared" si="26"/>
        <v>13000000</v>
      </c>
      <c r="I390" s="39">
        <v>1</v>
      </c>
      <c r="J390">
        <f t="shared" si="27"/>
        <v>2</v>
      </c>
    </row>
    <row r="391" spans="1:10" x14ac:dyDescent="0.25">
      <c r="A391" s="16" t="s">
        <v>411</v>
      </c>
      <c r="B391" s="14">
        <v>37576</v>
      </c>
      <c r="C391" s="31">
        <f>YEAR(Table1[[#This Row],[Tanggal Lahir]])</f>
        <v>2002</v>
      </c>
      <c r="D391" s="15">
        <f t="shared" si="24"/>
        <v>19.861111111111111</v>
      </c>
      <c r="E391" s="12" t="s">
        <v>10</v>
      </c>
      <c r="F391" s="14">
        <v>43807</v>
      </c>
      <c r="G391" s="13">
        <f t="shared" si="25"/>
        <v>2019</v>
      </c>
      <c r="H391" s="30">
        <f t="shared" si="26"/>
        <v>9000000</v>
      </c>
      <c r="I391" s="39">
        <v>1</v>
      </c>
      <c r="J391">
        <f t="shared" si="27"/>
        <v>2</v>
      </c>
    </row>
    <row r="392" spans="1:10" x14ac:dyDescent="0.25">
      <c r="A392" s="16" t="s">
        <v>412</v>
      </c>
      <c r="B392" s="14">
        <v>36286</v>
      </c>
      <c r="C392" s="31">
        <f>YEAR(Table1[[#This Row],[Tanggal Lahir]])</f>
        <v>1999</v>
      </c>
      <c r="D392" s="15">
        <f t="shared" si="24"/>
        <v>23.388888888888889</v>
      </c>
      <c r="E392" s="12" t="s">
        <v>14</v>
      </c>
      <c r="F392" s="14">
        <v>42219</v>
      </c>
      <c r="G392" s="13">
        <f t="shared" si="25"/>
        <v>2015</v>
      </c>
      <c r="H392" s="30">
        <f t="shared" si="26"/>
        <v>9000000</v>
      </c>
      <c r="I392" s="39">
        <v>1</v>
      </c>
      <c r="J392">
        <f t="shared" si="27"/>
        <v>2</v>
      </c>
    </row>
    <row r="393" spans="1:10" x14ac:dyDescent="0.25">
      <c r="A393" s="16" t="s">
        <v>413</v>
      </c>
      <c r="B393" s="14">
        <v>36737</v>
      </c>
      <c r="C393" s="31">
        <f>YEAR(Table1[[#This Row],[Tanggal Lahir]])</f>
        <v>2000</v>
      </c>
      <c r="D393" s="15">
        <f t="shared" si="24"/>
        <v>22.155555555555555</v>
      </c>
      <c r="E393" s="12" t="s">
        <v>14</v>
      </c>
      <c r="F393" s="14">
        <v>41198</v>
      </c>
      <c r="G393" s="13">
        <f t="shared" si="25"/>
        <v>2012</v>
      </c>
      <c r="H393" s="30">
        <f t="shared" si="26"/>
        <v>13000000</v>
      </c>
      <c r="I393" s="39">
        <v>4</v>
      </c>
      <c r="J393">
        <f t="shared" si="27"/>
        <v>2</v>
      </c>
    </row>
    <row r="394" spans="1:10" x14ac:dyDescent="0.25">
      <c r="A394" s="16" t="s">
        <v>414</v>
      </c>
      <c r="B394" s="14">
        <v>37502</v>
      </c>
      <c r="C394" s="31">
        <f>YEAR(Table1[[#This Row],[Tanggal Lahir]])</f>
        <v>2002</v>
      </c>
      <c r="D394" s="15">
        <f t="shared" si="24"/>
        <v>20.06388888888889</v>
      </c>
      <c r="E394" s="12" t="s">
        <v>14</v>
      </c>
      <c r="F394" s="14">
        <v>41773</v>
      </c>
      <c r="G394" s="13">
        <f t="shared" si="25"/>
        <v>2014</v>
      </c>
      <c r="H394" s="30">
        <f t="shared" si="26"/>
        <v>9000000</v>
      </c>
      <c r="I394" s="39">
        <v>3</v>
      </c>
      <c r="J394">
        <f t="shared" si="27"/>
        <v>2</v>
      </c>
    </row>
    <row r="395" spans="1:10" x14ac:dyDescent="0.25">
      <c r="A395" s="16" t="s">
        <v>415</v>
      </c>
      <c r="B395" s="14">
        <v>35733</v>
      </c>
      <c r="C395" s="31">
        <f>YEAR(Table1[[#This Row],[Tanggal Lahir]])</f>
        <v>1997</v>
      </c>
      <c r="D395" s="15">
        <f t="shared" si="24"/>
        <v>24.905555555555555</v>
      </c>
      <c r="E395" s="12" t="s">
        <v>10</v>
      </c>
      <c r="F395" s="14">
        <v>42492</v>
      </c>
      <c r="G395" s="13">
        <f t="shared" si="25"/>
        <v>2016</v>
      </c>
      <c r="H395" s="30">
        <f t="shared" si="26"/>
        <v>9000000</v>
      </c>
      <c r="I395" s="39">
        <v>4</v>
      </c>
      <c r="J395">
        <f t="shared" si="27"/>
        <v>2</v>
      </c>
    </row>
    <row r="396" spans="1:10" x14ac:dyDescent="0.25">
      <c r="A396" s="16" t="s">
        <v>416</v>
      </c>
      <c r="B396" s="14">
        <v>36634</v>
      </c>
      <c r="C396" s="31">
        <f>YEAR(Table1[[#This Row],[Tanggal Lahir]])</f>
        <v>2000</v>
      </c>
      <c r="D396" s="15">
        <f t="shared" si="24"/>
        <v>22.43888888888889</v>
      </c>
      <c r="E396" s="12" t="s">
        <v>10</v>
      </c>
      <c r="F396" s="14">
        <v>39153</v>
      </c>
      <c r="G396" s="13">
        <f t="shared" si="25"/>
        <v>2007</v>
      </c>
      <c r="H396" s="30">
        <f t="shared" si="26"/>
        <v>18000000</v>
      </c>
      <c r="I396" s="39">
        <v>4</v>
      </c>
      <c r="J396">
        <f t="shared" si="27"/>
        <v>3</v>
      </c>
    </row>
    <row r="397" spans="1:10" x14ac:dyDescent="0.25">
      <c r="A397" s="16" t="s">
        <v>417</v>
      </c>
      <c r="B397" s="14">
        <v>36986</v>
      </c>
      <c r="C397" s="31">
        <f>YEAR(Table1[[#This Row],[Tanggal Lahir]])</f>
        <v>2001</v>
      </c>
      <c r="D397" s="15">
        <f t="shared" si="24"/>
        <v>21.475000000000001</v>
      </c>
      <c r="E397" s="12" t="s">
        <v>10</v>
      </c>
      <c r="F397" s="14">
        <v>39655</v>
      </c>
      <c r="G397" s="13">
        <f t="shared" si="25"/>
        <v>2008</v>
      </c>
      <c r="H397" s="30">
        <f t="shared" si="26"/>
        <v>18000000</v>
      </c>
      <c r="I397" s="39">
        <v>2</v>
      </c>
      <c r="J397">
        <f t="shared" si="27"/>
        <v>2</v>
      </c>
    </row>
    <row r="398" spans="1:10" x14ac:dyDescent="0.25">
      <c r="A398" s="16" t="s">
        <v>418</v>
      </c>
      <c r="B398" s="14">
        <v>36034</v>
      </c>
      <c r="C398" s="31">
        <f>YEAR(Table1[[#This Row],[Tanggal Lahir]])</f>
        <v>1998</v>
      </c>
      <c r="D398" s="15">
        <f t="shared" si="24"/>
        <v>24.080555555555556</v>
      </c>
      <c r="E398" s="12" t="s">
        <v>419</v>
      </c>
      <c r="F398" s="14">
        <v>40731</v>
      </c>
      <c r="G398" s="13">
        <f t="shared" si="25"/>
        <v>2011</v>
      </c>
      <c r="H398" s="30">
        <f t="shared" si="26"/>
        <v>13000000</v>
      </c>
      <c r="I398" s="39">
        <v>2</v>
      </c>
      <c r="J398">
        <f t="shared" si="27"/>
        <v>2</v>
      </c>
    </row>
    <row r="399" spans="1:10" x14ac:dyDescent="0.25">
      <c r="A399" s="16" t="s">
        <v>420</v>
      </c>
      <c r="B399" s="14">
        <v>34882</v>
      </c>
      <c r="C399" s="31">
        <f>YEAR(Table1[[#This Row],[Tanggal Lahir]])</f>
        <v>1995</v>
      </c>
      <c r="D399" s="15">
        <f t="shared" si="24"/>
        <v>27.233333333333334</v>
      </c>
      <c r="E399" s="12" t="s">
        <v>10</v>
      </c>
      <c r="F399" s="14">
        <v>40096</v>
      </c>
      <c r="G399" s="13">
        <f t="shared" si="25"/>
        <v>2009</v>
      </c>
      <c r="H399" s="30">
        <f t="shared" si="26"/>
        <v>13000000</v>
      </c>
      <c r="I399" s="39">
        <v>3</v>
      </c>
      <c r="J399">
        <f t="shared" si="27"/>
        <v>2</v>
      </c>
    </row>
    <row r="400" spans="1:10" x14ac:dyDescent="0.25">
      <c r="A400" s="16" t="s">
        <v>421</v>
      </c>
      <c r="B400" s="14">
        <v>36259</v>
      </c>
      <c r="C400" s="31">
        <f>YEAR(Table1[[#This Row],[Tanggal Lahir]])</f>
        <v>1999</v>
      </c>
      <c r="D400" s="15">
        <f t="shared" si="24"/>
        <v>23.463888888888889</v>
      </c>
      <c r="E400" s="12" t="s">
        <v>10</v>
      </c>
      <c r="F400" s="14">
        <v>43483</v>
      </c>
      <c r="G400" s="13">
        <f t="shared" si="25"/>
        <v>2019</v>
      </c>
      <c r="H400" s="30">
        <f t="shared" si="26"/>
        <v>9000000</v>
      </c>
      <c r="I400" s="39">
        <v>4</v>
      </c>
      <c r="J400">
        <f t="shared" si="27"/>
        <v>2</v>
      </c>
    </row>
    <row r="401" spans="1:10" x14ac:dyDescent="0.25">
      <c r="A401" s="16" t="s">
        <v>422</v>
      </c>
      <c r="B401" s="14">
        <v>37698</v>
      </c>
      <c r="C401" s="31">
        <f>YEAR(Table1[[#This Row],[Tanggal Lahir]])</f>
        <v>2003</v>
      </c>
      <c r="D401" s="15">
        <f t="shared" si="24"/>
        <v>19.522222222222222</v>
      </c>
      <c r="E401" s="12" t="s">
        <v>423</v>
      </c>
      <c r="F401" s="14">
        <v>39836</v>
      </c>
      <c r="G401" s="13">
        <f t="shared" si="25"/>
        <v>2009</v>
      </c>
      <c r="H401" s="30">
        <f t="shared" si="26"/>
        <v>13000000</v>
      </c>
      <c r="I401" s="39">
        <v>5</v>
      </c>
      <c r="J401">
        <f t="shared" si="27"/>
        <v>2</v>
      </c>
    </row>
    <row r="402" spans="1:10" x14ac:dyDescent="0.25">
      <c r="A402" s="16" t="s">
        <v>424</v>
      </c>
      <c r="B402" s="14">
        <v>34823</v>
      </c>
      <c r="C402" s="31">
        <f>YEAR(Table1[[#This Row],[Tanggal Lahir]])</f>
        <v>1995</v>
      </c>
      <c r="D402" s="15">
        <f t="shared" si="24"/>
        <v>27.394444444444446</v>
      </c>
      <c r="E402" s="12" t="s">
        <v>10</v>
      </c>
      <c r="F402" s="14">
        <v>43562</v>
      </c>
      <c r="G402" s="13">
        <f t="shared" si="25"/>
        <v>2019</v>
      </c>
      <c r="H402" s="30">
        <f t="shared" si="26"/>
        <v>9000000</v>
      </c>
      <c r="I402" s="39">
        <v>4</v>
      </c>
      <c r="J402">
        <f t="shared" si="27"/>
        <v>2</v>
      </c>
    </row>
    <row r="403" spans="1:10" x14ac:dyDescent="0.25">
      <c r="A403" s="16" t="s">
        <v>425</v>
      </c>
      <c r="B403" s="14">
        <v>37228</v>
      </c>
      <c r="C403" s="31">
        <f>YEAR(Table1[[#This Row],[Tanggal Lahir]])</f>
        <v>2001</v>
      </c>
      <c r="D403" s="15">
        <f t="shared" si="24"/>
        <v>20.81388888888889</v>
      </c>
      <c r="E403" s="12" t="s">
        <v>14</v>
      </c>
      <c r="F403" s="14">
        <v>42970</v>
      </c>
      <c r="G403" s="13">
        <f t="shared" si="25"/>
        <v>2017</v>
      </c>
      <c r="H403" s="30">
        <f t="shared" si="26"/>
        <v>9000000</v>
      </c>
      <c r="I403" s="39">
        <v>6</v>
      </c>
      <c r="J403">
        <f t="shared" si="27"/>
        <v>2</v>
      </c>
    </row>
    <row r="404" spans="1:10" x14ac:dyDescent="0.25">
      <c r="A404" s="16" t="s">
        <v>426</v>
      </c>
      <c r="B404" s="14">
        <v>34523</v>
      </c>
      <c r="C404" s="31">
        <f>YEAR(Table1[[#This Row],[Tanggal Lahir]])</f>
        <v>1994</v>
      </c>
      <c r="D404" s="15">
        <f t="shared" si="24"/>
        <v>28.216666666666665</v>
      </c>
      <c r="E404" s="12" t="s">
        <v>10</v>
      </c>
      <c r="F404" s="14">
        <v>40407</v>
      </c>
      <c r="G404" s="13">
        <f t="shared" si="25"/>
        <v>2010</v>
      </c>
      <c r="H404" s="30">
        <f t="shared" si="26"/>
        <v>13000000</v>
      </c>
      <c r="I404" s="39">
        <v>5</v>
      </c>
      <c r="J404">
        <f t="shared" si="27"/>
        <v>2</v>
      </c>
    </row>
    <row r="405" spans="1:10" x14ac:dyDescent="0.25">
      <c r="A405" s="16" t="s">
        <v>427</v>
      </c>
      <c r="B405" s="14">
        <v>35193</v>
      </c>
      <c r="C405" s="31">
        <f>YEAR(Table1[[#This Row],[Tanggal Lahir]])</f>
        <v>1996</v>
      </c>
      <c r="D405" s="15">
        <f t="shared" si="24"/>
        <v>26.383333333333333</v>
      </c>
      <c r="E405" s="12" t="s">
        <v>10</v>
      </c>
      <c r="F405" s="14">
        <v>39872</v>
      </c>
      <c r="G405" s="13">
        <f t="shared" si="25"/>
        <v>2009</v>
      </c>
      <c r="H405" s="30">
        <f t="shared" si="26"/>
        <v>13000000</v>
      </c>
      <c r="I405" s="39">
        <v>5</v>
      </c>
      <c r="J405">
        <f t="shared" si="27"/>
        <v>2</v>
      </c>
    </row>
    <row r="406" spans="1:10" x14ac:dyDescent="0.25">
      <c r="A406" s="16" t="s">
        <v>428</v>
      </c>
      <c r="B406" s="14">
        <v>37073</v>
      </c>
      <c r="C406" s="31">
        <f>YEAR(Table1[[#This Row],[Tanggal Lahir]])</f>
        <v>2001</v>
      </c>
      <c r="D406" s="15">
        <f t="shared" si="24"/>
        <v>21.236111111111111</v>
      </c>
      <c r="E406" s="12" t="s">
        <v>10</v>
      </c>
      <c r="F406" s="14">
        <v>41018</v>
      </c>
      <c r="G406" s="13">
        <f t="shared" si="25"/>
        <v>2012</v>
      </c>
      <c r="H406" s="30">
        <f t="shared" si="26"/>
        <v>13000000</v>
      </c>
      <c r="I406" s="39">
        <v>6</v>
      </c>
      <c r="J406">
        <f t="shared" si="27"/>
        <v>2</v>
      </c>
    </row>
    <row r="407" spans="1:10" x14ac:dyDescent="0.25">
      <c r="A407" s="16" t="s">
        <v>429</v>
      </c>
      <c r="B407" s="14">
        <v>35427</v>
      </c>
      <c r="C407" s="31">
        <f>YEAR(Table1[[#This Row],[Tanggal Lahir]])</f>
        <v>1996</v>
      </c>
      <c r="D407" s="15">
        <f t="shared" si="24"/>
        <v>25.744444444444444</v>
      </c>
      <c r="E407" s="12" t="s">
        <v>14</v>
      </c>
      <c r="F407" s="14">
        <v>39177</v>
      </c>
      <c r="G407" s="13">
        <f t="shared" si="25"/>
        <v>2007</v>
      </c>
      <c r="H407" s="30">
        <f t="shared" si="26"/>
        <v>18000000</v>
      </c>
      <c r="I407" s="39">
        <v>6</v>
      </c>
      <c r="J407">
        <f t="shared" si="27"/>
        <v>2</v>
      </c>
    </row>
    <row r="408" spans="1:10" x14ac:dyDescent="0.25">
      <c r="A408" s="16" t="s">
        <v>430</v>
      </c>
      <c r="B408" s="14">
        <v>35203</v>
      </c>
      <c r="C408" s="31">
        <f>YEAR(Table1[[#This Row],[Tanggal Lahir]])</f>
        <v>1996</v>
      </c>
      <c r="D408" s="15">
        <f t="shared" si="24"/>
        <v>26.355555555555554</v>
      </c>
      <c r="E408" s="12" t="s">
        <v>14</v>
      </c>
      <c r="F408" s="14">
        <v>44523</v>
      </c>
      <c r="G408" s="13">
        <f t="shared" si="25"/>
        <v>2021</v>
      </c>
      <c r="H408" s="30">
        <f t="shared" si="26"/>
        <v>6800000</v>
      </c>
      <c r="I408" s="39">
        <v>1</v>
      </c>
      <c r="J408">
        <f t="shared" si="27"/>
        <v>2</v>
      </c>
    </row>
    <row r="409" spans="1:10" x14ac:dyDescent="0.25">
      <c r="A409" s="16" t="s">
        <v>431</v>
      </c>
      <c r="B409" s="14">
        <v>35808</v>
      </c>
      <c r="C409" s="31">
        <f>YEAR(Table1[[#This Row],[Tanggal Lahir]])</f>
        <v>1998</v>
      </c>
      <c r="D409" s="15">
        <f t="shared" si="24"/>
        <v>24.702777777777779</v>
      </c>
      <c r="E409" s="12" t="s">
        <v>10</v>
      </c>
      <c r="F409" s="14">
        <v>39187</v>
      </c>
      <c r="G409" s="13">
        <f t="shared" si="25"/>
        <v>2007</v>
      </c>
      <c r="H409" s="30">
        <f t="shared" si="26"/>
        <v>18000000</v>
      </c>
      <c r="I409" s="39">
        <v>1</v>
      </c>
      <c r="J409">
        <f t="shared" si="27"/>
        <v>2</v>
      </c>
    </row>
    <row r="410" spans="1:10" x14ac:dyDescent="0.25">
      <c r="A410" s="16" t="s">
        <v>432</v>
      </c>
      <c r="B410" s="14">
        <v>37724</v>
      </c>
      <c r="C410" s="31">
        <f>YEAR(Table1[[#This Row],[Tanggal Lahir]])</f>
        <v>2003</v>
      </c>
      <c r="D410" s="15">
        <f t="shared" si="24"/>
        <v>19.452777777777779</v>
      </c>
      <c r="E410" s="12" t="s">
        <v>7</v>
      </c>
      <c r="F410" s="14">
        <v>41796</v>
      </c>
      <c r="G410" s="13">
        <f t="shared" si="25"/>
        <v>2014</v>
      </c>
      <c r="H410" s="30">
        <f t="shared" si="26"/>
        <v>9000000</v>
      </c>
      <c r="I410" s="39">
        <v>3</v>
      </c>
      <c r="J410">
        <f t="shared" si="27"/>
        <v>2</v>
      </c>
    </row>
    <row r="411" spans="1:10" x14ac:dyDescent="0.25">
      <c r="A411" s="16" t="s">
        <v>433</v>
      </c>
      <c r="B411" s="14">
        <v>35204</v>
      </c>
      <c r="C411" s="31">
        <f>YEAR(Table1[[#This Row],[Tanggal Lahir]])</f>
        <v>1996</v>
      </c>
      <c r="D411" s="15">
        <f t="shared" si="24"/>
        <v>26.352777777777778</v>
      </c>
      <c r="E411" s="12" t="s">
        <v>10</v>
      </c>
      <c r="F411" s="14">
        <v>40031</v>
      </c>
      <c r="G411" s="13">
        <f t="shared" si="25"/>
        <v>2009</v>
      </c>
      <c r="H411" s="30">
        <f t="shared" si="26"/>
        <v>13000000</v>
      </c>
      <c r="I411" s="39">
        <v>5</v>
      </c>
      <c r="J411">
        <f t="shared" si="27"/>
        <v>2</v>
      </c>
    </row>
    <row r="412" spans="1:10" x14ac:dyDescent="0.25">
      <c r="A412" s="16" t="s">
        <v>434</v>
      </c>
      <c r="B412" s="14">
        <v>37846</v>
      </c>
      <c r="C412" s="31">
        <f>YEAR(Table1[[#This Row],[Tanggal Lahir]])</f>
        <v>2003</v>
      </c>
      <c r="D412" s="15">
        <f t="shared" si="24"/>
        <v>19.119444444444444</v>
      </c>
      <c r="E412" s="12" t="s">
        <v>10</v>
      </c>
      <c r="F412" s="14">
        <v>44160</v>
      </c>
      <c r="G412" s="13">
        <f t="shared" si="25"/>
        <v>2020</v>
      </c>
      <c r="H412" s="30">
        <f t="shared" si="26"/>
        <v>6800000</v>
      </c>
      <c r="I412" s="39">
        <v>4</v>
      </c>
      <c r="J412">
        <f t="shared" si="27"/>
        <v>2</v>
      </c>
    </row>
    <row r="413" spans="1:10" x14ac:dyDescent="0.25">
      <c r="A413" s="16" t="s">
        <v>435</v>
      </c>
      <c r="B413" s="14">
        <v>37738</v>
      </c>
      <c r="C413" s="31">
        <f>YEAR(Table1[[#This Row],[Tanggal Lahir]])</f>
        <v>2003</v>
      </c>
      <c r="D413" s="15">
        <f t="shared" si="24"/>
        <v>19.413888888888888</v>
      </c>
      <c r="E413" s="12" t="s">
        <v>10</v>
      </c>
      <c r="F413" s="14">
        <v>39309</v>
      </c>
      <c r="G413" s="13">
        <f t="shared" si="25"/>
        <v>2007</v>
      </c>
      <c r="H413" s="30">
        <f t="shared" si="26"/>
        <v>18000000</v>
      </c>
      <c r="I413" s="39">
        <v>6</v>
      </c>
      <c r="J413">
        <f t="shared" si="27"/>
        <v>2</v>
      </c>
    </row>
    <row r="414" spans="1:10" x14ac:dyDescent="0.25">
      <c r="A414" s="16" t="s">
        <v>436</v>
      </c>
      <c r="B414" s="14">
        <v>36315</v>
      </c>
      <c r="C414" s="31">
        <f>YEAR(Table1[[#This Row],[Tanggal Lahir]])</f>
        <v>1999</v>
      </c>
      <c r="D414" s="15">
        <f t="shared" si="24"/>
        <v>23.31111111111111</v>
      </c>
      <c r="E414" s="12" t="s">
        <v>7</v>
      </c>
      <c r="F414" s="14">
        <v>41088</v>
      </c>
      <c r="G414" s="13">
        <f t="shared" si="25"/>
        <v>2012</v>
      </c>
      <c r="H414" s="30">
        <f t="shared" si="26"/>
        <v>13000000</v>
      </c>
      <c r="I414" s="39">
        <v>4</v>
      </c>
      <c r="J414">
        <f t="shared" si="27"/>
        <v>2</v>
      </c>
    </row>
    <row r="415" spans="1:10" x14ac:dyDescent="0.25">
      <c r="A415" s="16" t="s">
        <v>437</v>
      </c>
      <c r="B415" s="14">
        <v>37176</v>
      </c>
      <c r="C415" s="31">
        <f>YEAR(Table1[[#This Row],[Tanggal Lahir]])</f>
        <v>2001</v>
      </c>
      <c r="D415" s="15">
        <f t="shared" si="24"/>
        <v>20.955555555555556</v>
      </c>
      <c r="E415" s="12" t="s">
        <v>7</v>
      </c>
      <c r="F415" s="14">
        <v>44389</v>
      </c>
      <c r="G415" s="13">
        <f t="shared" si="25"/>
        <v>2021</v>
      </c>
      <c r="H415" s="30">
        <f t="shared" si="26"/>
        <v>6800000</v>
      </c>
      <c r="I415" s="39">
        <v>6</v>
      </c>
      <c r="J415">
        <f t="shared" si="27"/>
        <v>2</v>
      </c>
    </row>
    <row r="416" spans="1:10" x14ac:dyDescent="0.25">
      <c r="A416" s="16" t="s">
        <v>438</v>
      </c>
      <c r="B416" s="14">
        <v>36978</v>
      </c>
      <c r="C416" s="31">
        <f>YEAR(Table1[[#This Row],[Tanggal Lahir]])</f>
        <v>2001</v>
      </c>
      <c r="D416" s="15">
        <f t="shared" si="24"/>
        <v>21.494444444444444</v>
      </c>
      <c r="E416" s="12" t="s">
        <v>10</v>
      </c>
      <c r="F416" s="14">
        <v>39555</v>
      </c>
      <c r="G416" s="13">
        <f t="shared" si="25"/>
        <v>2008</v>
      </c>
      <c r="H416" s="30">
        <f t="shared" si="26"/>
        <v>18000000</v>
      </c>
      <c r="I416" s="39">
        <v>3</v>
      </c>
      <c r="J416">
        <f t="shared" si="27"/>
        <v>2</v>
      </c>
    </row>
    <row r="417" spans="1:10" x14ac:dyDescent="0.25">
      <c r="A417" s="16" t="s">
        <v>439</v>
      </c>
      <c r="B417" s="14">
        <v>36782</v>
      </c>
      <c r="C417" s="31">
        <f>YEAR(Table1[[#This Row],[Tanggal Lahir]])</f>
        <v>2000</v>
      </c>
      <c r="D417" s="15">
        <f t="shared" si="24"/>
        <v>22.036111111111111</v>
      </c>
      <c r="E417" s="12" t="s">
        <v>7</v>
      </c>
      <c r="F417" s="14">
        <v>43674</v>
      </c>
      <c r="G417" s="13">
        <f t="shared" si="25"/>
        <v>2019</v>
      </c>
      <c r="H417" s="30">
        <f t="shared" si="26"/>
        <v>9000000</v>
      </c>
      <c r="I417" s="39">
        <v>4</v>
      </c>
      <c r="J417">
        <f t="shared" si="27"/>
        <v>2</v>
      </c>
    </row>
    <row r="418" spans="1:10" x14ac:dyDescent="0.25">
      <c r="A418" s="16" t="s">
        <v>440</v>
      </c>
      <c r="B418" s="14">
        <v>37607</v>
      </c>
      <c r="C418" s="31">
        <f>YEAR(Table1[[#This Row],[Tanggal Lahir]])</f>
        <v>2002</v>
      </c>
      <c r="D418" s="15">
        <f t="shared" si="24"/>
        <v>19.774999999999999</v>
      </c>
      <c r="E418" s="12" t="s">
        <v>10</v>
      </c>
      <c r="F418" s="14">
        <v>38620</v>
      </c>
      <c r="G418" s="13">
        <f t="shared" si="25"/>
        <v>2005</v>
      </c>
      <c r="H418" s="30">
        <f t="shared" si="26"/>
        <v>18000000</v>
      </c>
      <c r="I418" s="39">
        <v>1</v>
      </c>
      <c r="J418">
        <f t="shared" si="27"/>
        <v>2</v>
      </c>
    </row>
    <row r="419" spans="1:10" x14ac:dyDescent="0.25">
      <c r="A419" s="16" t="s">
        <v>441</v>
      </c>
      <c r="B419" s="14">
        <v>37547</v>
      </c>
      <c r="C419" s="31">
        <f>YEAR(Table1[[#This Row],[Tanggal Lahir]])</f>
        <v>2002</v>
      </c>
      <c r="D419" s="15">
        <f t="shared" si="24"/>
        <v>19.93888888888889</v>
      </c>
      <c r="E419" s="12" t="s">
        <v>7</v>
      </c>
      <c r="F419" s="14">
        <v>41464</v>
      </c>
      <c r="G419" s="13">
        <f t="shared" si="25"/>
        <v>2013</v>
      </c>
      <c r="H419" s="30">
        <f t="shared" si="26"/>
        <v>13000000</v>
      </c>
      <c r="I419" s="39">
        <v>2</v>
      </c>
      <c r="J419">
        <f t="shared" si="27"/>
        <v>2</v>
      </c>
    </row>
    <row r="420" spans="1:10" x14ac:dyDescent="0.25">
      <c r="A420" s="16" t="s">
        <v>442</v>
      </c>
      <c r="B420" s="14">
        <v>36240</v>
      </c>
      <c r="C420" s="31">
        <f>YEAR(Table1[[#This Row],[Tanggal Lahir]])</f>
        <v>1999</v>
      </c>
      <c r="D420" s="15">
        <f t="shared" si="24"/>
        <v>23.513888888888889</v>
      </c>
      <c r="E420" s="12" t="s">
        <v>10</v>
      </c>
      <c r="F420" s="14">
        <v>41900</v>
      </c>
      <c r="G420" s="13">
        <f t="shared" si="25"/>
        <v>2014</v>
      </c>
      <c r="H420" s="30">
        <f t="shared" si="26"/>
        <v>9000000</v>
      </c>
      <c r="I420" s="39">
        <v>5</v>
      </c>
      <c r="J420">
        <f t="shared" si="27"/>
        <v>2</v>
      </c>
    </row>
    <row r="421" spans="1:10" x14ac:dyDescent="0.25">
      <c r="A421" s="16" t="s">
        <v>443</v>
      </c>
      <c r="B421" s="14">
        <v>37186</v>
      </c>
      <c r="C421" s="31">
        <f>YEAR(Table1[[#This Row],[Tanggal Lahir]])</f>
        <v>2001</v>
      </c>
      <c r="D421" s="15">
        <f t="shared" si="24"/>
        <v>20.927777777777777</v>
      </c>
      <c r="E421" s="12" t="s">
        <v>10</v>
      </c>
      <c r="F421" s="14">
        <v>39261</v>
      </c>
      <c r="G421" s="13">
        <f t="shared" si="25"/>
        <v>2007</v>
      </c>
      <c r="H421" s="30">
        <f t="shared" si="26"/>
        <v>18000000</v>
      </c>
      <c r="I421" s="39">
        <v>1</v>
      </c>
      <c r="J421">
        <f t="shared" si="27"/>
        <v>2</v>
      </c>
    </row>
    <row r="422" spans="1:10" x14ac:dyDescent="0.25">
      <c r="A422" s="16" t="s">
        <v>444</v>
      </c>
      <c r="B422" s="14">
        <v>37298</v>
      </c>
      <c r="C422" s="31">
        <f>YEAR(Table1[[#This Row],[Tanggal Lahir]])</f>
        <v>2002</v>
      </c>
      <c r="D422" s="15">
        <f t="shared" si="24"/>
        <v>20.625</v>
      </c>
      <c r="E422" s="12" t="s">
        <v>10</v>
      </c>
      <c r="F422" s="14">
        <v>38490</v>
      </c>
      <c r="G422" s="13">
        <f t="shared" si="25"/>
        <v>2005</v>
      </c>
      <c r="H422" s="30">
        <f t="shared" si="26"/>
        <v>18000000</v>
      </c>
      <c r="I422" s="39">
        <v>1</v>
      </c>
      <c r="J422">
        <f t="shared" si="27"/>
        <v>2</v>
      </c>
    </row>
    <row r="423" spans="1:10" x14ac:dyDescent="0.25">
      <c r="A423" s="16" t="s">
        <v>445</v>
      </c>
      <c r="B423" s="14">
        <v>36929</v>
      </c>
      <c r="C423" s="31">
        <f>YEAR(Table1[[#This Row],[Tanggal Lahir]])</f>
        <v>2001</v>
      </c>
      <c r="D423" s="15">
        <f t="shared" si="24"/>
        <v>21.636111111111113</v>
      </c>
      <c r="E423" s="12" t="s">
        <v>14</v>
      </c>
      <c r="F423" s="14">
        <v>39961</v>
      </c>
      <c r="G423" s="13">
        <f t="shared" si="25"/>
        <v>2009</v>
      </c>
      <c r="H423" s="30">
        <f t="shared" si="26"/>
        <v>13000000</v>
      </c>
      <c r="I423" s="39">
        <v>1</v>
      </c>
      <c r="J423">
        <f t="shared" si="27"/>
        <v>2</v>
      </c>
    </row>
    <row r="424" spans="1:10" x14ac:dyDescent="0.25">
      <c r="A424" s="16" t="s">
        <v>446</v>
      </c>
      <c r="B424" s="14">
        <v>35521</v>
      </c>
      <c r="C424" s="31">
        <f>YEAR(Table1[[#This Row],[Tanggal Lahir]])</f>
        <v>1997</v>
      </c>
      <c r="D424" s="15">
        <f t="shared" si="24"/>
        <v>25.486111111111111</v>
      </c>
      <c r="E424" s="12" t="s">
        <v>7</v>
      </c>
      <c r="F424" s="14">
        <v>42405</v>
      </c>
      <c r="G424" s="13">
        <f t="shared" si="25"/>
        <v>2016</v>
      </c>
      <c r="H424" s="30">
        <f t="shared" si="26"/>
        <v>9000000</v>
      </c>
      <c r="I424" s="39">
        <v>1</v>
      </c>
      <c r="J424">
        <f t="shared" si="27"/>
        <v>2</v>
      </c>
    </row>
    <row r="425" spans="1:10" x14ac:dyDescent="0.25">
      <c r="A425" s="16" t="s">
        <v>447</v>
      </c>
      <c r="B425" s="14">
        <v>34662</v>
      </c>
      <c r="C425" s="31">
        <f>YEAR(Table1[[#This Row],[Tanggal Lahir]])</f>
        <v>1994</v>
      </c>
      <c r="D425" s="15">
        <f t="shared" si="24"/>
        <v>27.838888888888889</v>
      </c>
      <c r="E425" s="12" t="s">
        <v>10</v>
      </c>
      <c r="F425" s="14">
        <v>38317</v>
      </c>
      <c r="G425" s="13">
        <f t="shared" si="25"/>
        <v>2004</v>
      </c>
      <c r="H425" s="30">
        <f t="shared" si="26"/>
        <v>18000000</v>
      </c>
      <c r="I425" s="39">
        <v>2</v>
      </c>
      <c r="J425">
        <f t="shared" si="27"/>
        <v>2</v>
      </c>
    </row>
    <row r="426" spans="1:10" x14ac:dyDescent="0.25">
      <c r="A426" s="16" t="s">
        <v>448</v>
      </c>
      <c r="B426" s="14">
        <v>36119</v>
      </c>
      <c r="C426" s="31">
        <f>YEAR(Table1[[#This Row],[Tanggal Lahir]])</f>
        <v>1998</v>
      </c>
      <c r="D426" s="15">
        <f t="shared" si="24"/>
        <v>23.85</v>
      </c>
      <c r="E426" s="12" t="s">
        <v>7</v>
      </c>
      <c r="F426" s="14">
        <v>44031</v>
      </c>
      <c r="G426" s="13">
        <f t="shared" si="25"/>
        <v>2020</v>
      </c>
      <c r="H426" s="30">
        <f t="shared" si="26"/>
        <v>6800000</v>
      </c>
      <c r="I426" s="39">
        <v>1</v>
      </c>
      <c r="J426">
        <f t="shared" si="27"/>
        <v>4</v>
      </c>
    </row>
    <row r="427" spans="1:10" x14ac:dyDescent="0.25">
      <c r="A427" s="16" t="s">
        <v>449</v>
      </c>
      <c r="B427" s="14">
        <v>37637</v>
      </c>
      <c r="C427" s="31">
        <f>YEAR(Table1[[#This Row],[Tanggal Lahir]])</f>
        <v>2003</v>
      </c>
      <c r="D427" s="15">
        <f t="shared" si="24"/>
        <v>19.694444444444443</v>
      </c>
      <c r="E427" s="12" t="s">
        <v>7</v>
      </c>
      <c r="F427" s="14">
        <v>42066</v>
      </c>
      <c r="G427" s="13">
        <f t="shared" si="25"/>
        <v>2015</v>
      </c>
      <c r="H427" s="30">
        <f t="shared" si="26"/>
        <v>9000000</v>
      </c>
      <c r="I427" s="39">
        <v>4</v>
      </c>
      <c r="J427">
        <f t="shared" si="27"/>
        <v>2</v>
      </c>
    </row>
    <row r="428" spans="1:10" x14ac:dyDescent="0.25">
      <c r="A428" s="16" t="s">
        <v>450</v>
      </c>
      <c r="B428" s="14">
        <v>36862</v>
      </c>
      <c r="C428" s="31">
        <f>YEAR(Table1[[#This Row],[Tanggal Lahir]])</f>
        <v>2000</v>
      </c>
      <c r="D428" s="15">
        <f t="shared" si="24"/>
        <v>21.816666666666666</v>
      </c>
      <c r="E428" s="12" t="s">
        <v>10</v>
      </c>
      <c r="F428" s="14">
        <v>44177</v>
      </c>
      <c r="G428" s="13">
        <f t="shared" si="25"/>
        <v>2020</v>
      </c>
      <c r="H428" s="30">
        <f t="shared" si="26"/>
        <v>6800000</v>
      </c>
      <c r="I428" s="39">
        <v>2</v>
      </c>
      <c r="J428">
        <f t="shared" si="27"/>
        <v>2</v>
      </c>
    </row>
    <row r="429" spans="1:10" x14ac:dyDescent="0.25">
      <c r="A429" s="16" t="s">
        <v>451</v>
      </c>
      <c r="B429" s="14">
        <v>35450</v>
      </c>
      <c r="C429" s="31">
        <f>YEAR(Table1[[#This Row],[Tanggal Lahir]])</f>
        <v>1997</v>
      </c>
      <c r="D429" s="15">
        <f t="shared" si="24"/>
        <v>25.683333333333334</v>
      </c>
      <c r="E429" s="12" t="s">
        <v>14</v>
      </c>
      <c r="F429" s="14">
        <v>41436</v>
      </c>
      <c r="G429" s="13">
        <f t="shared" si="25"/>
        <v>2013</v>
      </c>
      <c r="H429" s="30">
        <f t="shared" si="26"/>
        <v>13000000</v>
      </c>
      <c r="I429" s="39">
        <v>2</v>
      </c>
      <c r="J429">
        <f t="shared" si="27"/>
        <v>2</v>
      </c>
    </row>
    <row r="430" spans="1:10" x14ac:dyDescent="0.25">
      <c r="A430" s="16" t="s">
        <v>452</v>
      </c>
      <c r="B430" s="14">
        <v>37186</v>
      </c>
      <c r="C430" s="31">
        <f>YEAR(Table1[[#This Row],[Tanggal Lahir]])</f>
        <v>2001</v>
      </c>
      <c r="D430" s="15">
        <f t="shared" si="24"/>
        <v>20.927777777777777</v>
      </c>
      <c r="E430" s="12" t="s">
        <v>10</v>
      </c>
      <c r="F430" s="14">
        <v>39078</v>
      </c>
      <c r="G430" s="13">
        <f t="shared" si="25"/>
        <v>2006</v>
      </c>
      <c r="H430" s="30">
        <f t="shared" si="26"/>
        <v>18000000</v>
      </c>
      <c r="I430" s="39">
        <v>5</v>
      </c>
      <c r="J430">
        <f t="shared" si="27"/>
        <v>2</v>
      </c>
    </row>
    <row r="431" spans="1:10" x14ac:dyDescent="0.25">
      <c r="A431" s="16" t="s">
        <v>453</v>
      </c>
      <c r="B431" s="14">
        <v>37040</v>
      </c>
      <c r="C431" s="31">
        <f>YEAR(Table1[[#This Row],[Tanggal Lahir]])</f>
        <v>2001</v>
      </c>
      <c r="D431" s="15">
        <f t="shared" si="24"/>
        <v>21.324999999999999</v>
      </c>
      <c r="E431" s="12" t="s">
        <v>10</v>
      </c>
      <c r="F431" s="14">
        <v>41397</v>
      </c>
      <c r="G431" s="13">
        <f t="shared" si="25"/>
        <v>2013</v>
      </c>
      <c r="H431" s="30">
        <f t="shared" si="26"/>
        <v>13000000</v>
      </c>
      <c r="I431" s="39">
        <v>1</v>
      </c>
      <c r="J431">
        <f t="shared" si="27"/>
        <v>2</v>
      </c>
    </row>
    <row r="432" spans="1:10" x14ac:dyDescent="0.25">
      <c r="A432" s="16" t="s">
        <v>454</v>
      </c>
      <c r="B432" s="14">
        <v>37159</v>
      </c>
      <c r="C432" s="31">
        <f>YEAR(Table1[[#This Row],[Tanggal Lahir]])</f>
        <v>2001</v>
      </c>
      <c r="D432" s="15">
        <f t="shared" si="24"/>
        <v>21.002777777777776</v>
      </c>
      <c r="E432" s="12" t="s">
        <v>14</v>
      </c>
      <c r="F432" s="14">
        <v>39623</v>
      </c>
      <c r="G432" s="13">
        <f t="shared" si="25"/>
        <v>2008</v>
      </c>
      <c r="H432" s="30">
        <f t="shared" si="26"/>
        <v>18000000</v>
      </c>
      <c r="I432" s="39">
        <v>6</v>
      </c>
      <c r="J432">
        <f t="shared" si="27"/>
        <v>2</v>
      </c>
    </row>
    <row r="433" spans="1:10" x14ac:dyDescent="0.25">
      <c r="A433" s="16" t="s">
        <v>455</v>
      </c>
      <c r="B433" s="14">
        <v>37032</v>
      </c>
      <c r="C433" s="31">
        <f>YEAR(Table1[[#This Row],[Tanggal Lahir]])</f>
        <v>2001</v>
      </c>
      <c r="D433" s="15">
        <f t="shared" si="24"/>
        <v>21.347222222222221</v>
      </c>
      <c r="E433" s="12" t="s">
        <v>14</v>
      </c>
      <c r="F433" s="14">
        <v>43457</v>
      </c>
      <c r="G433" s="13">
        <f t="shared" si="25"/>
        <v>2018</v>
      </c>
      <c r="H433" s="30">
        <f t="shared" si="26"/>
        <v>9000000</v>
      </c>
      <c r="I433" s="39">
        <v>1</v>
      </c>
      <c r="J433">
        <f t="shared" si="27"/>
        <v>2</v>
      </c>
    </row>
    <row r="434" spans="1:10" x14ac:dyDescent="0.25">
      <c r="A434" s="16" t="s">
        <v>456</v>
      </c>
      <c r="B434" s="14">
        <v>37616</v>
      </c>
      <c r="C434" s="31">
        <f>YEAR(Table1[[#This Row],[Tanggal Lahir]])</f>
        <v>2002</v>
      </c>
      <c r="D434" s="15">
        <f t="shared" si="24"/>
        <v>19.75</v>
      </c>
      <c r="E434" s="12" t="s">
        <v>10</v>
      </c>
      <c r="F434" s="14">
        <v>39988</v>
      </c>
      <c r="G434" s="13">
        <f t="shared" si="25"/>
        <v>2009</v>
      </c>
      <c r="H434" s="30">
        <f t="shared" si="26"/>
        <v>13000000</v>
      </c>
      <c r="I434" s="39">
        <v>2</v>
      </c>
      <c r="J434">
        <f t="shared" si="27"/>
        <v>2</v>
      </c>
    </row>
    <row r="435" spans="1:10" x14ac:dyDescent="0.25">
      <c r="A435" s="16" t="s">
        <v>457</v>
      </c>
      <c r="B435" s="14">
        <v>37924</v>
      </c>
      <c r="C435" s="31">
        <f>YEAR(Table1[[#This Row],[Tanggal Lahir]])</f>
        <v>2003</v>
      </c>
      <c r="D435" s="15">
        <f t="shared" si="24"/>
        <v>18.905555555555555</v>
      </c>
      <c r="E435" s="12" t="s">
        <v>10</v>
      </c>
      <c r="F435" s="14">
        <v>39755</v>
      </c>
      <c r="G435" s="13">
        <f t="shared" si="25"/>
        <v>2008</v>
      </c>
      <c r="H435" s="30">
        <f t="shared" si="26"/>
        <v>18000000</v>
      </c>
      <c r="I435" s="39">
        <v>4</v>
      </c>
      <c r="J435">
        <f t="shared" si="27"/>
        <v>2</v>
      </c>
    </row>
    <row r="436" spans="1:10" x14ac:dyDescent="0.25">
      <c r="A436" s="16" t="s">
        <v>458</v>
      </c>
      <c r="B436" s="14">
        <v>37181</v>
      </c>
      <c r="C436" s="31">
        <f>YEAR(Table1[[#This Row],[Tanggal Lahir]])</f>
        <v>2001</v>
      </c>
      <c r="D436" s="15">
        <f t="shared" si="24"/>
        <v>20.941666666666666</v>
      </c>
      <c r="E436" s="12" t="s">
        <v>10</v>
      </c>
      <c r="F436" s="14">
        <v>44546</v>
      </c>
      <c r="G436" s="13">
        <f t="shared" si="25"/>
        <v>2021</v>
      </c>
      <c r="H436" s="30">
        <f t="shared" si="26"/>
        <v>6800000</v>
      </c>
      <c r="I436" s="39">
        <v>5</v>
      </c>
      <c r="J436">
        <f t="shared" si="27"/>
        <v>2</v>
      </c>
    </row>
    <row r="437" spans="1:10" x14ac:dyDescent="0.25">
      <c r="A437" s="16" t="s">
        <v>459</v>
      </c>
      <c r="B437" s="14">
        <v>36086</v>
      </c>
      <c r="C437" s="31">
        <f>YEAR(Table1[[#This Row],[Tanggal Lahir]])</f>
        <v>1998</v>
      </c>
      <c r="D437" s="15">
        <f t="shared" si="24"/>
        <v>23.93888888888889</v>
      </c>
      <c r="E437" s="12" t="s">
        <v>14</v>
      </c>
      <c r="F437" s="14">
        <v>42858</v>
      </c>
      <c r="G437" s="13">
        <f t="shared" si="25"/>
        <v>2017</v>
      </c>
      <c r="H437" s="30">
        <f t="shared" si="26"/>
        <v>9000000</v>
      </c>
      <c r="I437" s="39">
        <v>3</v>
      </c>
      <c r="J437">
        <f t="shared" si="27"/>
        <v>2</v>
      </c>
    </row>
    <row r="438" spans="1:10" x14ac:dyDescent="0.25">
      <c r="A438" s="16" t="s">
        <v>460</v>
      </c>
      <c r="B438" s="14">
        <v>37737</v>
      </c>
      <c r="C438" s="31">
        <f>YEAR(Table1[[#This Row],[Tanggal Lahir]])</f>
        <v>2003</v>
      </c>
      <c r="D438" s="15">
        <f t="shared" si="24"/>
        <v>19.416666666666668</v>
      </c>
      <c r="E438" s="12" t="s">
        <v>14</v>
      </c>
      <c r="F438" s="14">
        <v>43212</v>
      </c>
      <c r="G438" s="13">
        <f t="shared" si="25"/>
        <v>2018</v>
      </c>
      <c r="H438" s="30">
        <f t="shared" si="26"/>
        <v>9000000</v>
      </c>
      <c r="I438" s="39">
        <v>3</v>
      </c>
      <c r="J438">
        <f t="shared" si="27"/>
        <v>3</v>
      </c>
    </row>
    <row r="439" spans="1:10" x14ac:dyDescent="0.25">
      <c r="A439" s="16" t="s">
        <v>461</v>
      </c>
      <c r="B439" s="14">
        <v>35531</v>
      </c>
      <c r="C439" s="31">
        <f>YEAR(Table1[[#This Row],[Tanggal Lahir]])</f>
        <v>1997</v>
      </c>
      <c r="D439" s="15">
        <f t="shared" si="24"/>
        <v>25.458333333333332</v>
      </c>
      <c r="E439" s="12" t="s">
        <v>10</v>
      </c>
      <c r="F439" s="14">
        <v>43066</v>
      </c>
      <c r="G439" s="13">
        <f t="shared" si="25"/>
        <v>2017</v>
      </c>
      <c r="H439" s="30">
        <f t="shared" si="26"/>
        <v>9000000</v>
      </c>
      <c r="I439" s="39">
        <v>3</v>
      </c>
      <c r="J439">
        <f t="shared" si="27"/>
        <v>3</v>
      </c>
    </row>
    <row r="440" spans="1:10" x14ac:dyDescent="0.25">
      <c r="A440" s="16" t="s">
        <v>462</v>
      </c>
      <c r="B440" s="14">
        <v>37891</v>
      </c>
      <c r="C440" s="31">
        <f>YEAR(Table1[[#This Row],[Tanggal Lahir]])</f>
        <v>2003</v>
      </c>
      <c r="D440" s="15">
        <f t="shared" si="24"/>
        <v>18.997222222222224</v>
      </c>
      <c r="E440" s="12" t="s">
        <v>10</v>
      </c>
      <c r="F440" s="14">
        <v>42555</v>
      </c>
      <c r="G440" s="13">
        <f t="shared" si="25"/>
        <v>2016</v>
      </c>
      <c r="H440" s="30">
        <f t="shared" si="26"/>
        <v>9000000</v>
      </c>
      <c r="I440" s="39">
        <v>5</v>
      </c>
      <c r="J440">
        <f t="shared" si="27"/>
        <v>3</v>
      </c>
    </row>
    <row r="441" spans="1:10" x14ac:dyDescent="0.25">
      <c r="A441" s="16" t="s">
        <v>463</v>
      </c>
      <c r="B441" s="14">
        <v>37153</v>
      </c>
      <c r="C441" s="31">
        <f>YEAR(Table1[[#This Row],[Tanggal Lahir]])</f>
        <v>2001</v>
      </c>
      <c r="D441" s="15">
        <f t="shared" si="24"/>
        <v>21.019444444444446</v>
      </c>
      <c r="E441" s="12" t="s">
        <v>7</v>
      </c>
      <c r="F441" s="14">
        <v>40336</v>
      </c>
      <c r="G441" s="13">
        <f t="shared" si="25"/>
        <v>2010</v>
      </c>
      <c r="H441" s="30">
        <f t="shared" si="26"/>
        <v>13000000</v>
      </c>
      <c r="I441" s="39">
        <v>6</v>
      </c>
      <c r="J441">
        <f t="shared" si="27"/>
        <v>2</v>
      </c>
    </row>
    <row r="442" spans="1:10" x14ac:dyDescent="0.25">
      <c r="A442" s="16" t="s">
        <v>464</v>
      </c>
      <c r="B442" s="14">
        <v>36452</v>
      </c>
      <c r="C442" s="31">
        <f>YEAR(Table1[[#This Row],[Tanggal Lahir]])</f>
        <v>1999</v>
      </c>
      <c r="D442" s="15">
        <f t="shared" si="24"/>
        <v>22.93611111111111</v>
      </c>
      <c r="E442" s="12" t="s">
        <v>7</v>
      </c>
      <c r="F442" s="14">
        <v>43433</v>
      </c>
      <c r="G442" s="13">
        <f t="shared" si="25"/>
        <v>2018</v>
      </c>
      <c r="H442" s="30">
        <f t="shared" si="26"/>
        <v>9000000</v>
      </c>
      <c r="I442" s="39">
        <v>4</v>
      </c>
      <c r="J442">
        <f t="shared" si="27"/>
        <v>2</v>
      </c>
    </row>
    <row r="443" spans="1:10" x14ac:dyDescent="0.25">
      <c r="A443" s="16" t="s">
        <v>465</v>
      </c>
      <c r="B443" s="14">
        <v>36141</v>
      </c>
      <c r="C443" s="31">
        <f>YEAR(Table1[[#This Row],[Tanggal Lahir]])</f>
        <v>1998</v>
      </c>
      <c r="D443" s="15">
        <f t="shared" si="24"/>
        <v>23.788888888888888</v>
      </c>
      <c r="E443" s="12" t="s">
        <v>10</v>
      </c>
      <c r="F443" s="14">
        <v>40407</v>
      </c>
      <c r="G443" s="13">
        <f t="shared" si="25"/>
        <v>2010</v>
      </c>
      <c r="H443" s="30">
        <f t="shared" si="26"/>
        <v>13000000</v>
      </c>
      <c r="I443" s="39">
        <v>3</v>
      </c>
      <c r="J443">
        <f t="shared" si="27"/>
        <v>2</v>
      </c>
    </row>
    <row r="444" spans="1:10" x14ac:dyDescent="0.25">
      <c r="A444" s="16" t="s">
        <v>466</v>
      </c>
      <c r="B444" s="14">
        <v>34663</v>
      </c>
      <c r="C444" s="31">
        <f>YEAR(Table1[[#This Row],[Tanggal Lahir]])</f>
        <v>1994</v>
      </c>
      <c r="D444" s="15">
        <f t="shared" si="24"/>
        <v>27.836111111111112</v>
      </c>
      <c r="E444" s="12" t="s">
        <v>10</v>
      </c>
      <c r="F444" s="14">
        <v>39054</v>
      </c>
      <c r="G444" s="13">
        <f t="shared" si="25"/>
        <v>2006</v>
      </c>
      <c r="H444" s="30">
        <f t="shared" si="26"/>
        <v>18000000</v>
      </c>
      <c r="I444" s="39">
        <v>5</v>
      </c>
      <c r="J444">
        <f t="shared" si="27"/>
        <v>3</v>
      </c>
    </row>
    <row r="445" spans="1:10" x14ac:dyDescent="0.25">
      <c r="A445" s="16" t="s">
        <v>467</v>
      </c>
      <c r="B445" s="14">
        <v>36000</v>
      </c>
      <c r="C445" s="31">
        <f>YEAR(Table1[[#This Row],[Tanggal Lahir]])</f>
        <v>1998</v>
      </c>
      <c r="D445" s="15">
        <f t="shared" si="24"/>
        <v>24.172222222222221</v>
      </c>
      <c r="E445" s="12" t="s">
        <v>10</v>
      </c>
      <c r="F445" s="14">
        <v>38636</v>
      </c>
      <c r="G445" s="13">
        <f t="shared" si="25"/>
        <v>2005</v>
      </c>
      <c r="H445" s="30">
        <f t="shared" si="26"/>
        <v>18000000</v>
      </c>
      <c r="I445" s="39">
        <v>3</v>
      </c>
      <c r="J445">
        <f t="shared" si="27"/>
        <v>2</v>
      </c>
    </row>
    <row r="446" spans="1:10" x14ac:dyDescent="0.25">
      <c r="A446" s="16" t="s">
        <v>468</v>
      </c>
      <c r="B446" s="14">
        <v>37744</v>
      </c>
      <c r="C446" s="31">
        <f>YEAR(Table1[[#This Row],[Tanggal Lahir]])</f>
        <v>2003</v>
      </c>
      <c r="D446" s="15">
        <f t="shared" si="24"/>
        <v>19.397222222222222</v>
      </c>
      <c r="E446" s="12" t="s">
        <v>7</v>
      </c>
      <c r="F446" s="14">
        <v>41716</v>
      </c>
      <c r="G446" s="13">
        <f t="shared" si="25"/>
        <v>2014</v>
      </c>
      <c r="H446" s="30">
        <f t="shared" si="26"/>
        <v>9000000</v>
      </c>
      <c r="I446" s="39">
        <v>6</v>
      </c>
      <c r="J446">
        <f t="shared" si="27"/>
        <v>2</v>
      </c>
    </row>
    <row r="447" spans="1:10" x14ac:dyDescent="0.25">
      <c r="A447" s="16" t="s">
        <v>469</v>
      </c>
      <c r="B447" s="14">
        <v>35417</v>
      </c>
      <c r="C447" s="31">
        <f>YEAR(Table1[[#This Row],[Tanggal Lahir]])</f>
        <v>1996</v>
      </c>
      <c r="D447" s="15">
        <f t="shared" si="24"/>
        <v>25.772222222222222</v>
      </c>
      <c r="E447" s="12" t="s">
        <v>10</v>
      </c>
      <c r="F447" s="14">
        <v>42347</v>
      </c>
      <c r="G447" s="13">
        <f t="shared" si="25"/>
        <v>2015</v>
      </c>
      <c r="H447" s="30">
        <f t="shared" si="26"/>
        <v>9000000</v>
      </c>
      <c r="I447" s="39">
        <v>1</v>
      </c>
      <c r="J447">
        <f t="shared" si="27"/>
        <v>2</v>
      </c>
    </row>
    <row r="448" spans="1:10" x14ac:dyDescent="0.25">
      <c r="A448" s="16" t="s">
        <v>470</v>
      </c>
      <c r="B448" s="14">
        <v>37505</v>
      </c>
      <c r="C448" s="31">
        <f>YEAR(Table1[[#This Row],[Tanggal Lahir]])</f>
        <v>2002</v>
      </c>
      <c r="D448" s="15">
        <f t="shared" si="24"/>
        <v>20.055555555555557</v>
      </c>
      <c r="E448" s="12" t="s">
        <v>7</v>
      </c>
      <c r="F448" s="14">
        <v>40834</v>
      </c>
      <c r="G448" s="13">
        <f t="shared" si="25"/>
        <v>2011</v>
      </c>
      <c r="H448" s="30">
        <f t="shared" si="26"/>
        <v>13000000</v>
      </c>
      <c r="I448" s="39">
        <v>4</v>
      </c>
      <c r="J448">
        <f t="shared" si="27"/>
        <v>2</v>
      </c>
    </row>
    <row r="449" spans="1:10" x14ac:dyDescent="0.25">
      <c r="A449" s="16" t="s">
        <v>471</v>
      </c>
      <c r="B449" s="14">
        <v>35994</v>
      </c>
      <c r="C449" s="31">
        <f>YEAR(Table1[[#This Row],[Tanggal Lahir]])</f>
        <v>1998</v>
      </c>
      <c r="D449" s="15">
        <f t="shared" si="24"/>
        <v>24.18888888888889</v>
      </c>
      <c r="E449" s="12" t="s">
        <v>10</v>
      </c>
      <c r="F449" s="14">
        <v>39588</v>
      </c>
      <c r="G449" s="13">
        <f t="shared" si="25"/>
        <v>2008</v>
      </c>
      <c r="H449" s="30">
        <f t="shared" si="26"/>
        <v>18000000</v>
      </c>
      <c r="I449" s="39">
        <v>1</v>
      </c>
      <c r="J449">
        <f t="shared" si="27"/>
        <v>3</v>
      </c>
    </row>
    <row r="450" spans="1:10" x14ac:dyDescent="0.25">
      <c r="A450" s="16" t="s">
        <v>472</v>
      </c>
      <c r="B450" s="14">
        <v>35880</v>
      </c>
      <c r="C450" s="31">
        <f>YEAR(Table1[[#This Row],[Tanggal Lahir]])</f>
        <v>1998</v>
      </c>
      <c r="D450" s="15">
        <f t="shared" ref="D450:D513" si="28">YEARFRAC(B450,$L$2)</f>
        <v>24.5</v>
      </c>
      <c r="E450" s="12" t="s">
        <v>10</v>
      </c>
      <c r="F450" s="14">
        <v>40374</v>
      </c>
      <c r="G450" s="13">
        <f t="shared" ref="G450:G513" si="29">YEAR(F450)</f>
        <v>2010</v>
      </c>
      <c r="H450" s="30">
        <f t="shared" ref="H450:H513" si="30">IF(G450&lt;= 2008,18000000,IF(AND(G450&gt;=2009,G450&lt;=2013),13000000,IF(AND(G450&gt;=2014,G450&lt;=2019),9000000,6800000)))</f>
        <v>13000000</v>
      </c>
      <c r="I450" s="39">
        <v>6</v>
      </c>
      <c r="J450">
        <f t="shared" ref="J450:J513" si="31">SUM(LEN(A450)-LEN(SUBSTITUTE(A450," ",""))+1)</f>
        <v>3</v>
      </c>
    </row>
    <row r="451" spans="1:10" x14ac:dyDescent="0.25">
      <c r="A451" s="16" t="s">
        <v>473</v>
      </c>
      <c r="B451" s="14">
        <v>35614</v>
      </c>
      <c r="C451" s="31">
        <f>YEAR(Table1[[#This Row],[Tanggal Lahir]])</f>
        <v>1997</v>
      </c>
      <c r="D451" s="15">
        <f t="shared" si="28"/>
        <v>25.230555555555554</v>
      </c>
      <c r="E451" s="12" t="s">
        <v>10</v>
      </c>
      <c r="F451" s="14">
        <v>43637</v>
      </c>
      <c r="G451" s="13">
        <f t="shared" si="29"/>
        <v>2019</v>
      </c>
      <c r="H451" s="30">
        <f t="shared" si="30"/>
        <v>9000000</v>
      </c>
      <c r="I451" s="39">
        <v>2</v>
      </c>
      <c r="J451">
        <f t="shared" si="31"/>
        <v>2</v>
      </c>
    </row>
    <row r="452" spans="1:10" x14ac:dyDescent="0.25">
      <c r="A452" s="16" t="s">
        <v>474</v>
      </c>
      <c r="B452" s="14">
        <v>34487</v>
      </c>
      <c r="C452" s="31">
        <f>YEAR(Table1[[#This Row],[Tanggal Lahir]])</f>
        <v>1994</v>
      </c>
      <c r="D452" s="15">
        <f t="shared" si="28"/>
        <v>28.316666666666666</v>
      </c>
      <c r="E452" s="12" t="s">
        <v>10</v>
      </c>
      <c r="F452" s="14">
        <v>42209</v>
      </c>
      <c r="G452" s="13">
        <f t="shared" si="29"/>
        <v>2015</v>
      </c>
      <c r="H452" s="30">
        <f t="shared" si="30"/>
        <v>9000000</v>
      </c>
      <c r="I452" s="39">
        <v>3</v>
      </c>
      <c r="J452">
        <f t="shared" si="31"/>
        <v>2</v>
      </c>
    </row>
    <row r="453" spans="1:10" x14ac:dyDescent="0.25">
      <c r="A453" s="16" t="s">
        <v>475</v>
      </c>
      <c r="B453" s="14">
        <v>34570</v>
      </c>
      <c r="C453" s="31">
        <f>YEAR(Table1[[#This Row],[Tanggal Lahir]])</f>
        <v>1994</v>
      </c>
      <c r="D453" s="15">
        <f t="shared" si="28"/>
        <v>28.088888888888889</v>
      </c>
      <c r="E453" s="12" t="s">
        <v>10</v>
      </c>
      <c r="F453" s="14">
        <v>42574</v>
      </c>
      <c r="G453" s="13">
        <f t="shared" si="29"/>
        <v>2016</v>
      </c>
      <c r="H453" s="30">
        <f t="shared" si="30"/>
        <v>9000000</v>
      </c>
      <c r="I453" s="39">
        <v>6</v>
      </c>
      <c r="J453">
        <f t="shared" si="31"/>
        <v>3</v>
      </c>
    </row>
    <row r="454" spans="1:10" x14ac:dyDescent="0.25">
      <c r="A454" s="16" t="s">
        <v>476</v>
      </c>
      <c r="B454" s="14">
        <v>37737</v>
      </c>
      <c r="C454" s="31">
        <f>YEAR(Table1[[#This Row],[Tanggal Lahir]])</f>
        <v>2003</v>
      </c>
      <c r="D454" s="15">
        <f t="shared" si="28"/>
        <v>19.416666666666668</v>
      </c>
      <c r="E454" s="12" t="s">
        <v>14</v>
      </c>
      <c r="F454" s="14">
        <v>43132</v>
      </c>
      <c r="G454" s="13">
        <f t="shared" si="29"/>
        <v>2018</v>
      </c>
      <c r="H454" s="30">
        <f t="shared" si="30"/>
        <v>9000000</v>
      </c>
      <c r="I454" s="39">
        <v>3</v>
      </c>
      <c r="J454">
        <f t="shared" si="31"/>
        <v>2</v>
      </c>
    </row>
    <row r="455" spans="1:10" x14ac:dyDescent="0.25">
      <c r="A455" s="16" t="s">
        <v>477</v>
      </c>
      <c r="B455" s="14">
        <v>35477</v>
      </c>
      <c r="C455" s="31">
        <f>YEAR(Table1[[#This Row],[Tanggal Lahir]])</f>
        <v>1997</v>
      </c>
      <c r="D455" s="15">
        <f t="shared" si="28"/>
        <v>25.611111111111111</v>
      </c>
      <c r="E455" s="12" t="s">
        <v>7</v>
      </c>
      <c r="F455" s="14">
        <v>43991</v>
      </c>
      <c r="G455" s="13">
        <f t="shared" si="29"/>
        <v>2020</v>
      </c>
      <c r="H455" s="30">
        <f t="shared" si="30"/>
        <v>6800000</v>
      </c>
      <c r="I455" s="39">
        <v>3</v>
      </c>
      <c r="J455">
        <f t="shared" si="31"/>
        <v>2</v>
      </c>
    </row>
    <row r="456" spans="1:10" x14ac:dyDescent="0.25">
      <c r="A456" s="16" t="s">
        <v>478</v>
      </c>
      <c r="B456" s="14">
        <v>37119</v>
      </c>
      <c r="C456" s="31">
        <f>YEAR(Table1[[#This Row],[Tanggal Lahir]])</f>
        <v>2001</v>
      </c>
      <c r="D456" s="15">
        <f t="shared" si="28"/>
        <v>21.111111111111111</v>
      </c>
      <c r="E456" s="12" t="s">
        <v>10</v>
      </c>
      <c r="F456" s="14">
        <v>39391</v>
      </c>
      <c r="G456" s="13">
        <f t="shared" si="29"/>
        <v>2007</v>
      </c>
      <c r="H456" s="30">
        <f t="shared" si="30"/>
        <v>18000000</v>
      </c>
      <c r="I456" s="39">
        <v>2</v>
      </c>
      <c r="J456">
        <f t="shared" si="31"/>
        <v>2</v>
      </c>
    </row>
    <row r="457" spans="1:10" x14ac:dyDescent="0.25">
      <c r="A457" s="16" t="s">
        <v>479</v>
      </c>
      <c r="B457" s="14">
        <v>37984</v>
      </c>
      <c r="C457" s="31">
        <f>YEAR(Table1[[#This Row],[Tanggal Lahir]])</f>
        <v>2003</v>
      </c>
      <c r="D457" s="15">
        <f t="shared" si="28"/>
        <v>18.741666666666667</v>
      </c>
      <c r="E457" s="12" t="s">
        <v>14</v>
      </c>
      <c r="F457" s="14">
        <v>43315</v>
      </c>
      <c r="G457" s="13">
        <f t="shared" si="29"/>
        <v>2018</v>
      </c>
      <c r="H457" s="30">
        <f t="shared" si="30"/>
        <v>9000000</v>
      </c>
      <c r="I457" s="39">
        <v>4</v>
      </c>
      <c r="J457">
        <f t="shared" si="31"/>
        <v>2</v>
      </c>
    </row>
    <row r="458" spans="1:10" x14ac:dyDescent="0.25">
      <c r="A458" s="16" t="s">
        <v>480</v>
      </c>
      <c r="B458" s="14">
        <v>36096</v>
      </c>
      <c r="C458" s="31">
        <f>YEAR(Table1[[#This Row],[Tanggal Lahir]])</f>
        <v>1998</v>
      </c>
      <c r="D458" s="15">
        <f t="shared" si="28"/>
        <v>23.911111111111111</v>
      </c>
      <c r="E458" s="12" t="s">
        <v>7</v>
      </c>
      <c r="F458" s="14">
        <v>42634</v>
      </c>
      <c r="G458" s="13">
        <f t="shared" si="29"/>
        <v>2016</v>
      </c>
      <c r="H458" s="30">
        <f t="shared" si="30"/>
        <v>9000000</v>
      </c>
      <c r="I458" s="39">
        <v>3</v>
      </c>
      <c r="J458">
        <f t="shared" si="31"/>
        <v>3</v>
      </c>
    </row>
    <row r="459" spans="1:10" x14ac:dyDescent="0.25">
      <c r="A459" s="16" t="s">
        <v>481</v>
      </c>
      <c r="B459" s="14">
        <v>34568</v>
      </c>
      <c r="C459" s="31">
        <f>YEAR(Table1[[#This Row],[Tanggal Lahir]])</f>
        <v>1994</v>
      </c>
      <c r="D459" s="15">
        <f t="shared" si="28"/>
        <v>28.094444444444445</v>
      </c>
      <c r="E459" s="12" t="s">
        <v>7</v>
      </c>
      <c r="F459" s="14">
        <v>44357</v>
      </c>
      <c r="G459" s="13">
        <f t="shared" si="29"/>
        <v>2021</v>
      </c>
      <c r="H459" s="30">
        <f t="shared" si="30"/>
        <v>6800000</v>
      </c>
      <c r="I459" s="39">
        <v>4</v>
      </c>
      <c r="J459">
        <f t="shared" si="31"/>
        <v>2</v>
      </c>
    </row>
    <row r="460" spans="1:10" x14ac:dyDescent="0.25">
      <c r="A460" s="16" t="s">
        <v>482</v>
      </c>
      <c r="B460" s="14">
        <v>35163</v>
      </c>
      <c r="C460" s="31">
        <f>YEAR(Table1[[#This Row],[Tanggal Lahir]])</f>
        <v>1996</v>
      </c>
      <c r="D460" s="15">
        <f t="shared" si="28"/>
        <v>26.466666666666665</v>
      </c>
      <c r="E460" s="12" t="s">
        <v>10</v>
      </c>
      <c r="F460" s="14">
        <v>41664</v>
      </c>
      <c r="G460" s="13">
        <f t="shared" si="29"/>
        <v>2014</v>
      </c>
      <c r="H460" s="30">
        <f t="shared" si="30"/>
        <v>9000000</v>
      </c>
      <c r="I460" s="39">
        <v>5</v>
      </c>
      <c r="J460">
        <f t="shared" si="31"/>
        <v>2</v>
      </c>
    </row>
    <row r="461" spans="1:10" x14ac:dyDescent="0.25">
      <c r="A461" s="16" t="s">
        <v>483</v>
      </c>
      <c r="B461" s="14">
        <v>36896</v>
      </c>
      <c r="C461" s="31">
        <f>YEAR(Table1[[#This Row],[Tanggal Lahir]])</f>
        <v>2001</v>
      </c>
      <c r="D461" s="15">
        <f t="shared" si="28"/>
        <v>21.725000000000001</v>
      </c>
      <c r="E461" s="12" t="s">
        <v>10</v>
      </c>
      <c r="F461" s="14">
        <v>44283</v>
      </c>
      <c r="G461" s="13">
        <f t="shared" si="29"/>
        <v>2021</v>
      </c>
      <c r="H461" s="30">
        <f t="shared" si="30"/>
        <v>6800000</v>
      </c>
      <c r="I461" s="39">
        <v>2</v>
      </c>
      <c r="J461">
        <f t="shared" si="31"/>
        <v>3</v>
      </c>
    </row>
    <row r="462" spans="1:10" x14ac:dyDescent="0.25">
      <c r="A462" s="16" t="s">
        <v>484</v>
      </c>
      <c r="B462" s="14">
        <v>35294</v>
      </c>
      <c r="C462" s="31">
        <f>YEAR(Table1[[#This Row],[Tanggal Lahir]])</f>
        <v>1996</v>
      </c>
      <c r="D462" s="15">
        <f t="shared" si="28"/>
        <v>26.108333333333334</v>
      </c>
      <c r="E462" s="12" t="s">
        <v>14</v>
      </c>
      <c r="F462" s="14">
        <v>38555</v>
      </c>
      <c r="G462" s="13">
        <f t="shared" si="29"/>
        <v>2005</v>
      </c>
      <c r="H462" s="30">
        <f t="shared" si="30"/>
        <v>18000000</v>
      </c>
      <c r="I462" s="39">
        <v>6</v>
      </c>
      <c r="J462">
        <f t="shared" si="31"/>
        <v>2</v>
      </c>
    </row>
    <row r="463" spans="1:10" x14ac:dyDescent="0.25">
      <c r="A463" s="16" t="s">
        <v>485</v>
      </c>
      <c r="B463" s="14">
        <v>36520</v>
      </c>
      <c r="C463" s="31">
        <f>YEAR(Table1[[#This Row],[Tanggal Lahir]])</f>
        <v>1999</v>
      </c>
      <c r="D463" s="15">
        <f t="shared" si="28"/>
        <v>22.75</v>
      </c>
      <c r="E463" s="12" t="s">
        <v>10</v>
      </c>
      <c r="F463" s="14">
        <v>41053</v>
      </c>
      <c r="G463" s="13">
        <f t="shared" si="29"/>
        <v>2012</v>
      </c>
      <c r="H463" s="30">
        <f t="shared" si="30"/>
        <v>13000000</v>
      </c>
      <c r="I463" s="39">
        <v>6</v>
      </c>
      <c r="J463">
        <f t="shared" si="31"/>
        <v>2</v>
      </c>
    </row>
    <row r="464" spans="1:10" x14ac:dyDescent="0.25">
      <c r="A464" s="16" t="s">
        <v>486</v>
      </c>
      <c r="B464" s="14">
        <v>36921</v>
      </c>
      <c r="C464" s="31">
        <f>YEAR(Table1[[#This Row],[Tanggal Lahir]])</f>
        <v>2001</v>
      </c>
      <c r="D464" s="15">
        <f t="shared" si="28"/>
        <v>21.655555555555555</v>
      </c>
      <c r="E464" s="12" t="s">
        <v>7</v>
      </c>
      <c r="F464" s="14">
        <v>43603</v>
      </c>
      <c r="G464" s="13">
        <f t="shared" si="29"/>
        <v>2019</v>
      </c>
      <c r="H464" s="30">
        <f t="shared" si="30"/>
        <v>9000000</v>
      </c>
      <c r="I464" s="39">
        <v>4</v>
      </c>
      <c r="J464">
        <f t="shared" si="31"/>
        <v>2</v>
      </c>
    </row>
    <row r="465" spans="1:10" x14ac:dyDescent="0.25">
      <c r="A465" s="16" t="s">
        <v>487</v>
      </c>
      <c r="B465" s="14">
        <v>35489</v>
      </c>
      <c r="C465" s="31">
        <f>YEAR(Table1[[#This Row],[Tanggal Lahir]])</f>
        <v>1997</v>
      </c>
      <c r="D465" s="15">
        <f t="shared" si="28"/>
        <v>25.572222222222223</v>
      </c>
      <c r="E465" s="12" t="s">
        <v>7</v>
      </c>
      <c r="F465" s="14">
        <v>43086</v>
      </c>
      <c r="G465" s="13">
        <f t="shared" si="29"/>
        <v>2017</v>
      </c>
      <c r="H465" s="30">
        <f t="shared" si="30"/>
        <v>9000000</v>
      </c>
      <c r="I465" s="39">
        <v>1</v>
      </c>
      <c r="J465">
        <f t="shared" si="31"/>
        <v>2</v>
      </c>
    </row>
    <row r="466" spans="1:10" x14ac:dyDescent="0.25">
      <c r="A466" s="16" t="s">
        <v>488</v>
      </c>
      <c r="B466" s="14">
        <v>36278</v>
      </c>
      <c r="C466" s="31">
        <f>YEAR(Table1[[#This Row],[Tanggal Lahir]])</f>
        <v>1999</v>
      </c>
      <c r="D466" s="15">
        <f t="shared" si="28"/>
        <v>23.411111111111111</v>
      </c>
      <c r="E466" s="12" t="s">
        <v>10</v>
      </c>
      <c r="F466" s="14">
        <v>42403</v>
      </c>
      <c r="G466" s="13">
        <f t="shared" si="29"/>
        <v>2016</v>
      </c>
      <c r="H466" s="30">
        <f t="shared" si="30"/>
        <v>9000000</v>
      </c>
      <c r="I466" s="39">
        <v>2</v>
      </c>
      <c r="J466">
        <f t="shared" si="31"/>
        <v>2</v>
      </c>
    </row>
    <row r="467" spans="1:10" x14ac:dyDescent="0.25">
      <c r="A467" s="16" t="s">
        <v>489</v>
      </c>
      <c r="B467" s="14">
        <v>35508</v>
      </c>
      <c r="C467" s="31">
        <f>YEAR(Table1[[#This Row],[Tanggal Lahir]])</f>
        <v>1997</v>
      </c>
      <c r="D467" s="15">
        <f t="shared" si="28"/>
        <v>25.519444444444446</v>
      </c>
      <c r="E467" s="12" t="s">
        <v>10</v>
      </c>
      <c r="F467" s="14">
        <v>44664</v>
      </c>
      <c r="G467" s="13">
        <f t="shared" si="29"/>
        <v>2022</v>
      </c>
      <c r="H467" s="30">
        <f t="shared" si="30"/>
        <v>6800000</v>
      </c>
      <c r="I467" s="39">
        <v>2</v>
      </c>
      <c r="J467">
        <f t="shared" si="31"/>
        <v>2</v>
      </c>
    </row>
    <row r="468" spans="1:10" x14ac:dyDescent="0.25">
      <c r="A468" s="16" t="s">
        <v>490</v>
      </c>
      <c r="B468" s="14">
        <v>35885</v>
      </c>
      <c r="C468" s="31">
        <f>YEAR(Table1[[#This Row],[Tanggal Lahir]])</f>
        <v>1998</v>
      </c>
      <c r="D468" s="15">
        <f t="shared" si="28"/>
        <v>24.488888888888887</v>
      </c>
      <c r="E468" s="12" t="s">
        <v>10</v>
      </c>
      <c r="F468" s="14">
        <v>44099</v>
      </c>
      <c r="G468" s="13">
        <f t="shared" si="29"/>
        <v>2020</v>
      </c>
      <c r="H468" s="30">
        <f t="shared" si="30"/>
        <v>6800000</v>
      </c>
      <c r="I468" s="39">
        <v>5</v>
      </c>
      <c r="J468">
        <f t="shared" si="31"/>
        <v>3</v>
      </c>
    </row>
    <row r="469" spans="1:10" x14ac:dyDescent="0.25">
      <c r="A469" s="16" t="s">
        <v>491</v>
      </c>
      <c r="B469" s="14">
        <v>37926</v>
      </c>
      <c r="C469" s="31">
        <f>YEAR(Table1[[#This Row],[Tanggal Lahir]])</f>
        <v>2003</v>
      </c>
      <c r="D469" s="15">
        <f t="shared" si="28"/>
        <v>18.902777777777779</v>
      </c>
      <c r="E469" s="12" t="s">
        <v>7</v>
      </c>
      <c r="F469" s="14">
        <v>40865</v>
      </c>
      <c r="G469" s="13">
        <f t="shared" si="29"/>
        <v>2011</v>
      </c>
      <c r="H469" s="30">
        <f t="shared" si="30"/>
        <v>13000000</v>
      </c>
      <c r="I469" s="39">
        <v>3</v>
      </c>
      <c r="J469">
        <f t="shared" si="31"/>
        <v>2</v>
      </c>
    </row>
    <row r="470" spans="1:10" x14ac:dyDescent="0.25">
      <c r="A470" s="16" t="s">
        <v>492</v>
      </c>
      <c r="B470" s="14">
        <v>35929</v>
      </c>
      <c r="C470" s="31">
        <f>YEAR(Table1[[#This Row],[Tanggal Lahir]])</f>
        <v>1998</v>
      </c>
      <c r="D470" s="15">
        <f t="shared" si="28"/>
        <v>24.366666666666667</v>
      </c>
      <c r="E470" s="12" t="s">
        <v>7</v>
      </c>
      <c r="F470" s="14">
        <v>39969</v>
      </c>
      <c r="G470" s="13">
        <f t="shared" si="29"/>
        <v>2009</v>
      </c>
      <c r="H470" s="30">
        <f t="shared" si="30"/>
        <v>13000000</v>
      </c>
      <c r="I470" s="39">
        <v>2</v>
      </c>
      <c r="J470">
        <f t="shared" si="31"/>
        <v>2</v>
      </c>
    </row>
    <row r="471" spans="1:10" x14ac:dyDescent="0.25">
      <c r="A471" s="16" t="s">
        <v>493</v>
      </c>
      <c r="B471" s="14">
        <v>35750</v>
      </c>
      <c r="C471" s="31">
        <f>YEAR(Table1[[#This Row],[Tanggal Lahir]])</f>
        <v>1997</v>
      </c>
      <c r="D471" s="15">
        <f t="shared" si="28"/>
        <v>24.861111111111111</v>
      </c>
      <c r="E471" s="12" t="s">
        <v>10</v>
      </c>
      <c r="F471" s="14">
        <v>43419</v>
      </c>
      <c r="G471" s="13">
        <f t="shared" si="29"/>
        <v>2018</v>
      </c>
      <c r="H471" s="30">
        <f t="shared" si="30"/>
        <v>9000000</v>
      </c>
      <c r="I471" s="39">
        <v>6</v>
      </c>
      <c r="J471">
        <f t="shared" si="31"/>
        <v>2</v>
      </c>
    </row>
    <row r="472" spans="1:10" x14ac:dyDescent="0.25">
      <c r="A472" s="16" t="s">
        <v>494</v>
      </c>
      <c r="B472" s="14">
        <v>36811</v>
      </c>
      <c r="C472" s="31">
        <f>YEAR(Table1[[#This Row],[Tanggal Lahir]])</f>
        <v>2000</v>
      </c>
      <c r="D472" s="15">
        <f t="shared" si="28"/>
        <v>21.955555555555556</v>
      </c>
      <c r="E472" s="12" t="s">
        <v>10</v>
      </c>
      <c r="F472" s="14">
        <v>40205</v>
      </c>
      <c r="G472" s="13">
        <f t="shared" si="29"/>
        <v>2010</v>
      </c>
      <c r="H472" s="30">
        <f t="shared" si="30"/>
        <v>13000000</v>
      </c>
      <c r="I472" s="39">
        <v>2</v>
      </c>
      <c r="J472">
        <f t="shared" si="31"/>
        <v>2</v>
      </c>
    </row>
    <row r="473" spans="1:10" x14ac:dyDescent="0.25">
      <c r="A473" s="16" t="s">
        <v>495</v>
      </c>
      <c r="B473" s="14">
        <v>34525</v>
      </c>
      <c r="C473" s="31">
        <f>YEAR(Table1[[#This Row],[Tanggal Lahir]])</f>
        <v>1994</v>
      </c>
      <c r="D473" s="15">
        <f t="shared" si="28"/>
        <v>28.211111111111112</v>
      </c>
      <c r="E473" s="12" t="s">
        <v>10</v>
      </c>
      <c r="F473" s="14">
        <v>44651</v>
      </c>
      <c r="G473" s="13">
        <f t="shared" si="29"/>
        <v>2022</v>
      </c>
      <c r="H473" s="30">
        <f t="shared" si="30"/>
        <v>6800000</v>
      </c>
      <c r="I473" s="39">
        <v>1</v>
      </c>
      <c r="J473">
        <f t="shared" si="31"/>
        <v>3</v>
      </c>
    </row>
    <row r="474" spans="1:10" x14ac:dyDescent="0.25">
      <c r="A474" s="16" t="s">
        <v>496</v>
      </c>
      <c r="B474" s="14">
        <v>37841</v>
      </c>
      <c r="C474" s="31">
        <f>YEAR(Table1[[#This Row],[Tanggal Lahir]])</f>
        <v>2003</v>
      </c>
      <c r="D474" s="15">
        <f t="shared" si="28"/>
        <v>19.133333333333333</v>
      </c>
      <c r="E474" s="12" t="s">
        <v>7</v>
      </c>
      <c r="F474" s="14">
        <v>42898</v>
      </c>
      <c r="G474" s="13">
        <f t="shared" si="29"/>
        <v>2017</v>
      </c>
      <c r="H474" s="30">
        <f t="shared" si="30"/>
        <v>9000000</v>
      </c>
      <c r="I474" s="39">
        <v>4</v>
      </c>
      <c r="J474">
        <f t="shared" si="31"/>
        <v>2</v>
      </c>
    </row>
    <row r="475" spans="1:10" x14ac:dyDescent="0.25">
      <c r="A475" s="16" t="s">
        <v>497</v>
      </c>
      <c r="B475" s="14">
        <v>35831</v>
      </c>
      <c r="C475" s="31">
        <f>YEAR(Table1[[#This Row],[Tanggal Lahir]])</f>
        <v>1998</v>
      </c>
      <c r="D475" s="15">
        <f t="shared" si="28"/>
        <v>24.641666666666666</v>
      </c>
      <c r="E475" s="12" t="s">
        <v>14</v>
      </c>
      <c r="F475" s="14">
        <v>44096</v>
      </c>
      <c r="G475" s="13">
        <f t="shared" si="29"/>
        <v>2020</v>
      </c>
      <c r="H475" s="30">
        <f t="shared" si="30"/>
        <v>6800000</v>
      </c>
      <c r="I475" s="39">
        <v>5</v>
      </c>
      <c r="J475">
        <f t="shared" si="31"/>
        <v>2</v>
      </c>
    </row>
    <row r="476" spans="1:10" x14ac:dyDescent="0.25">
      <c r="A476" s="16" t="s">
        <v>498</v>
      </c>
      <c r="B476" s="14">
        <v>36186</v>
      </c>
      <c r="C476" s="31">
        <f>YEAR(Table1[[#This Row],[Tanggal Lahir]])</f>
        <v>1999</v>
      </c>
      <c r="D476" s="15">
        <f t="shared" si="28"/>
        <v>23.666666666666668</v>
      </c>
      <c r="E476" s="12" t="s">
        <v>10</v>
      </c>
      <c r="F476" s="14">
        <v>43124</v>
      </c>
      <c r="G476" s="13">
        <f t="shared" si="29"/>
        <v>2018</v>
      </c>
      <c r="H476" s="30">
        <f t="shared" si="30"/>
        <v>9000000</v>
      </c>
      <c r="I476" s="39">
        <v>2</v>
      </c>
      <c r="J476">
        <f t="shared" si="31"/>
        <v>3</v>
      </c>
    </row>
    <row r="477" spans="1:10" x14ac:dyDescent="0.25">
      <c r="A477" s="16" t="s">
        <v>499</v>
      </c>
      <c r="B477" s="14">
        <v>35686</v>
      </c>
      <c r="C477" s="31">
        <f>YEAR(Table1[[#This Row],[Tanggal Lahir]])</f>
        <v>1997</v>
      </c>
      <c r="D477" s="15">
        <f t="shared" si="28"/>
        <v>25.036111111111111</v>
      </c>
      <c r="E477" s="12" t="s">
        <v>10</v>
      </c>
      <c r="F477" s="14">
        <v>39724</v>
      </c>
      <c r="G477" s="13">
        <f t="shared" si="29"/>
        <v>2008</v>
      </c>
      <c r="H477" s="30">
        <f t="shared" si="30"/>
        <v>18000000</v>
      </c>
      <c r="I477" s="39">
        <v>6</v>
      </c>
      <c r="J477">
        <f t="shared" si="31"/>
        <v>2</v>
      </c>
    </row>
    <row r="478" spans="1:10" x14ac:dyDescent="0.25">
      <c r="A478" s="16" t="s">
        <v>500</v>
      </c>
      <c r="B478" s="14">
        <v>37006</v>
      </c>
      <c r="C478" s="31">
        <f>YEAR(Table1[[#This Row],[Tanggal Lahir]])</f>
        <v>2001</v>
      </c>
      <c r="D478" s="15">
        <f t="shared" si="28"/>
        <v>21.419444444444444</v>
      </c>
      <c r="E478" s="12" t="s">
        <v>10</v>
      </c>
      <c r="F478" s="14">
        <v>41546</v>
      </c>
      <c r="G478" s="13">
        <f t="shared" si="29"/>
        <v>2013</v>
      </c>
      <c r="H478" s="30">
        <f t="shared" si="30"/>
        <v>13000000</v>
      </c>
      <c r="I478" s="39">
        <v>5</v>
      </c>
      <c r="J478">
        <f t="shared" si="31"/>
        <v>3</v>
      </c>
    </row>
    <row r="479" spans="1:10" x14ac:dyDescent="0.25">
      <c r="A479" s="16" t="s">
        <v>501</v>
      </c>
      <c r="B479" s="14">
        <v>34607</v>
      </c>
      <c r="C479" s="31">
        <f>YEAR(Table1[[#This Row],[Tanggal Lahir]])</f>
        <v>1994</v>
      </c>
      <c r="D479" s="15">
        <f t="shared" si="28"/>
        <v>27.988888888888887</v>
      </c>
      <c r="E479" s="12" t="s">
        <v>14</v>
      </c>
      <c r="F479" s="14">
        <v>39795</v>
      </c>
      <c r="G479" s="13">
        <f t="shared" si="29"/>
        <v>2008</v>
      </c>
      <c r="H479" s="30">
        <f t="shared" si="30"/>
        <v>18000000</v>
      </c>
      <c r="I479" s="39">
        <v>1</v>
      </c>
      <c r="J479">
        <f t="shared" si="31"/>
        <v>2</v>
      </c>
    </row>
    <row r="480" spans="1:10" x14ac:dyDescent="0.25">
      <c r="A480" s="16" t="s">
        <v>502</v>
      </c>
      <c r="B480" s="14">
        <v>36455</v>
      </c>
      <c r="C480" s="31">
        <f>YEAR(Table1[[#This Row],[Tanggal Lahir]])</f>
        <v>1999</v>
      </c>
      <c r="D480" s="15">
        <f t="shared" si="28"/>
        <v>22.927777777777777</v>
      </c>
      <c r="E480" s="12" t="s">
        <v>7</v>
      </c>
      <c r="F480" s="14">
        <v>39066</v>
      </c>
      <c r="G480" s="13">
        <f t="shared" si="29"/>
        <v>2006</v>
      </c>
      <c r="H480" s="30">
        <f t="shared" si="30"/>
        <v>18000000</v>
      </c>
      <c r="I480" s="39">
        <v>3</v>
      </c>
      <c r="J480">
        <f t="shared" si="31"/>
        <v>2</v>
      </c>
    </row>
    <row r="481" spans="1:10" x14ac:dyDescent="0.25">
      <c r="A481" s="16" t="s">
        <v>503</v>
      </c>
      <c r="B481" s="14">
        <v>35355</v>
      </c>
      <c r="C481" s="31">
        <f>YEAR(Table1[[#This Row],[Tanggal Lahir]])</f>
        <v>1996</v>
      </c>
      <c r="D481" s="15">
        <f t="shared" si="28"/>
        <v>25.941666666666666</v>
      </c>
      <c r="E481" s="12" t="s">
        <v>10</v>
      </c>
      <c r="F481" s="14">
        <v>38474</v>
      </c>
      <c r="G481" s="13">
        <f t="shared" si="29"/>
        <v>2005</v>
      </c>
      <c r="H481" s="30">
        <f t="shared" si="30"/>
        <v>18000000</v>
      </c>
      <c r="I481" s="39">
        <v>1</v>
      </c>
      <c r="J481">
        <f t="shared" si="31"/>
        <v>2</v>
      </c>
    </row>
    <row r="482" spans="1:10" x14ac:dyDescent="0.25">
      <c r="A482" s="16" t="s">
        <v>504</v>
      </c>
      <c r="B482" s="14">
        <v>37661</v>
      </c>
      <c r="C482" s="31">
        <f>YEAR(Table1[[#This Row],[Tanggal Lahir]])</f>
        <v>2003</v>
      </c>
      <c r="D482" s="15">
        <f t="shared" si="28"/>
        <v>19.630555555555556</v>
      </c>
      <c r="E482" s="12" t="s">
        <v>10</v>
      </c>
      <c r="F482" s="14">
        <v>41405</v>
      </c>
      <c r="G482" s="13">
        <f t="shared" si="29"/>
        <v>2013</v>
      </c>
      <c r="H482" s="30">
        <f t="shared" si="30"/>
        <v>13000000</v>
      </c>
      <c r="I482" s="39">
        <v>4</v>
      </c>
      <c r="J482">
        <f t="shared" si="31"/>
        <v>2</v>
      </c>
    </row>
    <row r="483" spans="1:10" x14ac:dyDescent="0.25">
      <c r="A483" s="16" t="s">
        <v>505</v>
      </c>
      <c r="B483" s="14">
        <v>35159</v>
      </c>
      <c r="C483" s="31">
        <f>YEAR(Table1[[#This Row],[Tanggal Lahir]])</f>
        <v>1996</v>
      </c>
      <c r="D483" s="15">
        <f t="shared" si="28"/>
        <v>26.477777777777778</v>
      </c>
      <c r="E483" s="12" t="s">
        <v>14</v>
      </c>
      <c r="F483" s="14">
        <v>42298</v>
      </c>
      <c r="G483" s="13">
        <f t="shared" si="29"/>
        <v>2015</v>
      </c>
      <c r="H483" s="30">
        <f t="shared" si="30"/>
        <v>9000000</v>
      </c>
      <c r="I483" s="39">
        <v>1</v>
      </c>
      <c r="J483">
        <f t="shared" si="31"/>
        <v>2</v>
      </c>
    </row>
    <row r="484" spans="1:10" x14ac:dyDescent="0.25">
      <c r="A484" s="16" t="s">
        <v>506</v>
      </c>
      <c r="B484" s="14">
        <v>36850</v>
      </c>
      <c r="C484" s="31">
        <f>YEAR(Table1[[#This Row],[Tanggal Lahir]])</f>
        <v>2000</v>
      </c>
      <c r="D484" s="15">
        <f t="shared" si="28"/>
        <v>21.85</v>
      </c>
      <c r="E484" s="12" t="s">
        <v>10</v>
      </c>
      <c r="F484" s="14">
        <v>41468</v>
      </c>
      <c r="G484" s="13">
        <f t="shared" si="29"/>
        <v>2013</v>
      </c>
      <c r="H484" s="30">
        <f t="shared" si="30"/>
        <v>13000000</v>
      </c>
      <c r="I484" s="39">
        <v>6</v>
      </c>
      <c r="J484">
        <f t="shared" si="31"/>
        <v>2</v>
      </c>
    </row>
    <row r="485" spans="1:10" x14ac:dyDescent="0.25">
      <c r="A485" s="16" t="s">
        <v>507</v>
      </c>
      <c r="B485" s="14">
        <v>35394</v>
      </c>
      <c r="C485" s="31">
        <f>YEAR(Table1[[#This Row],[Tanggal Lahir]])</f>
        <v>1996</v>
      </c>
      <c r="D485" s="15">
        <f t="shared" si="28"/>
        <v>25.836111111111112</v>
      </c>
      <c r="E485" s="12" t="s">
        <v>14</v>
      </c>
      <c r="F485" s="14">
        <v>41989</v>
      </c>
      <c r="G485" s="13">
        <f t="shared" si="29"/>
        <v>2014</v>
      </c>
      <c r="H485" s="30">
        <f t="shared" si="30"/>
        <v>9000000</v>
      </c>
      <c r="I485" s="39">
        <v>3</v>
      </c>
      <c r="J485">
        <f t="shared" si="31"/>
        <v>2</v>
      </c>
    </row>
    <row r="486" spans="1:10" x14ac:dyDescent="0.25">
      <c r="A486" s="16" t="s">
        <v>508</v>
      </c>
      <c r="B486" s="14">
        <v>36819</v>
      </c>
      <c r="C486" s="31">
        <f>YEAR(Table1[[#This Row],[Tanggal Lahir]])</f>
        <v>2000</v>
      </c>
      <c r="D486" s="15">
        <f t="shared" si="28"/>
        <v>21.933333333333334</v>
      </c>
      <c r="E486" s="12" t="s">
        <v>10</v>
      </c>
      <c r="F486" s="14">
        <v>40292</v>
      </c>
      <c r="G486" s="13">
        <f t="shared" si="29"/>
        <v>2010</v>
      </c>
      <c r="H486" s="30">
        <f t="shared" si="30"/>
        <v>13000000</v>
      </c>
      <c r="I486" s="39">
        <v>1</v>
      </c>
      <c r="J486">
        <f t="shared" si="31"/>
        <v>2</v>
      </c>
    </row>
    <row r="487" spans="1:10" x14ac:dyDescent="0.25">
      <c r="A487" s="16" t="s">
        <v>509</v>
      </c>
      <c r="B487" s="14">
        <v>37911</v>
      </c>
      <c r="C487" s="31">
        <f>YEAR(Table1[[#This Row],[Tanggal Lahir]])</f>
        <v>2003</v>
      </c>
      <c r="D487" s="15">
        <f t="shared" si="28"/>
        <v>18.941666666666666</v>
      </c>
      <c r="E487" s="12" t="s">
        <v>7</v>
      </c>
      <c r="F487" s="14">
        <v>43320</v>
      </c>
      <c r="G487" s="13">
        <f t="shared" si="29"/>
        <v>2018</v>
      </c>
      <c r="H487" s="30">
        <f t="shared" si="30"/>
        <v>9000000</v>
      </c>
      <c r="I487" s="39">
        <v>2</v>
      </c>
      <c r="J487">
        <f t="shared" si="31"/>
        <v>2</v>
      </c>
    </row>
    <row r="488" spans="1:10" x14ac:dyDescent="0.25">
      <c r="A488" s="16" t="s">
        <v>510</v>
      </c>
      <c r="B488" s="14">
        <v>37165</v>
      </c>
      <c r="C488" s="31">
        <f>YEAR(Table1[[#This Row],[Tanggal Lahir]])</f>
        <v>2001</v>
      </c>
      <c r="D488" s="15">
        <f t="shared" si="28"/>
        <v>20.986111111111111</v>
      </c>
      <c r="E488" s="12" t="s">
        <v>14</v>
      </c>
      <c r="F488" s="14">
        <v>39406</v>
      </c>
      <c r="G488" s="13">
        <f t="shared" si="29"/>
        <v>2007</v>
      </c>
      <c r="H488" s="30">
        <f t="shared" si="30"/>
        <v>18000000</v>
      </c>
      <c r="I488" s="39">
        <v>4</v>
      </c>
      <c r="J488">
        <f t="shared" si="31"/>
        <v>2</v>
      </c>
    </row>
    <row r="489" spans="1:10" x14ac:dyDescent="0.25">
      <c r="A489" s="16" t="s">
        <v>511</v>
      </c>
      <c r="B489" s="14">
        <v>36149</v>
      </c>
      <c r="C489" s="31">
        <f>YEAR(Table1[[#This Row],[Tanggal Lahir]])</f>
        <v>1998</v>
      </c>
      <c r="D489" s="15">
        <f t="shared" si="28"/>
        <v>23.766666666666666</v>
      </c>
      <c r="E489" s="12" t="s">
        <v>14</v>
      </c>
      <c r="F489" s="14">
        <v>40956</v>
      </c>
      <c r="G489" s="13">
        <f t="shared" si="29"/>
        <v>2012</v>
      </c>
      <c r="H489" s="30">
        <f t="shared" si="30"/>
        <v>13000000</v>
      </c>
      <c r="I489" s="39">
        <v>6</v>
      </c>
      <c r="J489">
        <f t="shared" si="31"/>
        <v>2</v>
      </c>
    </row>
    <row r="490" spans="1:10" x14ac:dyDescent="0.25">
      <c r="A490" s="16" t="s">
        <v>512</v>
      </c>
      <c r="B490" s="14">
        <v>36033</v>
      </c>
      <c r="C490" s="31">
        <f>YEAR(Table1[[#This Row],[Tanggal Lahir]])</f>
        <v>1998</v>
      </c>
      <c r="D490" s="15">
        <f t="shared" si="28"/>
        <v>24.083333333333332</v>
      </c>
      <c r="E490" s="12" t="s">
        <v>14</v>
      </c>
      <c r="F490" s="14">
        <v>44630</v>
      </c>
      <c r="G490" s="13">
        <f t="shared" si="29"/>
        <v>2022</v>
      </c>
      <c r="H490" s="30">
        <f t="shared" si="30"/>
        <v>6800000</v>
      </c>
      <c r="I490" s="39">
        <v>1</v>
      </c>
      <c r="J490">
        <f t="shared" si="31"/>
        <v>3</v>
      </c>
    </row>
    <row r="491" spans="1:10" x14ac:dyDescent="0.25">
      <c r="A491" s="16" t="s">
        <v>513</v>
      </c>
      <c r="B491" s="14">
        <v>35902</v>
      </c>
      <c r="C491" s="31">
        <f>YEAR(Table1[[#This Row],[Tanggal Lahir]])</f>
        <v>1998</v>
      </c>
      <c r="D491" s="15">
        <f t="shared" si="28"/>
        <v>24.441666666666666</v>
      </c>
      <c r="E491" s="12" t="s">
        <v>14</v>
      </c>
      <c r="F491" s="14">
        <v>39056</v>
      </c>
      <c r="G491" s="13">
        <f t="shared" si="29"/>
        <v>2006</v>
      </c>
      <c r="H491" s="30">
        <f t="shared" si="30"/>
        <v>18000000</v>
      </c>
      <c r="I491" s="39">
        <v>5</v>
      </c>
      <c r="J491">
        <f t="shared" si="31"/>
        <v>2</v>
      </c>
    </row>
    <row r="492" spans="1:10" x14ac:dyDescent="0.25">
      <c r="A492" s="16" t="s">
        <v>514</v>
      </c>
      <c r="B492" s="14">
        <v>34531</v>
      </c>
      <c r="C492" s="31">
        <f>YEAR(Table1[[#This Row],[Tanggal Lahir]])</f>
        <v>1994</v>
      </c>
      <c r="D492" s="15">
        <f t="shared" si="28"/>
        <v>28.194444444444443</v>
      </c>
      <c r="E492" s="12" t="s">
        <v>10</v>
      </c>
      <c r="F492" s="14">
        <v>43104</v>
      </c>
      <c r="G492" s="13">
        <f t="shared" si="29"/>
        <v>2018</v>
      </c>
      <c r="H492" s="30">
        <f t="shared" si="30"/>
        <v>9000000</v>
      </c>
      <c r="I492" s="39">
        <v>2</v>
      </c>
      <c r="J492">
        <f t="shared" si="31"/>
        <v>2</v>
      </c>
    </row>
    <row r="493" spans="1:10" x14ac:dyDescent="0.25">
      <c r="A493" s="16" t="s">
        <v>515</v>
      </c>
      <c r="B493" s="14">
        <v>37215</v>
      </c>
      <c r="C493" s="31">
        <f>YEAR(Table1[[#This Row],[Tanggal Lahir]])</f>
        <v>2001</v>
      </c>
      <c r="D493" s="15">
        <f t="shared" si="28"/>
        <v>20.85</v>
      </c>
      <c r="E493" s="12" t="s">
        <v>10</v>
      </c>
      <c r="F493" s="14">
        <v>39413</v>
      </c>
      <c r="G493" s="13">
        <f t="shared" si="29"/>
        <v>2007</v>
      </c>
      <c r="H493" s="30">
        <f t="shared" si="30"/>
        <v>18000000</v>
      </c>
      <c r="I493" s="39">
        <v>1</v>
      </c>
      <c r="J493">
        <f t="shared" si="31"/>
        <v>2</v>
      </c>
    </row>
    <row r="494" spans="1:10" x14ac:dyDescent="0.25">
      <c r="A494" s="16" t="s">
        <v>516</v>
      </c>
      <c r="B494" s="14">
        <v>35430</v>
      </c>
      <c r="C494" s="31">
        <f>YEAR(Table1[[#This Row],[Tanggal Lahir]])</f>
        <v>1996</v>
      </c>
      <c r="D494" s="15">
        <f t="shared" si="28"/>
        <v>25.738888888888887</v>
      </c>
      <c r="E494" s="12" t="s">
        <v>10</v>
      </c>
      <c r="F494" s="14">
        <v>38564</v>
      </c>
      <c r="G494" s="13">
        <f t="shared" si="29"/>
        <v>2005</v>
      </c>
      <c r="H494" s="30">
        <f t="shared" si="30"/>
        <v>18000000</v>
      </c>
      <c r="I494" s="39">
        <v>1</v>
      </c>
      <c r="J494">
        <f t="shared" si="31"/>
        <v>2</v>
      </c>
    </row>
    <row r="495" spans="1:10" x14ac:dyDescent="0.25">
      <c r="A495" s="16" t="s">
        <v>517</v>
      </c>
      <c r="B495" s="14">
        <v>34726</v>
      </c>
      <c r="C495" s="31">
        <f>YEAR(Table1[[#This Row],[Tanggal Lahir]])</f>
        <v>1995</v>
      </c>
      <c r="D495" s="15">
        <f t="shared" si="28"/>
        <v>27.663888888888888</v>
      </c>
      <c r="E495" s="12" t="s">
        <v>14</v>
      </c>
      <c r="F495" s="14">
        <v>40212</v>
      </c>
      <c r="G495" s="13">
        <f t="shared" si="29"/>
        <v>2010</v>
      </c>
      <c r="H495" s="30">
        <f t="shared" si="30"/>
        <v>13000000</v>
      </c>
      <c r="I495" s="39">
        <v>1</v>
      </c>
      <c r="J495">
        <f t="shared" si="31"/>
        <v>2</v>
      </c>
    </row>
    <row r="496" spans="1:10" x14ac:dyDescent="0.25">
      <c r="A496" s="16" t="s">
        <v>518</v>
      </c>
      <c r="B496" s="14">
        <v>36970</v>
      </c>
      <c r="C496" s="31">
        <f>YEAR(Table1[[#This Row],[Tanggal Lahir]])</f>
        <v>2001</v>
      </c>
      <c r="D496" s="15">
        <f t="shared" si="28"/>
        <v>21.516666666666666</v>
      </c>
      <c r="E496" s="12" t="s">
        <v>7</v>
      </c>
      <c r="F496" s="14">
        <v>44645</v>
      </c>
      <c r="G496" s="13">
        <f t="shared" si="29"/>
        <v>2022</v>
      </c>
      <c r="H496" s="30">
        <f t="shared" si="30"/>
        <v>6800000</v>
      </c>
      <c r="I496" s="39">
        <v>4</v>
      </c>
      <c r="J496">
        <f t="shared" si="31"/>
        <v>2</v>
      </c>
    </row>
    <row r="497" spans="1:10" x14ac:dyDescent="0.25">
      <c r="A497" s="16" t="s">
        <v>519</v>
      </c>
      <c r="B497" s="14">
        <v>35573</v>
      </c>
      <c r="C497" s="31">
        <f>YEAR(Table1[[#This Row],[Tanggal Lahir]])</f>
        <v>1997</v>
      </c>
      <c r="D497" s="15">
        <f t="shared" si="28"/>
        <v>25.341666666666665</v>
      </c>
      <c r="E497" s="12" t="s">
        <v>10</v>
      </c>
      <c r="F497" s="14">
        <v>40315</v>
      </c>
      <c r="G497" s="13">
        <f t="shared" si="29"/>
        <v>2010</v>
      </c>
      <c r="H497" s="30">
        <f t="shared" si="30"/>
        <v>13000000</v>
      </c>
      <c r="I497" s="39">
        <v>5</v>
      </c>
      <c r="J497">
        <f t="shared" si="31"/>
        <v>2</v>
      </c>
    </row>
    <row r="498" spans="1:10" x14ac:dyDescent="0.25">
      <c r="A498" s="16" t="s">
        <v>520</v>
      </c>
      <c r="B498" s="14">
        <v>37398</v>
      </c>
      <c r="C498" s="31">
        <f>YEAR(Table1[[#This Row],[Tanggal Lahir]])</f>
        <v>2002</v>
      </c>
      <c r="D498" s="15">
        <f t="shared" si="28"/>
        <v>20.344444444444445</v>
      </c>
      <c r="E498" s="12" t="s">
        <v>10</v>
      </c>
      <c r="F498" s="14">
        <v>41898</v>
      </c>
      <c r="G498" s="13">
        <f t="shared" si="29"/>
        <v>2014</v>
      </c>
      <c r="H498" s="30">
        <f t="shared" si="30"/>
        <v>9000000</v>
      </c>
      <c r="I498" s="39">
        <v>5</v>
      </c>
      <c r="J498">
        <f t="shared" si="31"/>
        <v>3</v>
      </c>
    </row>
    <row r="499" spans="1:10" x14ac:dyDescent="0.25">
      <c r="A499" s="16" t="s">
        <v>521</v>
      </c>
      <c r="B499" s="14">
        <v>35125</v>
      </c>
      <c r="C499" s="31">
        <f>YEAR(Table1[[#This Row],[Tanggal Lahir]])</f>
        <v>1996</v>
      </c>
      <c r="D499" s="15">
        <f t="shared" si="28"/>
        <v>26.569444444444443</v>
      </c>
      <c r="E499" s="12" t="s">
        <v>7</v>
      </c>
      <c r="F499" s="14">
        <v>41084</v>
      </c>
      <c r="G499" s="13">
        <f t="shared" si="29"/>
        <v>2012</v>
      </c>
      <c r="H499" s="30">
        <f t="shared" si="30"/>
        <v>13000000</v>
      </c>
      <c r="I499" s="39">
        <v>3</v>
      </c>
      <c r="J499">
        <f t="shared" si="31"/>
        <v>2</v>
      </c>
    </row>
    <row r="500" spans="1:10" x14ac:dyDescent="0.25">
      <c r="A500" s="16" t="s">
        <v>522</v>
      </c>
      <c r="B500" s="14">
        <v>37450</v>
      </c>
      <c r="C500" s="31">
        <f>YEAR(Table1[[#This Row],[Tanggal Lahir]])</f>
        <v>2002</v>
      </c>
      <c r="D500" s="15">
        <f t="shared" si="28"/>
        <v>20.202777777777779</v>
      </c>
      <c r="E500" s="12" t="s">
        <v>7</v>
      </c>
      <c r="F500" s="14">
        <v>41272</v>
      </c>
      <c r="G500" s="13">
        <f t="shared" si="29"/>
        <v>2012</v>
      </c>
      <c r="H500" s="30">
        <f t="shared" si="30"/>
        <v>13000000</v>
      </c>
      <c r="I500" s="39">
        <v>6</v>
      </c>
      <c r="J500">
        <f t="shared" si="31"/>
        <v>2</v>
      </c>
    </row>
    <row r="501" spans="1:10" x14ac:dyDescent="0.25">
      <c r="A501" s="16" t="s">
        <v>523</v>
      </c>
      <c r="B501" s="14">
        <v>35446</v>
      </c>
      <c r="C501" s="31">
        <f>YEAR(Table1[[#This Row],[Tanggal Lahir]])</f>
        <v>1997</v>
      </c>
      <c r="D501" s="15">
        <f t="shared" si="28"/>
        <v>25.694444444444443</v>
      </c>
      <c r="E501" s="12" t="s">
        <v>83</v>
      </c>
      <c r="F501" s="14">
        <v>40940</v>
      </c>
      <c r="G501" s="13">
        <f t="shared" si="29"/>
        <v>2012</v>
      </c>
      <c r="H501" s="30">
        <f t="shared" si="30"/>
        <v>13000000</v>
      </c>
      <c r="I501" s="39">
        <v>5</v>
      </c>
      <c r="J501">
        <f t="shared" si="31"/>
        <v>2</v>
      </c>
    </row>
    <row r="502" spans="1:10" x14ac:dyDescent="0.25">
      <c r="A502" s="16" t="s">
        <v>524</v>
      </c>
      <c r="B502" s="14">
        <v>36793</v>
      </c>
      <c r="C502" s="31">
        <f>YEAR(Table1[[#This Row],[Tanggal Lahir]])</f>
        <v>2000</v>
      </c>
      <c r="D502" s="15">
        <f t="shared" si="28"/>
        <v>22.005555555555556</v>
      </c>
      <c r="E502" s="12" t="s">
        <v>10</v>
      </c>
      <c r="F502" s="14">
        <v>44182</v>
      </c>
      <c r="G502" s="13">
        <f t="shared" si="29"/>
        <v>2020</v>
      </c>
      <c r="H502" s="30">
        <f t="shared" si="30"/>
        <v>6800000</v>
      </c>
      <c r="I502" s="39">
        <v>3</v>
      </c>
      <c r="J502">
        <f t="shared" si="31"/>
        <v>4</v>
      </c>
    </row>
    <row r="503" spans="1:10" x14ac:dyDescent="0.25">
      <c r="A503" s="16" t="s">
        <v>525</v>
      </c>
      <c r="B503" s="14">
        <v>37277</v>
      </c>
      <c r="C503" s="31">
        <f>YEAR(Table1[[#This Row],[Tanggal Lahir]])</f>
        <v>2002</v>
      </c>
      <c r="D503" s="15">
        <f t="shared" si="28"/>
        <v>20.680555555555557</v>
      </c>
      <c r="E503" s="12" t="s">
        <v>10</v>
      </c>
      <c r="F503" s="14">
        <v>42239</v>
      </c>
      <c r="G503" s="13">
        <f t="shared" si="29"/>
        <v>2015</v>
      </c>
      <c r="H503" s="30">
        <f t="shared" si="30"/>
        <v>9000000</v>
      </c>
      <c r="I503" s="39">
        <v>5</v>
      </c>
      <c r="J503">
        <f t="shared" si="31"/>
        <v>2</v>
      </c>
    </row>
    <row r="504" spans="1:10" x14ac:dyDescent="0.25">
      <c r="A504" s="16" t="s">
        <v>526</v>
      </c>
      <c r="B504" s="14">
        <v>36374</v>
      </c>
      <c r="C504" s="31">
        <f>YEAR(Table1[[#This Row],[Tanggal Lahir]])</f>
        <v>1999</v>
      </c>
      <c r="D504" s="15">
        <f t="shared" si="28"/>
        <v>23.15</v>
      </c>
      <c r="E504" s="12" t="s">
        <v>7</v>
      </c>
      <c r="F504" s="14">
        <v>42506</v>
      </c>
      <c r="G504" s="13">
        <f t="shared" si="29"/>
        <v>2016</v>
      </c>
      <c r="H504" s="30">
        <f t="shared" si="30"/>
        <v>9000000</v>
      </c>
      <c r="I504" s="39">
        <v>4</v>
      </c>
      <c r="J504">
        <f t="shared" si="31"/>
        <v>2</v>
      </c>
    </row>
    <row r="505" spans="1:10" x14ac:dyDescent="0.25">
      <c r="A505" s="16" t="s">
        <v>527</v>
      </c>
      <c r="B505" s="14">
        <v>34813</v>
      </c>
      <c r="C505" s="31">
        <f>YEAR(Table1[[#This Row],[Tanggal Lahir]])</f>
        <v>1995</v>
      </c>
      <c r="D505" s="15">
        <f t="shared" si="28"/>
        <v>27.422222222222221</v>
      </c>
      <c r="E505" s="12" t="s">
        <v>10</v>
      </c>
      <c r="F505" s="14">
        <v>43561</v>
      </c>
      <c r="G505" s="13">
        <f t="shared" si="29"/>
        <v>2019</v>
      </c>
      <c r="H505" s="30">
        <f t="shared" si="30"/>
        <v>9000000</v>
      </c>
      <c r="I505" s="39">
        <v>3</v>
      </c>
      <c r="J505">
        <f t="shared" si="31"/>
        <v>2</v>
      </c>
    </row>
    <row r="506" spans="1:10" x14ac:dyDescent="0.25">
      <c r="A506" s="16" t="s">
        <v>528</v>
      </c>
      <c r="B506" s="14">
        <v>37966</v>
      </c>
      <c r="C506" s="31">
        <f>YEAR(Table1[[#This Row],[Tanggal Lahir]])</f>
        <v>2003</v>
      </c>
      <c r="D506" s="15">
        <f t="shared" si="28"/>
        <v>18.791666666666668</v>
      </c>
      <c r="E506" s="12" t="s">
        <v>10</v>
      </c>
      <c r="F506" s="14">
        <v>39406</v>
      </c>
      <c r="G506" s="13">
        <f t="shared" si="29"/>
        <v>2007</v>
      </c>
      <c r="H506" s="30">
        <f t="shared" si="30"/>
        <v>18000000</v>
      </c>
      <c r="I506" s="39">
        <v>4</v>
      </c>
      <c r="J506">
        <f t="shared" si="31"/>
        <v>2</v>
      </c>
    </row>
    <row r="507" spans="1:10" x14ac:dyDescent="0.25">
      <c r="A507" s="16" t="s">
        <v>529</v>
      </c>
      <c r="B507" s="14">
        <v>37922</v>
      </c>
      <c r="C507" s="31">
        <f>YEAR(Table1[[#This Row],[Tanggal Lahir]])</f>
        <v>2003</v>
      </c>
      <c r="D507" s="15">
        <f t="shared" si="28"/>
        <v>18.911111111111111</v>
      </c>
      <c r="E507" s="12" t="s">
        <v>10</v>
      </c>
      <c r="F507" s="14">
        <v>43789</v>
      </c>
      <c r="G507" s="13">
        <f t="shared" si="29"/>
        <v>2019</v>
      </c>
      <c r="H507" s="30">
        <f t="shared" si="30"/>
        <v>9000000</v>
      </c>
      <c r="I507" s="39">
        <v>5</v>
      </c>
      <c r="J507">
        <f t="shared" si="31"/>
        <v>2</v>
      </c>
    </row>
    <row r="508" spans="1:10" x14ac:dyDescent="0.25">
      <c r="A508" s="16" t="s">
        <v>530</v>
      </c>
      <c r="B508" s="14">
        <v>37502</v>
      </c>
      <c r="C508" s="31">
        <f>YEAR(Table1[[#This Row],[Tanggal Lahir]])</f>
        <v>2002</v>
      </c>
      <c r="D508" s="15">
        <f t="shared" si="28"/>
        <v>20.06388888888889</v>
      </c>
      <c r="E508" s="12" t="s">
        <v>10</v>
      </c>
      <c r="F508" s="14">
        <v>42788</v>
      </c>
      <c r="G508" s="13">
        <f t="shared" si="29"/>
        <v>2017</v>
      </c>
      <c r="H508" s="30">
        <f t="shared" si="30"/>
        <v>9000000</v>
      </c>
      <c r="I508" s="39">
        <v>1</v>
      </c>
      <c r="J508">
        <f t="shared" si="31"/>
        <v>3</v>
      </c>
    </row>
    <row r="509" spans="1:10" x14ac:dyDescent="0.25">
      <c r="A509" s="16" t="s">
        <v>531</v>
      </c>
      <c r="B509" s="14">
        <v>37392</v>
      </c>
      <c r="C509" s="31">
        <f>YEAR(Table1[[#This Row],[Tanggal Lahir]])</f>
        <v>2002</v>
      </c>
      <c r="D509" s="15">
        <f t="shared" si="28"/>
        <v>20.361111111111111</v>
      </c>
      <c r="E509" s="12" t="s">
        <v>10</v>
      </c>
      <c r="F509" s="14">
        <v>43595</v>
      </c>
      <c r="G509" s="13">
        <f t="shared" si="29"/>
        <v>2019</v>
      </c>
      <c r="H509" s="30">
        <f t="shared" si="30"/>
        <v>9000000</v>
      </c>
      <c r="I509" s="39">
        <v>6</v>
      </c>
      <c r="J509">
        <f t="shared" si="31"/>
        <v>4</v>
      </c>
    </row>
    <row r="510" spans="1:10" x14ac:dyDescent="0.25">
      <c r="A510" s="16" t="s">
        <v>532</v>
      </c>
      <c r="B510" s="14">
        <v>34805</v>
      </c>
      <c r="C510" s="31">
        <f>YEAR(Table1[[#This Row],[Tanggal Lahir]])</f>
        <v>1995</v>
      </c>
      <c r="D510" s="15">
        <f t="shared" si="28"/>
        <v>27.444444444444443</v>
      </c>
      <c r="E510" s="12" t="s">
        <v>10</v>
      </c>
      <c r="F510" s="14">
        <v>43571</v>
      </c>
      <c r="G510" s="13">
        <f t="shared" si="29"/>
        <v>2019</v>
      </c>
      <c r="H510" s="30">
        <f t="shared" si="30"/>
        <v>9000000</v>
      </c>
      <c r="I510" s="39">
        <v>1</v>
      </c>
      <c r="J510">
        <f t="shared" si="31"/>
        <v>3</v>
      </c>
    </row>
    <row r="511" spans="1:10" x14ac:dyDescent="0.25">
      <c r="A511" s="16" t="s">
        <v>533</v>
      </c>
      <c r="B511" s="14">
        <v>36269</v>
      </c>
      <c r="C511" s="31">
        <f>YEAR(Table1[[#This Row],[Tanggal Lahir]])</f>
        <v>1999</v>
      </c>
      <c r="D511" s="15">
        <f t="shared" si="28"/>
        <v>23.43611111111111</v>
      </c>
      <c r="E511" s="12" t="s">
        <v>10</v>
      </c>
      <c r="F511" s="14">
        <v>43610</v>
      </c>
      <c r="G511" s="13">
        <f t="shared" si="29"/>
        <v>2019</v>
      </c>
      <c r="H511" s="30">
        <f t="shared" si="30"/>
        <v>9000000</v>
      </c>
      <c r="I511" s="39">
        <v>5</v>
      </c>
      <c r="J511">
        <f t="shared" si="31"/>
        <v>2</v>
      </c>
    </row>
    <row r="512" spans="1:10" x14ac:dyDescent="0.25">
      <c r="A512" s="16" t="s">
        <v>534</v>
      </c>
      <c r="B512" s="14">
        <v>37940</v>
      </c>
      <c r="C512" s="31">
        <f>YEAR(Table1[[#This Row],[Tanggal Lahir]])</f>
        <v>2003</v>
      </c>
      <c r="D512" s="15">
        <f t="shared" si="28"/>
        <v>18.863888888888887</v>
      </c>
      <c r="E512" s="12" t="s">
        <v>7</v>
      </c>
      <c r="F512" s="14">
        <v>40978</v>
      </c>
      <c r="G512" s="13">
        <f t="shared" si="29"/>
        <v>2012</v>
      </c>
      <c r="H512" s="30">
        <f t="shared" si="30"/>
        <v>13000000</v>
      </c>
      <c r="I512" s="39">
        <v>6</v>
      </c>
      <c r="J512">
        <f t="shared" si="31"/>
        <v>3</v>
      </c>
    </row>
    <row r="513" spans="1:10" x14ac:dyDescent="0.25">
      <c r="A513" s="16" t="s">
        <v>535</v>
      </c>
      <c r="B513" s="14">
        <v>36316</v>
      </c>
      <c r="C513" s="31">
        <f>YEAR(Table1[[#This Row],[Tanggal Lahir]])</f>
        <v>1999</v>
      </c>
      <c r="D513" s="15">
        <f t="shared" si="28"/>
        <v>23.308333333333334</v>
      </c>
      <c r="E513" s="12" t="s">
        <v>14</v>
      </c>
      <c r="F513" s="14">
        <v>42356</v>
      </c>
      <c r="G513" s="13">
        <f t="shared" si="29"/>
        <v>2015</v>
      </c>
      <c r="H513" s="30">
        <f t="shared" si="30"/>
        <v>9000000</v>
      </c>
      <c r="I513" s="39">
        <v>3</v>
      </c>
      <c r="J513">
        <f t="shared" si="31"/>
        <v>2</v>
      </c>
    </row>
    <row r="514" spans="1:10" x14ac:dyDescent="0.25">
      <c r="A514" s="16" t="s">
        <v>536</v>
      </c>
      <c r="B514" s="14">
        <v>35677</v>
      </c>
      <c r="C514" s="31">
        <f>YEAR(Table1[[#This Row],[Tanggal Lahir]])</f>
        <v>1997</v>
      </c>
      <c r="D514" s="15">
        <f t="shared" ref="D514:D577" si="32">YEARFRAC(B514,$L$2)</f>
        <v>25.06111111111111</v>
      </c>
      <c r="E514" s="12" t="s">
        <v>10</v>
      </c>
      <c r="F514" s="14">
        <v>40851</v>
      </c>
      <c r="G514" s="13">
        <f t="shared" ref="G514:G577" si="33">YEAR(F514)</f>
        <v>2011</v>
      </c>
      <c r="H514" s="30">
        <f t="shared" ref="H514:H577" si="34">IF(G514&lt;= 2008,18000000,IF(AND(G514&gt;=2009,G514&lt;=2013),13000000,IF(AND(G514&gt;=2014,G514&lt;=2019),9000000,6800000)))</f>
        <v>13000000</v>
      </c>
      <c r="I514" s="39">
        <v>6</v>
      </c>
      <c r="J514">
        <f t="shared" ref="J514:J577" si="35">SUM(LEN(A514)-LEN(SUBSTITUTE(A514," ",""))+1)</f>
        <v>2</v>
      </c>
    </row>
    <row r="515" spans="1:10" x14ac:dyDescent="0.25">
      <c r="A515" s="16" t="s">
        <v>537</v>
      </c>
      <c r="B515" s="14">
        <v>37667</v>
      </c>
      <c r="C515" s="31">
        <f>YEAR(Table1[[#This Row],[Tanggal Lahir]])</f>
        <v>2003</v>
      </c>
      <c r="D515" s="15">
        <f t="shared" si="32"/>
        <v>19.613888888888887</v>
      </c>
      <c r="E515" s="12" t="s">
        <v>10</v>
      </c>
      <c r="F515" s="14">
        <v>40851</v>
      </c>
      <c r="G515" s="13">
        <f t="shared" si="33"/>
        <v>2011</v>
      </c>
      <c r="H515" s="30">
        <f t="shared" si="34"/>
        <v>13000000</v>
      </c>
      <c r="I515" s="39">
        <v>4</v>
      </c>
      <c r="J515">
        <f t="shared" si="35"/>
        <v>2</v>
      </c>
    </row>
    <row r="516" spans="1:10" x14ac:dyDescent="0.25">
      <c r="A516" s="16" t="s">
        <v>538</v>
      </c>
      <c r="B516" s="14">
        <v>34833</v>
      </c>
      <c r="C516" s="31">
        <f>YEAR(Table1[[#This Row],[Tanggal Lahir]])</f>
        <v>1995</v>
      </c>
      <c r="D516" s="15">
        <f t="shared" si="32"/>
        <v>27.366666666666667</v>
      </c>
      <c r="E516" s="12" t="s">
        <v>10</v>
      </c>
      <c r="F516" s="14">
        <v>38268</v>
      </c>
      <c r="G516" s="13">
        <f t="shared" si="33"/>
        <v>2004</v>
      </c>
      <c r="H516" s="30">
        <f t="shared" si="34"/>
        <v>18000000</v>
      </c>
      <c r="I516" s="39">
        <v>2</v>
      </c>
      <c r="J516">
        <f t="shared" si="35"/>
        <v>2</v>
      </c>
    </row>
    <row r="517" spans="1:10" x14ac:dyDescent="0.25">
      <c r="A517" s="16" t="s">
        <v>539</v>
      </c>
      <c r="B517" s="14">
        <v>35022</v>
      </c>
      <c r="C517" s="31">
        <f>YEAR(Table1[[#This Row],[Tanggal Lahir]])</f>
        <v>1995</v>
      </c>
      <c r="D517" s="15">
        <f t="shared" si="32"/>
        <v>26.852777777777778</v>
      </c>
      <c r="E517" s="12" t="s">
        <v>14</v>
      </c>
      <c r="F517" s="14">
        <v>41711</v>
      </c>
      <c r="G517" s="13">
        <f t="shared" si="33"/>
        <v>2014</v>
      </c>
      <c r="H517" s="30">
        <f t="shared" si="34"/>
        <v>9000000</v>
      </c>
      <c r="I517" s="39">
        <v>5</v>
      </c>
      <c r="J517">
        <f t="shared" si="35"/>
        <v>2</v>
      </c>
    </row>
    <row r="518" spans="1:10" x14ac:dyDescent="0.25">
      <c r="A518" s="16" t="s">
        <v>540</v>
      </c>
      <c r="B518" s="14">
        <v>36481</v>
      </c>
      <c r="C518" s="31">
        <f>YEAR(Table1[[#This Row],[Tanggal Lahir]])</f>
        <v>1999</v>
      </c>
      <c r="D518" s="15">
        <f t="shared" si="32"/>
        <v>22.858333333333334</v>
      </c>
      <c r="E518" s="12" t="s">
        <v>10</v>
      </c>
      <c r="F518" s="14">
        <v>38404</v>
      </c>
      <c r="G518" s="13">
        <f t="shared" si="33"/>
        <v>2005</v>
      </c>
      <c r="H518" s="30">
        <f t="shared" si="34"/>
        <v>18000000</v>
      </c>
      <c r="I518" s="39">
        <v>1</v>
      </c>
      <c r="J518">
        <f t="shared" si="35"/>
        <v>2</v>
      </c>
    </row>
    <row r="519" spans="1:10" x14ac:dyDescent="0.25">
      <c r="A519" s="16" t="s">
        <v>541</v>
      </c>
      <c r="B519" s="14">
        <v>34798</v>
      </c>
      <c r="C519" s="31">
        <f>YEAR(Table1[[#This Row],[Tanggal Lahir]])</f>
        <v>1995</v>
      </c>
      <c r="D519" s="15">
        <f t="shared" si="32"/>
        <v>27.463888888888889</v>
      </c>
      <c r="E519" s="12" t="s">
        <v>10</v>
      </c>
      <c r="F519" s="14">
        <v>43491</v>
      </c>
      <c r="G519" s="13">
        <f t="shared" si="33"/>
        <v>2019</v>
      </c>
      <c r="H519" s="30">
        <f t="shared" si="34"/>
        <v>9000000</v>
      </c>
      <c r="I519" s="39">
        <v>4</v>
      </c>
      <c r="J519">
        <f t="shared" si="35"/>
        <v>2</v>
      </c>
    </row>
    <row r="520" spans="1:10" x14ac:dyDescent="0.25">
      <c r="A520" s="16" t="s">
        <v>542</v>
      </c>
      <c r="B520" s="14">
        <v>36680</v>
      </c>
      <c r="C520" s="31">
        <f>YEAR(Table1[[#This Row],[Tanggal Lahir]])</f>
        <v>2000</v>
      </c>
      <c r="D520" s="15">
        <f t="shared" si="32"/>
        <v>22.31388888888889</v>
      </c>
      <c r="E520" s="12" t="s">
        <v>10</v>
      </c>
      <c r="F520" s="14">
        <v>39760</v>
      </c>
      <c r="G520" s="13">
        <f t="shared" si="33"/>
        <v>2008</v>
      </c>
      <c r="H520" s="30">
        <f t="shared" si="34"/>
        <v>18000000</v>
      </c>
      <c r="I520" s="39">
        <v>1</v>
      </c>
      <c r="J520">
        <f t="shared" si="35"/>
        <v>2</v>
      </c>
    </row>
    <row r="521" spans="1:10" x14ac:dyDescent="0.25">
      <c r="A521" s="16" t="s">
        <v>543</v>
      </c>
      <c r="B521" s="14">
        <v>35221</v>
      </c>
      <c r="C521" s="31">
        <f>YEAR(Table1[[#This Row],[Tanggal Lahir]])</f>
        <v>1996</v>
      </c>
      <c r="D521" s="15">
        <f t="shared" si="32"/>
        <v>26.308333333333334</v>
      </c>
      <c r="E521" s="12" t="s">
        <v>14</v>
      </c>
      <c r="F521" s="14">
        <v>39335</v>
      </c>
      <c r="G521" s="13">
        <f t="shared" si="33"/>
        <v>2007</v>
      </c>
      <c r="H521" s="30">
        <f t="shared" si="34"/>
        <v>18000000</v>
      </c>
      <c r="I521" s="39">
        <v>2</v>
      </c>
      <c r="J521">
        <f t="shared" si="35"/>
        <v>3</v>
      </c>
    </row>
    <row r="522" spans="1:10" x14ac:dyDescent="0.25">
      <c r="A522" s="16" t="s">
        <v>544</v>
      </c>
      <c r="B522" s="14">
        <v>37714</v>
      </c>
      <c r="C522" s="31">
        <f>YEAR(Table1[[#This Row],[Tanggal Lahir]])</f>
        <v>2003</v>
      </c>
      <c r="D522" s="15">
        <f t="shared" si="32"/>
        <v>19.480555555555554</v>
      </c>
      <c r="E522" s="12" t="s">
        <v>10</v>
      </c>
      <c r="F522" s="14">
        <v>40309</v>
      </c>
      <c r="G522" s="13">
        <f t="shared" si="33"/>
        <v>2010</v>
      </c>
      <c r="H522" s="30">
        <f t="shared" si="34"/>
        <v>13000000</v>
      </c>
      <c r="I522" s="39">
        <v>4</v>
      </c>
      <c r="J522">
        <f t="shared" si="35"/>
        <v>2</v>
      </c>
    </row>
    <row r="523" spans="1:10" x14ac:dyDescent="0.25">
      <c r="A523" s="16" t="s">
        <v>545</v>
      </c>
      <c r="B523" s="14">
        <v>36613</v>
      </c>
      <c r="C523" s="31">
        <f>YEAR(Table1[[#This Row],[Tanggal Lahir]])</f>
        <v>2000</v>
      </c>
      <c r="D523" s="15">
        <f t="shared" si="32"/>
        <v>22.494444444444444</v>
      </c>
      <c r="E523" s="12" t="s">
        <v>10</v>
      </c>
      <c r="F523" s="14">
        <v>41946</v>
      </c>
      <c r="G523" s="13">
        <f t="shared" si="33"/>
        <v>2014</v>
      </c>
      <c r="H523" s="30">
        <f t="shared" si="34"/>
        <v>9000000</v>
      </c>
      <c r="I523" s="39">
        <v>1</v>
      </c>
      <c r="J523">
        <f t="shared" si="35"/>
        <v>2</v>
      </c>
    </row>
    <row r="524" spans="1:10" x14ac:dyDescent="0.25">
      <c r="A524" s="16" t="s">
        <v>546</v>
      </c>
      <c r="B524" s="14">
        <v>36002</v>
      </c>
      <c r="C524" s="31">
        <f>YEAR(Table1[[#This Row],[Tanggal Lahir]])</f>
        <v>1998</v>
      </c>
      <c r="D524" s="15">
        <f t="shared" si="32"/>
        <v>24.166666666666668</v>
      </c>
      <c r="E524" s="12" t="s">
        <v>7</v>
      </c>
      <c r="F524" s="14">
        <v>38864</v>
      </c>
      <c r="G524" s="13">
        <f t="shared" si="33"/>
        <v>2006</v>
      </c>
      <c r="H524" s="30">
        <f t="shared" si="34"/>
        <v>18000000</v>
      </c>
      <c r="I524" s="39">
        <v>2</v>
      </c>
      <c r="J524">
        <f t="shared" si="35"/>
        <v>2</v>
      </c>
    </row>
    <row r="525" spans="1:10" x14ac:dyDescent="0.25">
      <c r="A525" s="16" t="s">
        <v>547</v>
      </c>
      <c r="B525" s="14">
        <v>35601</v>
      </c>
      <c r="C525" s="31">
        <f>YEAR(Table1[[#This Row],[Tanggal Lahir]])</f>
        <v>1997</v>
      </c>
      <c r="D525" s="15">
        <f t="shared" si="32"/>
        <v>25.266666666666666</v>
      </c>
      <c r="E525" s="12" t="s">
        <v>14</v>
      </c>
      <c r="F525" s="14">
        <v>38691</v>
      </c>
      <c r="G525" s="13">
        <f t="shared" si="33"/>
        <v>2005</v>
      </c>
      <c r="H525" s="30">
        <f t="shared" si="34"/>
        <v>18000000</v>
      </c>
      <c r="I525" s="39">
        <v>4</v>
      </c>
      <c r="J525">
        <f t="shared" si="35"/>
        <v>2</v>
      </c>
    </row>
    <row r="526" spans="1:10" x14ac:dyDescent="0.25">
      <c r="A526" s="16" t="s">
        <v>548</v>
      </c>
      <c r="B526" s="14">
        <v>37346</v>
      </c>
      <c r="C526" s="31">
        <f>YEAR(Table1[[#This Row],[Tanggal Lahir]])</f>
        <v>2002</v>
      </c>
      <c r="D526" s="15">
        <f t="shared" si="32"/>
        <v>20.488888888888887</v>
      </c>
      <c r="E526" s="12" t="s">
        <v>14</v>
      </c>
      <c r="F526" s="14">
        <v>39932</v>
      </c>
      <c r="G526" s="13">
        <f t="shared" si="33"/>
        <v>2009</v>
      </c>
      <c r="H526" s="30">
        <f t="shared" si="34"/>
        <v>13000000</v>
      </c>
      <c r="I526" s="39">
        <v>1</v>
      </c>
      <c r="J526">
        <f t="shared" si="35"/>
        <v>2</v>
      </c>
    </row>
    <row r="527" spans="1:10" x14ac:dyDescent="0.25">
      <c r="A527" s="16" t="s">
        <v>549</v>
      </c>
      <c r="B527" s="14">
        <v>36844</v>
      </c>
      <c r="C527" s="31">
        <f>YEAR(Table1[[#This Row],[Tanggal Lahir]])</f>
        <v>2000</v>
      </c>
      <c r="D527" s="15">
        <f t="shared" si="32"/>
        <v>21.866666666666667</v>
      </c>
      <c r="E527" s="12" t="s">
        <v>10</v>
      </c>
      <c r="F527" s="14">
        <v>43352</v>
      </c>
      <c r="G527" s="13">
        <f t="shared" si="33"/>
        <v>2018</v>
      </c>
      <c r="H527" s="30">
        <f t="shared" si="34"/>
        <v>9000000</v>
      </c>
      <c r="I527" s="39">
        <v>5</v>
      </c>
      <c r="J527">
        <f t="shared" si="35"/>
        <v>2</v>
      </c>
    </row>
    <row r="528" spans="1:10" x14ac:dyDescent="0.25">
      <c r="A528" s="16" t="s">
        <v>550</v>
      </c>
      <c r="B528" s="14">
        <v>34879</v>
      </c>
      <c r="C528" s="31">
        <f>YEAR(Table1[[#This Row],[Tanggal Lahir]])</f>
        <v>1995</v>
      </c>
      <c r="D528" s="15">
        <f t="shared" si="32"/>
        <v>27.241666666666667</v>
      </c>
      <c r="E528" s="12" t="s">
        <v>7</v>
      </c>
      <c r="F528" s="14">
        <v>38569</v>
      </c>
      <c r="G528" s="13">
        <f t="shared" si="33"/>
        <v>2005</v>
      </c>
      <c r="H528" s="30">
        <f t="shared" si="34"/>
        <v>18000000</v>
      </c>
      <c r="I528" s="39">
        <v>1</v>
      </c>
      <c r="J528">
        <f t="shared" si="35"/>
        <v>2</v>
      </c>
    </row>
    <row r="529" spans="1:10" x14ac:dyDescent="0.25">
      <c r="A529" s="16" t="s">
        <v>551</v>
      </c>
      <c r="B529" s="14">
        <v>36943</v>
      </c>
      <c r="C529" s="31">
        <f>YEAR(Table1[[#This Row],[Tanggal Lahir]])</f>
        <v>2001</v>
      </c>
      <c r="D529" s="15">
        <f t="shared" si="32"/>
        <v>21.597222222222221</v>
      </c>
      <c r="E529" s="12" t="s">
        <v>7</v>
      </c>
      <c r="F529" s="14">
        <v>38842</v>
      </c>
      <c r="G529" s="13">
        <f t="shared" si="33"/>
        <v>2006</v>
      </c>
      <c r="H529" s="30">
        <f t="shared" si="34"/>
        <v>18000000</v>
      </c>
      <c r="I529" s="39">
        <v>6</v>
      </c>
      <c r="J529">
        <f t="shared" si="35"/>
        <v>2</v>
      </c>
    </row>
    <row r="530" spans="1:10" x14ac:dyDescent="0.25">
      <c r="A530" s="16" t="s">
        <v>552</v>
      </c>
      <c r="B530" s="14">
        <v>37112</v>
      </c>
      <c r="C530" s="31">
        <f>YEAR(Table1[[#This Row],[Tanggal Lahir]])</f>
        <v>2001</v>
      </c>
      <c r="D530" s="15">
        <f t="shared" si="32"/>
        <v>21.130555555555556</v>
      </c>
      <c r="E530" s="12" t="s">
        <v>10</v>
      </c>
      <c r="F530" s="14">
        <v>42870</v>
      </c>
      <c r="G530" s="13">
        <f t="shared" si="33"/>
        <v>2017</v>
      </c>
      <c r="H530" s="30">
        <f t="shared" si="34"/>
        <v>9000000</v>
      </c>
      <c r="I530" s="39">
        <v>4</v>
      </c>
      <c r="J530">
        <f t="shared" si="35"/>
        <v>2</v>
      </c>
    </row>
    <row r="531" spans="1:10" x14ac:dyDescent="0.25">
      <c r="A531" s="16" t="s">
        <v>553</v>
      </c>
      <c r="B531" s="14">
        <v>37499</v>
      </c>
      <c r="C531" s="31">
        <f>YEAR(Table1[[#This Row],[Tanggal Lahir]])</f>
        <v>2002</v>
      </c>
      <c r="D531" s="15">
        <f t="shared" si="32"/>
        <v>20.072222222222223</v>
      </c>
      <c r="E531" s="12" t="s">
        <v>10</v>
      </c>
      <c r="F531" s="14">
        <v>42174</v>
      </c>
      <c r="G531" s="13">
        <f t="shared" si="33"/>
        <v>2015</v>
      </c>
      <c r="H531" s="30">
        <f t="shared" si="34"/>
        <v>9000000</v>
      </c>
      <c r="I531" s="39">
        <v>5</v>
      </c>
      <c r="J531">
        <f t="shared" si="35"/>
        <v>2</v>
      </c>
    </row>
    <row r="532" spans="1:10" x14ac:dyDescent="0.25">
      <c r="A532" s="16" t="s">
        <v>554</v>
      </c>
      <c r="B532" s="14">
        <v>37900</v>
      </c>
      <c r="C532" s="31">
        <f>YEAR(Table1[[#This Row],[Tanggal Lahir]])</f>
        <v>2003</v>
      </c>
      <c r="D532" s="15">
        <f t="shared" si="32"/>
        <v>18.972222222222221</v>
      </c>
      <c r="E532" s="12" t="s">
        <v>555</v>
      </c>
      <c r="F532" s="14">
        <v>40356</v>
      </c>
      <c r="G532" s="13">
        <f t="shared" si="33"/>
        <v>2010</v>
      </c>
      <c r="H532" s="30">
        <f t="shared" si="34"/>
        <v>13000000</v>
      </c>
      <c r="I532" s="39">
        <v>5</v>
      </c>
      <c r="J532">
        <f t="shared" si="35"/>
        <v>2</v>
      </c>
    </row>
    <row r="533" spans="1:10" x14ac:dyDescent="0.25">
      <c r="A533" s="16" t="s">
        <v>556</v>
      </c>
      <c r="B533" s="14">
        <v>34980</v>
      </c>
      <c r="C533" s="31">
        <f>YEAR(Table1[[#This Row],[Tanggal Lahir]])</f>
        <v>1995</v>
      </c>
      <c r="D533" s="15">
        <f t="shared" si="32"/>
        <v>26.966666666666665</v>
      </c>
      <c r="E533" s="12" t="s">
        <v>7</v>
      </c>
      <c r="F533" s="14">
        <v>44743</v>
      </c>
      <c r="G533" s="13">
        <f t="shared" si="33"/>
        <v>2022</v>
      </c>
      <c r="H533" s="30">
        <f t="shared" si="34"/>
        <v>6800000</v>
      </c>
      <c r="I533" s="39">
        <v>5</v>
      </c>
      <c r="J533">
        <f t="shared" si="35"/>
        <v>2</v>
      </c>
    </row>
    <row r="534" spans="1:10" x14ac:dyDescent="0.25">
      <c r="A534" s="16" t="s">
        <v>557</v>
      </c>
      <c r="B534" s="14">
        <v>37876</v>
      </c>
      <c r="C534" s="31">
        <f>YEAR(Table1[[#This Row],[Tanggal Lahir]])</f>
        <v>2003</v>
      </c>
      <c r="D534" s="15">
        <f t="shared" si="32"/>
        <v>19.038888888888888</v>
      </c>
      <c r="E534" s="12" t="s">
        <v>7</v>
      </c>
      <c r="F534" s="14">
        <v>44681</v>
      </c>
      <c r="G534" s="13">
        <f t="shared" si="33"/>
        <v>2022</v>
      </c>
      <c r="H534" s="30">
        <f t="shared" si="34"/>
        <v>6800000</v>
      </c>
      <c r="I534" s="39">
        <v>2</v>
      </c>
      <c r="J534">
        <f t="shared" si="35"/>
        <v>2</v>
      </c>
    </row>
    <row r="535" spans="1:10" x14ac:dyDescent="0.25">
      <c r="A535" s="16" t="s">
        <v>558</v>
      </c>
      <c r="B535" s="14">
        <v>35849</v>
      </c>
      <c r="C535" s="31">
        <f>YEAR(Table1[[#This Row],[Tanggal Lahir]])</f>
        <v>1998</v>
      </c>
      <c r="D535" s="15">
        <f t="shared" si="32"/>
        <v>24.591666666666665</v>
      </c>
      <c r="E535" s="12" t="s">
        <v>14</v>
      </c>
      <c r="F535" s="14">
        <v>42575</v>
      </c>
      <c r="G535" s="13">
        <f t="shared" si="33"/>
        <v>2016</v>
      </c>
      <c r="H535" s="30">
        <f t="shared" si="34"/>
        <v>9000000</v>
      </c>
      <c r="I535" s="39">
        <v>5</v>
      </c>
      <c r="J535">
        <f t="shared" si="35"/>
        <v>2</v>
      </c>
    </row>
    <row r="536" spans="1:10" x14ac:dyDescent="0.25">
      <c r="A536" s="16" t="s">
        <v>559</v>
      </c>
      <c r="B536" s="14">
        <v>36505</v>
      </c>
      <c r="C536" s="31">
        <f>YEAR(Table1[[#This Row],[Tanggal Lahir]])</f>
        <v>1999</v>
      </c>
      <c r="D536" s="15">
        <f t="shared" si="32"/>
        <v>22.791666666666668</v>
      </c>
      <c r="E536" s="12" t="s">
        <v>10</v>
      </c>
      <c r="F536" s="14">
        <v>42528</v>
      </c>
      <c r="G536" s="13">
        <f t="shared" si="33"/>
        <v>2016</v>
      </c>
      <c r="H536" s="30">
        <f t="shared" si="34"/>
        <v>9000000</v>
      </c>
      <c r="I536" s="39">
        <v>4</v>
      </c>
      <c r="J536">
        <f t="shared" si="35"/>
        <v>2</v>
      </c>
    </row>
    <row r="537" spans="1:10" x14ac:dyDescent="0.25">
      <c r="A537" s="16" t="s">
        <v>560</v>
      </c>
      <c r="B537" s="14">
        <v>37062</v>
      </c>
      <c r="C537" s="31">
        <f>YEAR(Table1[[#This Row],[Tanggal Lahir]])</f>
        <v>2001</v>
      </c>
      <c r="D537" s="15">
        <f t="shared" si="32"/>
        <v>21.266666666666666</v>
      </c>
      <c r="E537" s="12" t="s">
        <v>10</v>
      </c>
      <c r="F537" s="14">
        <v>43866</v>
      </c>
      <c r="G537" s="13">
        <f t="shared" si="33"/>
        <v>2020</v>
      </c>
      <c r="H537" s="30">
        <f t="shared" si="34"/>
        <v>6800000</v>
      </c>
      <c r="I537" s="39">
        <v>4</v>
      </c>
      <c r="J537">
        <f t="shared" si="35"/>
        <v>2</v>
      </c>
    </row>
    <row r="538" spans="1:10" x14ac:dyDescent="0.25">
      <c r="A538" s="16" t="s">
        <v>561</v>
      </c>
      <c r="B538" s="14">
        <v>35555</v>
      </c>
      <c r="C538" s="31">
        <f>YEAR(Table1[[#This Row],[Tanggal Lahir]])</f>
        <v>1997</v>
      </c>
      <c r="D538" s="15">
        <f t="shared" si="32"/>
        <v>25.391666666666666</v>
      </c>
      <c r="E538" s="12" t="s">
        <v>10</v>
      </c>
      <c r="F538" s="14">
        <v>43521</v>
      </c>
      <c r="G538" s="13">
        <f t="shared" si="33"/>
        <v>2019</v>
      </c>
      <c r="H538" s="30">
        <f t="shared" si="34"/>
        <v>9000000</v>
      </c>
      <c r="I538" s="39">
        <v>6</v>
      </c>
      <c r="J538">
        <f t="shared" si="35"/>
        <v>2</v>
      </c>
    </row>
    <row r="539" spans="1:10" x14ac:dyDescent="0.25">
      <c r="A539" s="16" t="s">
        <v>562</v>
      </c>
      <c r="B539" s="14">
        <v>34884</v>
      </c>
      <c r="C539" s="31">
        <f>YEAR(Table1[[#This Row],[Tanggal Lahir]])</f>
        <v>1995</v>
      </c>
      <c r="D539" s="15">
        <f t="shared" si="32"/>
        <v>27.227777777777778</v>
      </c>
      <c r="E539" s="12" t="s">
        <v>10</v>
      </c>
      <c r="F539" s="14">
        <v>41126</v>
      </c>
      <c r="G539" s="13">
        <f t="shared" si="33"/>
        <v>2012</v>
      </c>
      <c r="H539" s="30">
        <f t="shared" si="34"/>
        <v>13000000</v>
      </c>
      <c r="I539" s="39">
        <v>2</v>
      </c>
      <c r="J539">
        <f t="shared" si="35"/>
        <v>3</v>
      </c>
    </row>
    <row r="540" spans="1:10" x14ac:dyDescent="0.25">
      <c r="A540" s="16" t="s">
        <v>563</v>
      </c>
      <c r="B540" s="14">
        <v>34821</v>
      </c>
      <c r="C540" s="31">
        <f>YEAR(Table1[[#This Row],[Tanggal Lahir]])</f>
        <v>1995</v>
      </c>
      <c r="D540" s="15">
        <f t="shared" si="32"/>
        <v>27.4</v>
      </c>
      <c r="E540" s="12" t="s">
        <v>10</v>
      </c>
      <c r="F540" s="14">
        <v>42772</v>
      </c>
      <c r="G540" s="13">
        <f t="shared" si="33"/>
        <v>2017</v>
      </c>
      <c r="H540" s="30">
        <f t="shared" si="34"/>
        <v>9000000</v>
      </c>
      <c r="I540" s="39">
        <v>5</v>
      </c>
      <c r="J540">
        <f t="shared" si="35"/>
        <v>2</v>
      </c>
    </row>
    <row r="541" spans="1:10" x14ac:dyDescent="0.25">
      <c r="A541" s="16" t="s">
        <v>564</v>
      </c>
      <c r="B541" s="14">
        <v>35172</v>
      </c>
      <c r="C541" s="31">
        <f>YEAR(Table1[[#This Row],[Tanggal Lahir]])</f>
        <v>1996</v>
      </c>
      <c r="D541" s="15">
        <f t="shared" si="32"/>
        <v>26.441666666666666</v>
      </c>
      <c r="E541" s="12" t="s">
        <v>7</v>
      </c>
      <c r="F541" s="14">
        <v>40674</v>
      </c>
      <c r="G541" s="13">
        <f t="shared" si="33"/>
        <v>2011</v>
      </c>
      <c r="H541" s="30">
        <f t="shared" si="34"/>
        <v>13000000</v>
      </c>
      <c r="I541" s="39">
        <v>3</v>
      </c>
      <c r="J541">
        <f t="shared" si="35"/>
        <v>2</v>
      </c>
    </row>
    <row r="542" spans="1:10" x14ac:dyDescent="0.25">
      <c r="A542" s="16" t="s">
        <v>565</v>
      </c>
      <c r="B542" s="14">
        <v>34851</v>
      </c>
      <c r="C542" s="31">
        <f>YEAR(Table1[[#This Row],[Tanggal Lahir]])</f>
        <v>1995</v>
      </c>
      <c r="D542" s="15">
        <f t="shared" si="32"/>
        <v>27.319444444444443</v>
      </c>
      <c r="E542" s="12" t="s">
        <v>14</v>
      </c>
      <c r="F542" s="14">
        <v>43480</v>
      </c>
      <c r="G542" s="13">
        <f t="shared" si="33"/>
        <v>2019</v>
      </c>
      <c r="H542" s="30">
        <f t="shared" si="34"/>
        <v>9000000</v>
      </c>
      <c r="I542" s="39">
        <v>6</v>
      </c>
      <c r="J542">
        <f t="shared" si="35"/>
        <v>2</v>
      </c>
    </row>
    <row r="543" spans="1:10" x14ac:dyDescent="0.25">
      <c r="A543" s="16" t="s">
        <v>566</v>
      </c>
      <c r="B543" s="14">
        <v>35835</v>
      </c>
      <c r="C543" s="31">
        <f>YEAR(Table1[[#This Row],[Tanggal Lahir]])</f>
        <v>1998</v>
      </c>
      <c r="D543" s="15">
        <f t="shared" si="32"/>
        <v>24.630555555555556</v>
      </c>
      <c r="E543" s="12" t="s">
        <v>14</v>
      </c>
      <c r="F543" s="14">
        <v>43807</v>
      </c>
      <c r="G543" s="13">
        <f t="shared" si="33"/>
        <v>2019</v>
      </c>
      <c r="H543" s="30">
        <f t="shared" si="34"/>
        <v>9000000</v>
      </c>
      <c r="I543" s="39">
        <v>6</v>
      </c>
      <c r="J543">
        <f t="shared" si="35"/>
        <v>2</v>
      </c>
    </row>
    <row r="544" spans="1:10" x14ac:dyDescent="0.25">
      <c r="A544" s="16" t="s">
        <v>567</v>
      </c>
      <c r="B544" s="14">
        <v>34829</v>
      </c>
      <c r="C544" s="31">
        <f>YEAR(Table1[[#This Row],[Tanggal Lahir]])</f>
        <v>1995</v>
      </c>
      <c r="D544" s="15">
        <f t="shared" si="32"/>
        <v>27.377777777777776</v>
      </c>
      <c r="E544" s="12" t="s">
        <v>10</v>
      </c>
      <c r="F544" s="14">
        <v>38353</v>
      </c>
      <c r="G544" s="13">
        <f t="shared" si="33"/>
        <v>2005</v>
      </c>
      <c r="H544" s="30">
        <f t="shared" si="34"/>
        <v>18000000</v>
      </c>
      <c r="I544" s="39">
        <v>4</v>
      </c>
      <c r="J544">
        <f t="shared" si="35"/>
        <v>3</v>
      </c>
    </row>
    <row r="545" spans="1:10" x14ac:dyDescent="0.25">
      <c r="A545" s="16" t="s">
        <v>568</v>
      </c>
      <c r="B545" s="14">
        <v>37173</v>
      </c>
      <c r="C545" s="31">
        <f>YEAR(Table1[[#This Row],[Tanggal Lahir]])</f>
        <v>2001</v>
      </c>
      <c r="D545" s="15">
        <f t="shared" si="32"/>
        <v>20.963888888888889</v>
      </c>
      <c r="E545" s="12" t="s">
        <v>14</v>
      </c>
      <c r="F545" s="14">
        <v>40742</v>
      </c>
      <c r="G545" s="13">
        <f t="shared" si="33"/>
        <v>2011</v>
      </c>
      <c r="H545" s="30">
        <f t="shared" si="34"/>
        <v>13000000</v>
      </c>
      <c r="I545" s="39">
        <v>5</v>
      </c>
      <c r="J545">
        <f t="shared" si="35"/>
        <v>2</v>
      </c>
    </row>
    <row r="546" spans="1:10" x14ac:dyDescent="0.25">
      <c r="A546" s="16" t="s">
        <v>569</v>
      </c>
      <c r="B546" s="14">
        <v>37568</v>
      </c>
      <c r="C546" s="31">
        <f>YEAR(Table1[[#This Row],[Tanggal Lahir]])</f>
        <v>2002</v>
      </c>
      <c r="D546" s="15">
        <f t="shared" si="32"/>
        <v>19.883333333333333</v>
      </c>
      <c r="E546" s="12" t="s">
        <v>14</v>
      </c>
      <c r="F546" s="14">
        <v>43446</v>
      </c>
      <c r="G546" s="13">
        <f t="shared" si="33"/>
        <v>2018</v>
      </c>
      <c r="H546" s="30">
        <f t="shared" si="34"/>
        <v>9000000</v>
      </c>
      <c r="I546" s="39">
        <v>3</v>
      </c>
      <c r="J546">
        <f t="shared" si="35"/>
        <v>2</v>
      </c>
    </row>
    <row r="547" spans="1:10" x14ac:dyDescent="0.25">
      <c r="A547" s="16" t="s">
        <v>570</v>
      </c>
      <c r="B547" s="14">
        <v>36274</v>
      </c>
      <c r="C547" s="31">
        <f>YEAR(Table1[[#This Row],[Tanggal Lahir]])</f>
        <v>1999</v>
      </c>
      <c r="D547" s="15">
        <f t="shared" si="32"/>
        <v>23.422222222222221</v>
      </c>
      <c r="E547" s="12" t="s">
        <v>7</v>
      </c>
      <c r="F547" s="14">
        <v>41157</v>
      </c>
      <c r="G547" s="13">
        <f t="shared" si="33"/>
        <v>2012</v>
      </c>
      <c r="H547" s="30">
        <f t="shared" si="34"/>
        <v>13000000</v>
      </c>
      <c r="I547" s="39">
        <v>3</v>
      </c>
      <c r="J547">
        <f t="shared" si="35"/>
        <v>2</v>
      </c>
    </row>
    <row r="548" spans="1:10" x14ac:dyDescent="0.25">
      <c r="A548" s="16" t="s">
        <v>571</v>
      </c>
      <c r="B548" s="14">
        <v>35141</v>
      </c>
      <c r="C548" s="31">
        <f>YEAR(Table1[[#This Row],[Tanggal Lahir]])</f>
        <v>1996</v>
      </c>
      <c r="D548" s="15">
        <f t="shared" si="32"/>
        <v>26.524999999999999</v>
      </c>
      <c r="E548" s="12" t="s">
        <v>10</v>
      </c>
      <c r="F548" s="14">
        <v>44389</v>
      </c>
      <c r="G548" s="13">
        <f t="shared" si="33"/>
        <v>2021</v>
      </c>
      <c r="H548" s="30">
        <f t="shared" si="34"/>
        <v>6800000</v>
      </c>
      <c r="I548" s="39">
        <v>5</v>
      </c>
      <c r="J548">
        <f t="shared" si="35"/>
        <v>2</v>
      </c>
    </row>
    <row r="549" spans="1:10" x14ac:dyDescent="0.25">
      <c r="A549" s="16" t="s">
        <v>572</v>
      </c>
      <c r="B549" s="14">
        <v>35406</v>
      </c>
      <c r="C549" s="31">
        <f>YEAR(Table1[[#This Row],[Tanggal Lahir]])</f>
        <v>1996</v>
      </c>
      <c r="D549" s="15">
        <f t="shared" si="32"/>
        <v>25.802777777777777</v>
      </c>
      <c r="E549" s="12" t="s">
        <v>10</v>
      </c>
      <c r="F549" s="14">
        <v>42712</v>
      </c>
      <c r="G549" s="13">
        <f t="shared" si="33"/>
        <v>2016</v>
      </c>
      <c r="H549" s="30">
        <f t="shared" si="34"/>
        <v>9000000</v>
      </c>
      <c r="I549" s="39">
        <v>3</v>
      </c>
      <c r="J549">
        <f t="shared" si="35"/>
        <v>2</v>
      </c>
    </row>
    <row r="550" spans="1:10" x14ac:dyDescent="0.25">
      <c r="A550" s="16" t="s">
        <v>573</v>
      </c>
      <c r="B550" s="14">
        <v>36582</v>
      </c>
      <c r="C550" s="31">
        <f>YEAR(Table1[[#This Row],[Tanggal Lahir]])</f>
        <v>2000</v>
      </c>
      <c r="D550" s="15">
        <f t="shared" si="32"/>
        <v>22.583333333333332</v>
      </c>
      <c r="E550" s="12" t="s">
        <v>10</v>
      </c>
      <c r="F550" s="14">
        <v>41364</v>
      </c>
      <c r="G550" s="13">
        <f t="shared" si="33"/>
        <v>2013</v>
      </c>
      <c r="H550" s="30">
        <f t="shared" si="34"/>
        <v>13000000</v>
      </c>
      <c r="I550" s="39">
        <v>6</v>
      </c>
      <c r="J550">
        <f t="shared" si="35"/>
        <v>2</v>
      </c>
    </row>
    <row r="551" spans="1:10" x14ac:dyDescent="0.25">
      <c r="A551" s="16" t="s">
        <v>574</v>
      </c>
      <c r="B551" s="14">
        <v>35402</v>
      </c>
      <c r="C551" s="31">
        <f>YEAR(Table1[[#This Row],[Tanggal Lahir]])</f>
        <v>1996</v>
      </c>
      <c r="D551" s="15">
        <f t="shared" si="32"/>
        <v>25.81388888888889</v>
      </c>
      <c r="E551" s="12" t="s">
        <v>10</v>
      </c>
      <c r="F551" s="14">
        <v>39290</v>
      </c>
      <c r="G551" s="13">
        <f t="shared" si="33"/>
        <v>2007</v>
      </c>
      <c r="H551" s="30">
        <f t="shared" si="34"/>
        <v>18000000</v>
      </c>
      <c r="I551" s="39">
        <v>4</v>
      </c>
      <c r="J551">
        <f t="shared" si="35"/>
        <v>3</v>
      </c>
    </row>
    <row r="552" spans="1:10" x14ac:dyDescent="0.25">
      <c r="A552" s="16" t="s">
        <v>575</v>
      </c>
      <c r="B552" s="14">
        <v>37566</v>
      </c>
      <c r="C552" s="31">
        <f>YEAR(Table1[[#This Row],[Tanggal Lahir]])</f>
        <v>2002</v>
      </c>
      <c r="D552" s="15">
        <f t="shared" si="32"/>
        <v>19.888888888888889</v>
      </c>
      <c r="E552" s="12" t="s">
        <v>10</v>
      </c>
      <c r="F552" s="14">
        <v>39310</v>
      </c>
      <c r="G552" s="13">
        <f t="shared" si="33"/>
        <v>2007</v>
      </c>
      <c r="H552" s="30">
        <f t="shared" si="34"/>
        <v>18000000</v>
      </c>
      <c r="I552" s="39">
        <v>4</v>
      </c>
      <c r="J552">
        <f t="shared" si="35"/>
        <v>2</v>
      </c>
    </row>
    <row r="553" spans="1:10" x14ac:dyDescent="0.25">
      <c r="A553" s="16" t="s">
        <v>576</v>
      </c>
      <c r="B553" s="14">
        <v>36092</v>
      </c>
      <c r="C553" s="31">
        <f>YEAR(Table1[[#This Row],[Tanggal Lahir]])</f>
        <v>1998</v>
      </c>
      <c r="D553" s="15">
        <f t="shared" si="32"/>
        <v>23.922222222222221</v>
      </c>
      <c r="E553" s="12" t="s">
        <v>7</v>
      </c>
      <c r="F553" s="14">
        <v>40228</v>
      </c>
      <c r="G553" s="13">
        <f t="shared" si="33"/>
        <v>2010</v>
      </c>
      <c r="H553" s="30">
        <f t="shared" si="34"/>
        <v>13000000</v>
      </c>
      <c r="I553" s="39">
        <v>2</v>
      </c>
      <c r="J553">
        <f t="shared" si="35"/>
        <v>2</v>
      </c>
    </row>
    <row r="554" spans="1:10" x14ac:dyDescent="0.25">
      <c r="A554" s="16" t="s">
        <v>577</v>
      </c>
      <c r="B554" s="14">
        <v>36936</v>
      </c>
      <c r="C554" s="31">
        <f>YEAR(Table1[[#This Row],[Tanggal Lahir]])</f>
        <v>2001</v>
      </c>
      <c r="D554" s="15">
        <f t="shared" si="32"/>
        <v>21.616666666666667</v>
      </c>
      <c r="E554" s="12" t="s">
        <v>7</v>
      </c>
      <c r="F554" s="14">
        <v>40445</v>
      </c>
      <c r="G554" s="13">
        <f t="shared" si="33"/>
        <v>2010</v>
      </c>
      <c r="H554" s="30">
        <f t="shared" si="34"/>
        <v>13000000</v>
      </c>
      <c r="I554" s="39">
        <v>3</v>
      </c>
      <c r="J554">
        <f t="shared" si="35"/>
        <v>2</v>
      </c>
    </row>
    <row r="555" spans="1:10" x14ac:dyDescent="0.25">
      <c r="A555" s="16" t="s">
        <v>578</v>
      </c>
      <c r="B555" s="14">
        <v>35482</v>
      </c>
      <c r="C555" s="31">
        <f>YEAR(Table1[[#This Row],[Tanggal Lahir]])</f>
        <v>1997</v>
      </c>
      <c r="D555" s="15">
        <f t="shared" si="32"/>
        <v>25.597222222222221</v>
      </c>
      <c r="E555" s="12" t="s">
        <v>10</v>
      </c>
      <c r="F555" s="14">
        <v>39698</v>
      </c>
      <c r="G555" s="13">
        <f t="shared" si="33"/>
        <v>2008</v>
      </c>
      <c r="H555" s="30">
        <f t="shared" si="34"/>
        <v>18000000</v>
      </c>
      <c r="I555" s="39">
        <v>5</v>
      </c>
      <c r="J555">
        <f t="shared" si="35"/>
        <v>2</v>
      </c>
    </row>
    <row r="556" spans="1:10" x14ac:dyDescent="0.25">
      <c r="A556" s="16" t="s">
        <v>579</v>
      </c>
      <c r="B556" s="14">
        <v>35277</v>
      </c>
      <c r="C556" s="31">
        <f>YEAR(Table1[[#This Row],[Tanggal Lahir]])</f>
        <v>1996</v>
      </c>
      <c r="D556" s="15">
        <f t="shared" si="32"/>
        <v>26.155555555555555</v>
      </c>
      <c r="E556" s="12" t="s">
        <v>10</v>
      </c>
      <c r="F556" s="14">
        <v>38525</v>
      </c>
      <c r="G556" s="13">
        <f t="shared" si="33"/>
        <v>2005</v>
      </c>
      <c r="H556" s="30">
        <f t="shared" si="34"/>
        <v>18000000</v>
      </c>
      <c r="I556" s="39">
        <v>5</v>
      </c>
      <c r="J556">
        <f t="shared" si="35"/>
        <v>3</v>
      </c>
    </row>
    <row r="557" spans="1:10" x14ac:dyDescent="0.25">
      <c r="A557" s="16" t="s">
        <v>580</v>
      </c>
      <c r="B557" s="14">
        <v>36284</v>
      </c>
      <c r="C557" s="31">
        <f>YEAR(Table1[[#This Row],[Tanggal Lahir]])</f>
        <v>1999</v>
      </c>
      <c r="D557" s="15">
        <f t="shared" si="32"/>
        <v>23.394444444444446</v>
      </c>
      <c r="E557" s="12" t="s">
        <v>10</v>
      </c>
      <c r="F557" s="14">
        <v>39797</v>
      </c>
      <c r="G557" s="13">
        <f t="shared" si="33"/>
        <v>2008</v>
      </c>
      <c r="H557" s="30">
        <f t="shared" si="34"/>
        <v>18000000</v>
      </c>
      <c r="I557" s="39">
        <v>5</v>
      </c>
      <c r="J557">
        <f t="shared" si="35"/>
        <v>2</v>
      </c>
    </row>
    <row r="558" spans="1:10" x14ac:dyDescent="0.25">
      <c r="A558" s="16" t="s">
        <v>581</v>
      </c>
      <c r="B558" s="14">
        <v>34864</v>
      </c>
      <c r="C558" s="31">
        <f>YEAR(Table1[[#This Row],[Tanggal Lahir]])</f>
        <v>1995</v>
      </c>
      <c r="D558" s="15">
        <f t="shared" si="32"/>
        <v>27.283333333333335</v>
      </c>
      <c r="E558" s="12" t="s">
        <v>10</v>
      </c>
      <c r="F558" s="14">
        <v>41385</v>
      </c>
      <c r="G558" s="13">
        <f t="shared" si="33"/>
        <v>2013</v>
      </c>
      <c r="H558" s="30">
        <f t="shared" si="34"/>
        <v>13000000</v>
      </c>
      <c r="I558" s="39">
        <v>6</v>
      </c>
      <c r="J558">
        <f t="shared" si="35"/>
        <v>2</v>
      </c>
    </row>
    <row r="559" spans="1:10" x14ac:dyDescent="0.25">
      <c r="A559" s="16" t="s">
        <v>582</v>
      </c>
      <c r="B559" s="14">
        <v>35448</v>
      </c>
      <c r="C559" s="31">
        <f>YEAR(Table1[[#This Row],[Tanggal Lahir]])</f>
        <v>1997</v>
      </c>
      <c r="D559" s="15">
        <f t="shared" si="32"/>
        <v>25.68888888888889</v>
      </c>
      <c r="E559" s="12" t="s">
        <v>7</v>
      </c>
      <c r="F559" s="14">
        <v>39148</v>
      </c>
      <c r="G559" s="13">
        <f t="shared" si="33"/>
        <v>2007</v>
      </c>
      <c r="H559" s="30">
        <f t="shared" si="34"/>
        <v>18000000</v>
      </c>
      <c r="I559" s="39">
        <v>6</v>
      </c>
      <c r="J559">
        <f t="shared" si="35"/>
        <v>2</v>
      </c>
    </row>
    <row r="560" spans="1:10" x14ac:dyDescent="0.25">
      <c r="A560" s="16" t="s">
        <v>583</v>
      </c>
      <c r="B560" s="14">
        <v>37444</v>
      </c>
      <c r="C560" s="31">
        <f>YEAR(Table1[[#This Row],[Tanggal Lahir]])</f>
        <v>2002</v>
      </c>
      <c r="D560" s="15">
        <f t="shared" si="32"/>
        <v>20.219444444444445</v>
      </c>
      <c r="E560" s="12" t="s">
        <v>10</v>
      </c>
      <c r="F560" s="14">
        <v>38704</v>
      </c>
      <c r="G560" s="13">
        <f t="shared" si="33"/>
        <v>2005</v>
      </c>
      <c r="H560" s="30">
        <f t="shared" si="34"/>
        <v>18000000</v>
      </c>
      <c r="I560" s="39">
        <v>3</v>
      </c>
      <c r="J560">
        <f t="shared" si="35"/>
        <v>2</v>
      </c>
    </row>
    <row r="561" spans="1:10" x14ac:dyDescent="0.25">
      <c r="A561" s="16" t="s">
        <v>584</v>
      </c>
      <c r="B561" s="14">
        <v>37252</v>
      </c>
      <c r="C561" s="31">
        <f>YEAR(Table1[[#This Row],[Tanggal Lahir]])</f>
        <v>2001</v>
      </c>
      <c r="D561" s="15">
        <f t="shared" si="32"/>
        <v>20.747222222222224</v>
      </c>
      <c r="E561" s="12" t="s">
        <v>7</v>
      </c>
      <c r="F561" s="14">
        <v>43910</v>
      </c>
      <c r="G561" s="13">
        <f t="shared" si="33"/>
        <v>2020</v>
      </c>
      <c r="H561" s="30">
        <f t="shared" si="34"/>
        <v>6800000</v>
      </c>
      <c r="I561" s="39">
        <v>6</v>
      </c>
      <c r="J561">
        <f t="shared" si="35"/>
        <v>2</v>
      </c>
    </row>
    <row r="562" spans="1:10" x14ac:dyDescent="0.25">
      <c r="A562" s="16" t="s">
        <v>585</v>
      </c>
      <c r="B562" s="14">
        <v>35836</v>
      </c>
      <c r="C562" s="31">
        <f>YEAR(Table1[[#This Row],[Tanggal Lahir]])</f>
        <v>1998</v>
      </c>
      <c r="D562" s="15">
        <f t="shared" si="32"/>
        <v>24.627777777777776</v>
      </c>
      <c r="E562" s="12" t="s">
        <v>10</v>
      </c>
      <c r="F562" s="14">
        <v>38353</v>
      </c>
      <c r="G562" s="13">
        <f t="shared" si="33"/>
        <v>2005</v>
      </c>
      <c r="H562" s="30">
        <f t="shared" si="34"/>
        <v>18000000</v>
      </c>
      <c r="I562" s="39">
        <v>4</v>
      </c>
      <c r="J562">
        <f t="shared" si="35"/>
        <v>2</v>
      </c>
    </row>
    <row r="563" spans="1:10" x14ac:dyDescent="0.25">
      <c r="A563" s="16" t="s">
        <v>586</v>
      </c>
      <c r="B563" s="14">
        <v>36304</v>
      </c>
      <c r="C563" s="31">
        <f>YEAR(Table1[[#This Row],[Tanggal Lahir]])</f>
        <v>1999</v>
      </c>
      <c r="D563" s="15">
        <f t="shared" si="32"/>
        <v>23.338888888888889</v>
      </c>
      <c r="E563" s="12" t="s">
        <v>10</v>
      </c>
      <c r="F563" s="14">
        <v>44419</v>
      </c>
      <c r="G563" s="13">
        <f t="shared" si="33"/>
        <v>2021</v>
      </c>
      <c r="H563" s="30">
        <f t="shared" si="34"/>
        <v>6800000</v>
      </c>
      <c r="I563" s="39">
        <v>1</v>
      </c>
      <c r="J563">
        <f t="shared" si="35"/>
        <v>2</v>
      </c>
    </row>
    <row r="564" spans="1:10" x14ac:dyDescent="0.25">
      <c r="A564" s="16" t="s">
        <v>587</v>
      </c>
      <c r="B564" s="14">
        <v>37433</v>
      </c>
      <c r="C564" s="31">
        <f>YEAR(Table1[[#This Row],[Tanggal Lahir]])</f>
        <v>2002</v>
      </c>
      <c r="D564" s="15">
        <f t="shared" si="32"/>
        <v>20.25</v>
      </c>
      <c r="E564" s="12" t="s">
        <v>7</v>
      </c>
      <c r="F564" s="14">
        <v>38877</v>
      </c>
      <c r="G564" s="13">
        <f t="shared" si="33"/>
        <v>2006</v>
      </c>
      <c r="H564" s="30">
        <f t="shared" si="34"/>
        <v>18000000</v>
      </c>
      <c r="I564" s="39">
        <v>4</v>
      </c>
      <c r="J564">
        <f t="shared" si="35"/>
        <v>2</v>
      </c>
    </row>
    <row r="565" spans="1:10" x14ac:dyDescent="0.25">
      <c r="A565" s="16" t="s">
        <v>588</v>
      </c>
      <c r="B565" s="14">
        <v>37883</v>
      </c>
      <c r="C565" s="31">
        <f>YEAR(Table1[[#This Row],[Tanggal Lahir]])</f>
        <v>2003</v>
      </c>
      <c r="D565" s="15">
        <f t="shared" si="32"/>
        <v>19.019444444444446</v>
      </c>
      <c r="E565" s="12" t="s">
        <v>10</v>
      </c>
      <c r="F565" s="14">
        <v>40284</v>
      </c>
      <c r="G565" s="13">
        <f t="shared" si="33"/>
        <v>2010</v>
      </c>
      <c r="H565" s="30">
        <f t="shared" si="34"/>
        <v>13000000</v>
      </c>
      <c r="I565" s="39">
        <v>5</v>
      </c>
      <c r="J565">
        <f t="shared" si="35"/>
        <v>2</v>
      </c>
    </row>
    <row r="566" spans="1:10" x14ac:dyDescent="0.25">
      <c r="A566" s="16" t="s">
        <v>589</v>
      </c>
      <c r="B566" s="14">
        <v>34760</v>
      </c>
      <c r="C566" s="31">
        <f>YEAR(Table1[[#This Row],[Tanggal Lahir]])</f>
        <v>1995</v>
      </c>
      <c r="D566" s="15">
        <f t="shared" si="32"/>
        <v>27.566666666666666</v>
      </c>
      <c r="E566" s="12" t="s">
        <v>10</v>
      </c>
      <c r="F566" s="14">
        <v>43919</v>
      </c>
      <c r="G566" s="13">
        <f t="shared" si="33"/>
        <v>2020</v>
      </c>
      <c r="H566" s="30">
        <f t="shared" si="34"/>
        <v>6800000</v>
      </c>
      <c r="I566" s="39">
        <v>2</v>
      </c>
      <c r="J566">
        <f t="shared" si="35"/>
        <v>3</v>
      </c>
    </row>
    <row r="567" spans="1:10" x14ac:dyDescent="0.25">
      <c r="A567" s="16" t="s">
        <v>590</v>
      </c>
      <c r="B567" s="14">
        <v>37716</v>
      </c>
      <c r="C567" s="31">
        <f>YEAR(Table1[[#This Row],[Tanggal Lahir]])</f>
        <v>2003</v>
      </c>
      <c r="D567" s="15">
        <f t="shared" si="32"/>
        <v>19.475000000000001</v>
      </c>
      <c r="E567" s="12" t="s">
        <v>14</v>
      </c>
      <c r="F567" s="14">
        <v>42880</v>
      </c>
      <c r="G567" s="13">
        <f t="shared" si="33"/>
        <v>2017</v>
      </c>
      <c r="H567" s="30">
        <f t="shared" si="34"/>
        <v>9000000</v>
      </c>
      <c r="I567" s="39">
        <v>2</v>
      </c>
      <c r="J567">
        <f t="shared" si="35"/>
        <v>2</v>
      </c>
    </row>
    <row r="568" spans="1:10" x14ac:dyDescent="0.25">
      <c r="A568" s="16" t="s">
        <v>591</v>
      </c>
      <c r="B568" s="14">
        <v>35398</v>
      </c>
      <c r="C568" s="31">
        <f>YEAR(Table1[[#This Row],[Tanggal Lahir]])</f>
        <v>1996</v>
      </c>
      <c r="D568" s="15">
        <f t="shared" si="32"/>
        <v>25.824999999999999</v>
      </c>
      <c r="E568" s="12" t="s">
        <v>10</v>
      </c>
      <c r="F568" s="14">
        <v>43146</v>
      </c>
      <c r="G568" s="13">
        <f t="shared" si="33"/>
        <v>2018</v>
      </c>
      <c r="H568" s="30">
        <f t="shared" si="34"/>
        <v>9000000</v>
      </c>
      <c r="I568" s="39">
        <v>2</v>
      </c>
      <c r="J568">
        <f t="shared" si="35"/>
        <v>2</v>
      </c>
    </row>
    <row r="569" spans="1:10" x14ac:dyDescent="0.25">
      <c r="A569" s="16" t="s">
        <v>592</v>
      </c>
      <c r="B569" s="14">
        <v>36315</v>
      </c>
      <c r="C569" s="31">
        <f>YEAR(Table1[[#This Row],[Tanggal Lahir]])</f>
        <v>1999</v>
      </c>
      <c r="D569" s="15">
        <f t="shared" si="32"/>
        <v>23.31111111111111</v>
      </c>
      <c r="E569" s="12" t="s">
        <v>10</v>
      </c>
      <c r="F569" s="14">
        <v>40185</v>
      </c>
      <c r="G569" s="13">
        <f t="shared" si="33"/>
        <v>2010</v>
      </c>
      <c r="H569" s="30">
        <f t="shared" si="34"/>
        <v>13000000</v>
      </c>
      <c r="I569" s="39">
        <v>6</v>
      </c>
      <c r="J569">
        <f t="shared" si="35"/>
        <v>3</v>
      </c>
    </row>
    <row r="570" spans="1:10" x14ac:dyDescent="0.25">
      <c r="A570" s="16" t="s">
        <v>593</v>
      </c>
      <c r="B570" s="14">
        <v>37013</v>
      </c>
      <c r="C570" s="31">
        <f>YEAR(Table1[[#This Row],[Tanggal Lahir]])</f>
        <v>2001</v>
      </c>
      <c r="D570" s="15">
        <f t="shared" si="32"/>
        <v>21.4</v>
      </c>
      <c r="E570" s="12" t="s">
        <v>10</v>
      </c>
      <c r="F570" s="14">
        <v>39073</v>
      </c>
      <c r="G570" s="13">
        <f t="shared" si="33"/>
        <v>2006</v>
      </c>
      <c r="H570" s="30">
        <f t="shared" si="34"/>
        <v>18000000</v>
      </c>
      <c r="I570" s="39">
        <v>5</v>
      </c>
      <c r="J570">
        <f t="shared" si="35"/>
        <v>3</v>
      </c>
    </row>
    <row r="571" spans="1:10" x14ac:dyDescent="0.25">
      <c r="A571" s="16" t="s">
        <v>594</v>
      </c>
      <c r="B571" s="14">
        <v>36287</v>
      </c>
      <c r="C571" s="31">
        <f>YEAR(Table1[[#This Row],[Tanggal Lahir]])</f>
        <v>1999</v>
      </c>
      <c r="D571" s="15">
        <f t="shared" si="32"/>
        <v>23.386111111111113</v>
      </c>
      <c r="E571" s="12" t="s">
        <v>7</v>
      </c>
      <c r="F571" s="14">
        <v>44201</v>
      </c>
      <c r="G571" s="13">
        <f t="shared" si="33"/>
        <v>2021</v>
      </c>
      <c r="H571" s="30">
        <f t="shared" si="34"/>
        <v>6800000</v>
      </c>
      <c r="I571" s="39">
        <v>1</v>
      </c>
      <c r="J571">
        <f t="shared" si="35"/>
        <v>3</v>
      </c>
    </row>
    <row r="572" spans="1:10" x14ac:dyDescent="0.25">
      <c r="A572" s="16" t="s">
        <v>595</v>
      </c>
      <c r="B572" s="14">
        <v>35213</v>
      </c>
      <c r="C572" s="31">
        <f>YEAR(Table1[[#This Row],[Tanggal Lahir]])</f>
        <v>1996</v>
      </c>
      <c r="D572" s="15">
        <f t="shared" si="32"/>
        <v>26.327777777777779</v>
      </c>
      <c r="E572" s="12" t="s">
        <v>10</v>
      </c>
      <c r="F572" s="14">
        <v>40502</v>
      </c>
      <c r="G572" s="13">
        <f t="shared" si="33"/>
        <v>2010</v>
      </c>
      <c r="H572" s="30">
        <f t="shared" si="34"/>
        <v>13000000</v>
      </c>
      <c r="I572" s="39">
        <v>4</v>
      </c>
      <c r="J572">
        <f t="shared" si="35"/>
        <v>3</v>
      </c>
    </row>
    <row r="573" spans="1:10" x14ac:dyDescent="0.25">
      <c r="A573" s="16" t="s">
        <v>596</v>
      </c>
      <c r="B573" s="14">
        <v>35037</v>
      </c>
      <c r="C573" s="31">
        <f>YEAR(Table1[[#This Row],[Tanggal Lahir]])</f>
        <v>1995</v>
      </c>
      <c r="D573" s="15">
        <f t="shared" si="32"/>
        <v>26.81111111111111</v>
      </c>
      <c r="E573" s="12" t="s">
        <v>10</v>
      </c>
      <c r="F573" s="14">
        <v>44565</v>
      </c>
      <c r="G573" s="13">
        <f t="shared" si="33"/>
        <v>2022</v>
      </c>
      <c r="H573" s="30">
        <f t="shared" si="34"/>
        <v>6800000</v>
      </c>
      <c r="I573" s="39">
        <v>5</v>
      </c>
      <c r="J573">
        <f t="shared" si="35"/>
        <v>3</v>
      </c>
    </row>
    <row r="574" spans="1:10" x14ac:dyDescent="0.25">
      <c r="A574" s="16" t="s">
        <v>597</v>
      </c>
      <c r="B574" s="14">
        <v>36926</v>
      </c>
      <c r="C574" s="31">
        <f>YEAR(Table1[[#This Row],[Tanggal Lahir]])</f>
        <v>2001</v>
      </c>
      <c r="D574" s="15">
        <f t="shared" si="32"/>
        <v>21.644444444444446</v>
      </c>
      <c r="E574" s="12" t="s">
        <v>10</v>
      </c>
      <c r="F574" s="14">
        <v>38722</v>
      </c>
      <c r="G574" s="13">
        <f t="shared" si="33"/>
        <v>2006</v>
      </c>
      <c r="H574" s="30">
        <f t="shared" si="34"/>
        <v>18000000</v>
      </c>
      <c r="I574" s="39">
        <v>5</v>
      </c>
      <c r="J574">
        <f t="shared" si="35"/>
        <v>2</v>
      </c>
    </row>
    <row r="575" spans="1:10" x14ac:dyDescent="0.25">
      <c r="A575" s="16" t="s">
        <v>598</v>
      </c>
      <c r="B575" s="14">
        <v>36188</v>
      </c>
      <c r="C575" s="31">
        <f>YEAR(Table1[[#This Row],[Tanggal Lahir]])</f>
        <v>1999</v>
      </c>
      <c r="D575" s="15">
        <f t="shared" si="32"/>
        <v>23.661111111111111</v>
      </c>
      <c r="E575" s="12" t="s">
        <v>14</v>
      </c>
      <c r="F575" s="14">
        <v>44720</v>
      </c>
      <c r="G575" s="13">
        <f t="shared" si="33"/>
        <v>2022</v>
      </c>
      <c r="H575" s="30">
        <f t="shared" si="34"/>
        <v>6800000</v>
      </c>
      <c r="I575" s="39">
        <v>3</v>
      </c>
      <c r="J575">
        <f t="shared" si="35"/>
        <v>3</v>
      </c>
    </row>
    <row r="576" spans="1:10" x14ac:dyDescent="0.25">
      <c r="A576" s="16" t="s">
        <v>599</v>
      </c>
      <c r="B576" s="14">
        <v>37258</v>
      </c>
      <c r="C576" s="31">
        <f>YEAR(Table1[[#This Row],[Tanggal Lahir]])</f>
        <v>2002</v>
      </c>
      <c r="D576" s="15">
        <f t="shared" si="32"/>
        <v>20.733333333333334</v>
      </c>
      <c r="E576" s="12" t="s">
        <v>10</v>
      </c>
      <c r="F576" s="14">
        <v>41822</v>
      </c>
      <c r="G576" s="13">
        <f t="shared" si="33"/>
        <v>2014</v>
      </c>
      <c r="H576" s="30">
        <f t="shared" si="34"/>
        <v>9000000</v>
      </c>
      <c r="I576" s="39">
        <v>3</v>
      </c>
      <c r="J576">
        <f t="shared" si="35"/>
        <v>3</v>
      </c>
    </row>
    <row r="577" spans="1:10" x14ac:dyDescent="0.25">
      <c r="A577" s="16" t="s">
        <v>600</v>
      </c>
      <c r="B577" s="14">
        <v>34669</v>
      </c>
      <c r="C577" s="31">
        <f>YEAR(Table1[[#This Row],[Tanggal Lahir]])</f>
        <v>1994</v>
      </c>
      <c r="D577" s="15">
        <f t="shared" si="32"/>
        <v>27.819444444444443</v>
      </c>
      <c r="E577" s="12" t="s">
        <v>10</v>
      </c>
      <c r="F577" s="14">
        <v>40814</v>
      </c>
      <c r="G577" s="13">
        <f t="shared" si="33"/>
        <v>2011</v>
      </c>
      <c r="H577" s="30">
        <f t="shared" si="34"/>
        <v>13000000</v>
      </c>
      <c r="I577" s="39">
        <v>6</v>
      </c>
      <c r="J577">
        <f t="shared" si="35"/>
        <v>3</v>
      </c>
    </row>
    <row r="578" spans="1:10" x14ac:dyDescent="0.25">
      <c r="A578" s="16" t="s">
        <v>601</v>
      </c>
      <c r="B578" s="14">
        <v>37521</v>
      </c>
      <c r="C578" s="31">
        <f>YEAR(Table1[[#This Row],[Tanggal Lahir]])</f>
        <v>2002</v>
      </c>
      <c r="D578" s="15">
        <f t="shared" ref="D578:D641" si="36">YEARFRAC(B578,$L$2)</f>
        <v>20.011111111111113</v>
      </c>
      <c r="E578" s="12" t="s">
        <v>10</v>
      </c>
      <c r="F578" s="14">
        <v>38994</v>
      </c>
      <c r="G578" s="13">
        <f t="shared" ref="G578:G641" si="37">YEAR(F578)</f>
        <v>2006</v>
      </c>
      <c r="H578" s="30">
        <f t="shared" ref="H578:H641" si="38">IF(G578&lt;= 2008,18000000,IF(AND(G578&gt;=2009,G578&lt;=2013),13000000,IF(AND(G578&gt;=2014,G578&lt;=2019),9000000,6800000)))</f>
        <v>18000000</v>
      </c>
      <c r="I578" s="39">
        <v>1</v>
      </c>
      <c r="J578">
        <f t="shared" ref="J578:J641" si="39">SUM(LEN(A578)-LEN(SUBSTITUTE(A578," ",""))+1)</f>
        <v>2</v>
      </c>
    </row>
    <row r="579" spans="1:10" x14ac:dyDescent="0.25">
      <c r="A579" s="16" t="s">
        <v>602</v>
      </c>
      <c r="B579" s="14">
        <v>35197</v>
      </c>
      <c r="C579" s="31">
        <f>YEAR(Table1[[#This Row],[Tanggal Lahir]])</f>
        <v>1996</v>
      </c>
      <c r="D579" s="15">
        <f t="shared" si="36"/>
        <v>26.372222222222224</v>
      </c>
      <c r="E579" s="12" t="s">
        <v>10</v>
      </c>
      <c r="F579" s="14">
        <v>42754</v>
      </c>
      <c r="G579" s="13">
        <f t="shared" si="37"/>
        <v>2017</v>
      </c>
      <c r="H579" s="30">
        <f t="shared" si="38"/>
        <v>9000000</v>
      </c>
      <c r="I579" s="39">
        <v>5</v>
      </c>
      <c r="J579">
        <f t="shared" si="39"/>
        <v>3</v>
      </c>
    </row>
    <row r="580" spans="1:10" x14ac:dyDescent="0.25">
      <c r="A580" s="16" t="s">
        <v>603</v>
      </c>
      <c r="B580" s="14">
        <v>37007</v>
      </c>
      <c r="C580" s="31">
        <f>YEAR(Table1[[#This Row],[Tanggal Lahir]])</f>
        <v>2001</v>
      </c>
      <c r="D580" s="15">
        <f t="shared" si="36"/>
        <v>21.416666666666668</v>
      </c>
      <c r="E580" s="12" t="s">
        <v>10</v>
      </c>
      <c r="F580" s="14">
        <v>42468</v>
      </c>
      <c r="G580" s="13">
        <f t="shared" si="37"/>
        <v>2016</v>
      </c>
      <c r="H580" s="30">
        <f t="shared" si="38"/>
        <v>9000000</v>
      </c>
      <c r="I580" s="39">
        <v>3</v>
      </c>
      <c r="J580">
        <f t="shared" si="39"/>
        <v>2</v>
      </c>
    </row>
    <row r="581" spans="1:10" x14ac:dyDescent="0.25">
      <c r="A581" s="16" t="s">
        <v>604</v>
      </c>
      <c r="B581" s="14">
        <v>37243</v>
      </c>
      <c r="C581" s="31">
        <f>YEAR(Table1[[#This Row],[Tanggal Lahir]])</f>
        <v>2001</v>
      </c>
      <c r="D581" s="15">
        <f t="shared" si="36"/>
        <v>20.772222222222222</v>
      </c>
      <c r="E581" s="12" t="s">
        <v>7</v>
      </c>
      <c r="F581" s="14">
        <v>42202</v>
      </c>
      <c r="G581" s="13">
        <f t="shared" si="37"/>
        <v>2015</v>
      </c>
      <c r="H581" s="30">
        <f t="shared" si="38"/>
        <v>9000000</v>
      </c>
      <c r="I581" s="39">
        <v>5</v>
      </c>
      <c r="J581">
        <f t="shared" si="39"/>
        <v>2</v>
      </c>
    </row>
    <row r="582" spans="1:10" x14ac:dyDescent="0.25">
      <c r="A582" s="16" t="s">
        <v>605</v>
      </c>
      <c r="B582" s="14">
        <v>36601</v>
      </c>
      <c r="C582" s="31">
        <f>YEAR(Table1[[#This Row],[Tanggal Lahir]])</f>
        <v>2000</v>
      </c>
      <c r="D582" s="15">
        <f t="shared" si="36"/>
        <v>22.527777777777779</v>
      </c>
      <c r="E582" s="12" t="s">
        <v>10</v>
      </c>
      <c r="F582" s="14">
        <v>43343</v>
      </c>
      <c r="G582" s="13">
        <f t="shared" si="37"/>
        <v>2018</v>
      </c>
      <c r="H582" s="30">
        <f t="shared" si="38"/>
        <v>9000000</v>
      </c>
      <c r="I582" s="39">
        <v>4</v>
      </c>
      <c r="J582">
        <f t="shared" si="39"/>
        <v>2</v>
      </c>
    </row>
    <row r="583" spans="1:10" x14ac:dyDescent="0.25">
      <c r="A583" s="16" t="s">
        <v>606</v>
      </c>
      <c r="B583" s="14">
        <v>34567</v>
      </c>
      <c r="C583" s="31">
        <f>YEAR(Table1[[#This Row],[Tanggal Lahir]])</f>
        <v>1994</v>
      </c>
      <c r="D583" s="15">
        <f t="shared" si="36"/>
        <v>28.097222222222221</v>
      </c>
      <c r="E583" s="12" t="s">
        <v>14</v>
      </c>
      <c r="F583" s="14">
        <v>38426</v>
      </c>
      <c r="G583" s="13">
        <f t="shared" si="37"/>
        <v>2005</v>
      </c>
      <c r="H583" s="30">
        <f t="shared" si="38"/>
        <v>18000000</v>
      </c>
      <c r="I583" s="39">
        <v>3</v>
      </c>
      <c r="J583">
        <f t="shared" si="39"/>
        <v>2</v>
      </c>
    </row>
    <row r="584" spans="1:10" x14ac:dyDescent="0.25">
      <c r="A584" s="16" t="s">
        <v>607</v>
      </c>
      <c r="B584" s="14">
        <v>34514</v>
      </c>
      <c r="C584" s="31">
        <f>YEAR(Table1[[#This Row],[Tanggal Lahir]])</f>
        <v>1994</v>
      </c>
      <c r="D584" s="15">
        <f t="shared" si="36"/>
        <v>28.241666666666667</v>
      </c>
      <c r="E584" s="12" t="s">
        <v>14</v>
      </c>
      <c r="F584" s="14">
        <v>38357</v>
      </c>
      <c r="G584" s="13">
        <f t="shared" si="37"/>
        <v>2005</v>
      </c>
      <c r="H584" s="30">
        <f t="shared" si="38"/>
        <v>18000000</v>
      </c>
      <c r="I584" s="39">
        <v>1</v>
      </c>
      <c r="J584">
        <f t="shared" si="39"/>
        <v>2</v>
      </c>
    </row>
    <row r="585" spans="1:10" x14ac:dyDescent="0.25">
      <c r="A585" s="16" t="s">
        <v>608</v>
      </c>
      <c r="B585" s="14">
        <v>37866</v>
      </c>
      <c r="C585" s="31">
        <f>YEAR(Table1[[#This Row],[Tanggal Lahir]])</f>
        <v>2003</v>
      </c>
      <c r="D585" s="15">
        <f t="shared" si="36"/>
        <v>19.066666666666666</v>
      </c>
      <c r="E585" s="12" t="s">
        <v>10</v>
      </c>
      <c r="F585" s="14">
        <v>38571</v>
      </c>
      <c r="G585" s="13">
        <f t="shared" si="37"/>
        <v>2005</v>
      </c>
      <c r="H585" s="30">
        <f t="shared" si="38"/>
        <v>18000000</v>
      </c>
      <c r="I585" s="39">
        <v>5</v>
      </c>
      <c r="J585">
        <f t="shared" si="39"/>
        <v>2</v>
      </c>
    </row>
    <row r="586" spans="1:10" x14ac:dyDescent="0.25">
      <c r="A586" s="16" t="s">
        <v>609</v>
      </c>
      <c r="B586" s="14">
        <v>34754</v>
      </c>
      <c r="C586" s="31">
        <f>YEAR(Table1[[#This Row],[Tanggal Lahir]])</f>
        <v>1995</v>
      </c>
      <c r="D586" s="15">
        <f t="shared" si="36"/>
        <v>27.588888888888889</v>
      </c>
      <c r="E586" s="12" t="s">
        <v>10</v>
      </c>
      <c r="F586" s="14">
        <v>42606</v>
      </c>
      <c r="G586" s="13">
        <f t="shared" si="37"/>
        <v>2016</v>
      </c>
      <c r="H586" s="30">
        <f t="shared" si="38"/>
        <v>9000000</v>
      </c>
      <c r="I586" s="39">
        <v>2</v>
      </c>
      <c r="J586">
        <f t="shared" si="39"/>
        <v>2</v>
      </c>
    </row>
    <row r="587" spans="1:10" x14ac:dyDescent="0.25">
      <c r="A587" s="16" t="s">
        <v>610</v>
      </c>
      <c r="B587" s="14">
        <v>35581</v>
      </c>
      <c r="C587" s="31">
        <f>YEAR(Table1[[#This Row],[Tanggal Lahir]])</f>
        <v>1997</v>
      </c>
      <c r="D587" s="15">
        <f t="shared" si="36"/>
        <v>25.322222222222223</v>
      </c>
      <c r="E587" s="12" t="s">
        <v>14</v>
      </c>
      <c r="F587" s="14">
        <v>41200</v>
      </c>
      <c r="G587" s="13">
        <f t="shared" si="37"/>
        <v>2012</v>
      </c>
      <c r="H587" s="30">
        <f t="shared" si="38"/>
        <v>13000000</v>
      </c>
      <c r="I587" s="39">
        <v>2</v>
      </c>
      <c r="J587">
        <f t="shared" si="39"/>
        <v>2</v>
      </c>
    </row>
    <row r="588" spans="1:10" x14ac:dyDescent="0.25">
      <c r="A588" s="16" t="s">
        <v>611</v>
      </c>
      <c r="B588" s="14">
        <v>36609</v>
      </c>
      <c r="C588" s="31">
        <f>YEAR(Table1[[#This Row],[Tanggal Lahir]])</f>
        <v>2000</v>
      </c>
      <c r="D588" s="15">
        <f t="shared" si="36"/>
        <v>22.505555555555556</v>
      </c>
      <c r="E588" s="12" t="s">
        <v>7</v>
      </c>
      <c r="F588" s="14">
        <v>39421</v>
      </c>
      <c r="G588" s="13">
        <f t="shared" si="37"/>
        <v>2007</v>
      </c>
      <c r="H588" s="30">
        <f t="shared" si="38"/>
        <v>18000000</v>
      </c>
      <c r="I588" s="39">
        <v>6</v>
      </c>
      <c r="J588">
        <f t="shared" si="39"/>
        <v>2</v>
      </c>
    </row>
    <row r="589" spans="1:10" x14ac:dyDescent="0.25">
      <c r="A589" s="16" t="s">
        <v>612</v>
      </c>
      <c r="B589" s="14">
        <v>36055</v>
      </c>
      <c r="C589" s="31">
        <f>YEAR(Table1[[#This Row],[Tanggal Lahir]])</f>
        <v>1998</v>
      </c>
      <c r="D589" s="15">
        <f t="shared" si="36"/>
        <v>24.024999999999999</v>
      </c>
      <c r="E589" s="12" t="s">
        <v>10</v>
      </c>
      <c r="F589" s="14">
        <v>42699</v>
      </c>
      <c r="G589" s="13">
        <f t="shared" si="37"/>
        <v>2016</v>
      </c>
      <c r="H589" s="30">
        <f t="shared" si="38"/>
        <v>9000000</v>
      </c>
      <c r="I589" s="39">
        <v>2</v>
      </c>
      <c r="J589">
        <f t="shared" si="39"/>
        <v>2</v>
      </c>
    </row>
    <row r="590" spans="1:10" x14ac:dyDescent="0.25">
      <c r="A590" s="16" t="s">
        <v>613</v>
      </c>
      <c r="B590" s="14">
        <v>37716</v>
      </c>
      <c r="C590" s="31">
        <f>YEAR(Table1[[#This Row],[Tanggal Lahir]])</f>
        <v>2003</v>
      </c>
      <c r="D590" s="15">
        <f t="shared" si="36"/>
        <v>19.475000000000001</v>
      </c>
      <c r="E590" s="12" t="s">
        <v>14</v>
      </c>
      <c r="F590" s="14">
        <v>41386</v>
      </c>
      <c r="G590" s="13">
        <f t="shared" si="37"/>
        <v>2013</v>
      </c>
      <c r="H590" s="30">
        <f t="shared" si="38"/>
        <v>13000000</v>
      </c>
      <c r="I590" s="39">
        <v>3</v>
      </c>
      <c r="J590">
        <f t="shared" si="39"/>
        <v>2</v>
      </c>
    </row>
    <row r="591" spans="1:10" x14ac:dyDescent="0.25">
      <c r="A591" s="16" t="s">
        <v>614</v>
      </c>
      <c r="B591" s="14">
        <v>35023</v>
      </c>
      <c r="C591" s="31">
        <f>YEAR(Table1[[#This Row],[Tanggal Lahir]])</f>
        <v>1995</v>
      </c>
      <c r="D591" s="15">
        <f t="shared" si="36"/>
        <v>26.85</v>
      </c>
      <c r="E591" s="12" t="s">
        <v>10</v>
      </c>
      <c r="F591" s="14">
        <v>41918</v>
      </c>
      <c r="G591" s="13">
        <f t="shared" si="37"/>
        <v>2014</v>
      </c>
      <c r="H591" s="30">
        <f t="shared" si="38"/>
        <v>9000000</v>
      </c>
      <c r="I591" s="39">
        <v>5</v>
      </c>
      <c r="J591">
        <f t="shared" si="39"/>
        <v>2</v>
      </c>
    </row>
    <row r="592" spans="1:10" x14ac:dyDescent="0.25">
      <c r="A592" s="16" t="s">
        <v>615</v>
      </c>
      <c r="B592" s="14">
        <v>34817</v>
      </c>
      <c r="C592" s="31">
        <f>YEAR(Table1[[#This Row],[Tanggal Lahir]])</f>
        <v>1995</v>
      </c>
      <c r="D592" s="15">
        <f t="shared" si="36"/>
        <v>27.411111111111111</v>
      </c>
      <c r="E592" s="12" t="s">
        <v>10</v>
      </c>
      <c r="F592" s="14">
        <v>43323</v>
      </c>
      <c r="G592" s="13">
        <f t="shared" si="37"/>
        <v>2018</v>
      </c>
      <c r="H592" s="30">
        <f t="shared" si="38"/>
        <v>9000000</v>
      </c>
      <c r="I592" s="39">
        <v>1</v>
      </c>
      <c r="J592">
        <f t="shared" si="39"/>
        <v>2</v>
      </c>
    </row>
    <row r="593" spans="1:10" x14ac:dyDescent="0.25">
      <c r="A593" s="16" t="s">
        <v>616</v>
      </c>
      <c r="B593" s="14">
        <v>35535</v>
      </c>
      <c r="C593" s="31">
        <f>YEAR(Table1[[#This Row],[Tanggal Lahir]])</f>
        <v>1997</v>
      </c>
      <c r="D593" s="15">
        <f t="shared" si="36"/>
        <v>25.447222222222223</v>
      </c>
      <c r="E593" s="12" t="s">
        <v>299</v>
      </c>
      <c r="F593" s="14">
        <v>43114</v>
      </c>
      <c r="G593" s="13">
        <f t="shared" si="37"/>
        <v>2018</v>
      </c>
      <c r="H593" s="30">
        <f t="shared" si="38"/>
        <v>9000000</v>
      </c>
      <c r="I593" s="39">
        <v>4</v>
      </c>
      <c r="J593">
        <f t="shared" si="39"/>
        <v>2</v>
      </c>
    </row>
    <row r="594" spans="1:10" x14ac:dyDescent="0.25">
      <c r="A594" s="16" t="s">
        <v>617</v>
      </c>
      <c r="B594" s="14">
        <v>35919</v>
      </c>
      <c r="C594" s="31">
        <f>YEAR(Table1[[#This Row],[Tanggal Lahir]])</f>
        <v>1998</v>
      </c>
      <c r="D594" s="15">
        <f t="shared" si="36"/>
        <v>24.394444444444446</v>
      </c>
      <c r="E594" s="12" t="s">
        <v>10</v>
      </c>
      <c r="F594" s="14">
        <v>41494</v>
      </c>
      <c r="G594" s="13">
        <f t="shared" si="37"/>
        <v>2013</v>
      </c>
      <c r="H594" s="30">
        <f t="shared" si="38"/>
        <v>13000000</v>
      </c>
      <c r="I594" s="39">
        <v>2</v>
      </c>
      <c r="J594">
        <f t="shared" si="39"/>
        <v>2</v>
      </c>
    </row>
    <row r="595" spans="1:10" x14ac:dyDescent="0.25">
      <c r="A595" s="16" t="s">
        <v>618</v>
      </c>
      <c r="B595" s="14">
        <v>36750</v>
      </c>
      <c r="C595" s="31">
        <f>YEAR(Table1[[#This Row],[Tanggal Lahir]])</f>
        <v>2000</v>
      </c>
      <c r="D595" s="15">
        <f t="shared" si="36"/>
        <v>22.122222222222224</v>
      </c>
      <c r="E595" s="12" t="s">
        <v>14</v>
      </c>
      <c r="F595" s="14">
        <v>40874</v>
      </c>
      <c r="G595" s="13">
        <f t="shared" si="37"/>
        <v>2011</v>
      </c>
      <c r="H595" s="30">
        <f t="shared" si="38"/>
        <v>13000000</v>
      </c>
      <c r="I595" s="39">
        <v>5</v>
      </c>
      <c r="J595">
        <f t="shared" si="39"/>
        <v>2</v>
      </c>
    </row>
    <row r="596" spans="1:10" x14ac:dyDescent="0.25">
      <c r="A596" s="16" t="s">
        <v>619</v>
      </c>
      <c r="B596" s="14">
        <v>37479</v>
      </c>
      <c r="C596" s="31">
        <f>YEAR(Table1[[#This Row],[Tanggal Lahir]])</f>
        <v>2002</v>
      </c>
      <c r="D596" s="15">
        <f t="shared" si="36"/>
        <v>20.125</v>
      </c>
      <c r="E596" s="12" t="s">
        <v>10</v>
      </c>
      <c r="F596" s="14">
        <v>38391</v>
      </c>
      <c r="G596" s="13">
        <f t="shared" si="37"/>
        <v>2005</v>
      </c>
      <c r="H596" s="30">
        <f t="shared" si="38"/>
        <v>18000000</v>
      </c>
      <c r="I596" s="39">
        <v>6</v>
      </c>
      <c r="J596">
        <f t="shared" si="39"/>
        <v>2</v>
      </c>
    </row>
    <row r="597" spans="1:10" x14ac:dyDescent="0.25">
      <c r="A597" s="16" t="s">
        <v>620</v>
      </c>
      <c r="B597" s="14">
        <v>36304</v>
      </c>
      <c r="C597" s="31">
        <f>YEAR(Table1[[#This Row],[Tanggal Lahir]])</f>
        <v>1999</v>
      </c>
      <c r="D597" s="15">
        <f t="shared" si="36"/>
        <v>23.338888888888889</v>
      </c>
      <c r="E597" s="12" t="s">
        <v>14</v>
      </c>
      <c r="F597" s="14">
        <v>42824</v>
      </c>
      <c r="G597" s="13">
        <f t="shared" si="37"/>
        <v>2017</v>
      </c>
      <c r="H597" s="30">
        <f t="shared" si="38"/>
        <v>9000000</v>
      </c>
      <c r="I597" s="39">
        <v>1</v>
      </c>
      <c r="J597">
        <f t="shared" si="39"/>
        <v>2</v>
      </c>
    </row>
    <row r="598" spans="1:10" x14ac:dyDescent="0.25">
      <c r="A598" s="16" t="s">
        <v>621</v>
      </c>
      <c r="B598" s="14">
        <v>37170</v>
      </c>
      <c r="C598" s="31">
        <f>YEAR(Table1[[#This Row],[Tanggal Lahir]])</f>
        <v>2001</v>
      </c>
      <c r="D598" s="15">
        <f t="shared" si="36"/>
        <v>20.972222222222221</v>
      </c>
      <c r="E598" s="12" t="s">
        <v>14</v>
      </c>
      <c r="F598" s="14">
        <v>43528</v>
      </c>
      <c r="G598" s="13">
        <f t="shared" si="37"/>
        <v>2019</v>
      </c>
      <c r="H598" s="30">
        <f t="shared" si="38"/>
        <v>9000000</v>
      </c>
      <c r="I598" s="39">
        <v>4</v>
      </c>
      <c r="J598">
        <f t="shared" si="39"/>
        <v>2</v>
      </c>
    </row>
    <row r="599" spans="1:10" x14ac:dyDescent="0.25">
      <c r="A599" s="16" t="s">
        <v>622</v>
      </c>
      <c r="B599" s="14">
        <v>37900</v>
      </c>
      <c r="C599" s="31">
        <f>YEAR(Table1[[#This Row],[Tanggal Lahir]])</f>
        <v>2003</v>
      </c>
      <c r="D599" s="15">
        <f t="shared" si="36"/>
        <v>18.972222222222221</v>
      </c>
      <c r="E599" s="12" t="s">
        <v>7</v>
      </c>
      <c r="F599" s="14">
        <v>43820</v>
      </c>
      <c r="G599" s="13">
        <f t="shared" si="37"/>
        <v>2019</v>
      </c>
      <c r="H599" s="30">
        <f t="shared" si="38"/>
        <v>9000000</v>
      </c>
      <c r="I599" s="39">
        <v>4</v>
      </c>
      <c r="J599">
        <f t="shared" si="39"/>
        <v>2</v>
      </c>
    </row>
    <row r="600" spans="1:10" x14ac:dyDescent="0.25">
      <c r="A600" s="16" t="s">
        <v>623</v>
      </c>
      <c r="B600" s="14">
        <v>37496</v>
      </c>
      <c r="C600" s="31">
        <f>YEAR(Table1[[#This Row],[Tanggal Lahir]])</f>
        <v>2002</v>
      </c>
      <c r="D600" s="15">
        <f t="shared" si="36"/>
        <v>20.077777777777779</v>
      </c>
      <c r="E600" s="12" t="s">
        <v>10</v>
      </c>
      <c r="F600" s="14">
        <v>40367</v>
      </c>
      <c r="G600" s="13">
        <f t="shared" si="37"/>
        <v>2010</v>
      </c>
      <c r="H600" s="30">
        <f t="shared" si="38"/>
        <v>13000000</v>
      </c>
      <c r="I600" s="39">
        <v>2</v>
      </c>
      <c r="J600">
        <f t="shared" si="39"/>
        <v>2</v>
      </c>
    </row>
    <row r="601" spans="1:10" x14ac:dyDescent="0.25">
      <c r="A601" s="16" t="s">
        <v>624</v>
      </c>
      <c r="B601" s="14">
        <v>36595</v>
      </c>
      <c r="C601" s="31">
        <f>YEAR(Table1[[#This Row],[Tanggal Lahir]])</f>
        <v>2000</v>
      </c>
      <c r="D601" s="15">
        <f t="shared" si="36"/>
        <v>22.544444444444444</v>
      </c>
      <c r="E601" s="12" t="s">
        <v>14</v>
      </c>
      <c r="F601" s="14">
        <v>43457</v>
      </c>
      <c r="G601" s="13">
        <f t="shared" si="37"/>
        <v>2018</v>
      </c>
      <c r="H601" s="30">
        <f t="shared" si="38"/>
        <v>9000000</v>
      </c>
      <c r="I601" s="39">
        <v>4</v>
      </c>
      <c r="J601">
        <f t="shared" si="39"/>
        <v>2</v>
      </c>
    </row>
    <row r="602" spans="1:10" x14ac:dyDescent="0.25">
      <c r="A602" s="16" t="s">
        <v>625</v>
      </c>
      <c r="B602" s="14">
        <v>37406</v>
      </c>
      <c r="C602" s="31">
        <f>YEAR(Table1[[#This Row],[Tanggal Lahir]])</f>
        <v>2002</v>
      </c>
      <c r="D602" s="15">
        <f t="shared" si="36"/>
        <v>20.322222222222223</v>
      </c>
      <c r="E602" s="12" t="s">
        <v>14</v>
      </c>
      <c r="F602" s="14">
        <v>38297</v>
      </c>
      <c r="G602" s="13">
        <f t="shared" si="37"/>
        <v>2004</v>
      </c>
      <c r="H602" s="30">
        <f t="shared" si="38"/>
        <v>18000000</v>
      </c>
      <c r="I602" s="39">
        <v>3</v>
      </c>
      <c r="J602">
        <f t="shared" si="39"/>
        <v>2</v>
      </c>
    </row>
    <row r="603" spans="1:10" x14ac:dyDescent="0.25">
      <c r="A603" s="16" t="s">
        <v>626</v>
      </c>
      <c r="B603" s="14">
        <v>35079</v>
      </c>
      <c r="C603" s="31">
        <f>YEAR(Table1[[#This Row],[Tanggal Lahir]])</f>
        <v>1996</v>
      </c>
      <c r="D603" s="15">
        <f t="shared" si="36"/>
        <v>26.697222222222223</v>
      </c>
      <c r="E603" s="12" t="s">
        <v>10</v>
      </c>
      <c r="F603" s="14">
        <v>39354</v>
      </c>
      <c r="G603" s="13">
        <f t="shared" si="37"/>
        <v>2007</v>
      </c>
      <c r="H603" s="30">
        <f t="shared" si="38"/>
        <v>18000000</v>
      </c>
      <c r="I603" s="39">
        <v>1</v>
      </c>
      <c r="J603">
        <f t="shared" si="39"/>
        <v>3</v>
      </c>
    </row>
    <row r="604" spans="1:10" x14ac:dyDescent="0.25">
      <c r="A604" s="16" t="s">
        <v>627</v>
      </c>
      <c r="B604" s="14">
        <v>36134</v>
      </c>
      <c r="C604" s="31">
        <f>YEAR(Table1[[#This Row],[Tanggal Lahir]])</f>
        <v>1998</v>
      </c>
      <c r="D604" s="15">
        <f t="shared" si="36"/>
        <v>23.808333333333334</v>
      </c>
      <c r="E604" s="12" t="s">
        <v>10</v>
      </c>
      <c r="F604" s="14">
        <v>43539</v>
      </c>
      <c r="G604" s="13">
        <f t="shared" si="37"/>
        <v>2019</v>
      </c>
      <c r="H604" s="30">
        <f t="shared" si="38"/>
        <v>9000000</v>
      </c>
      <c r="I604" s="39">
        <v>2</v>
      </c>
      <c r="J604">
        <f t="shared" si="39"/>
        <v>2</v>
      </c>
    </row>
    <row r="605" spans="1:10" x14ac:dyDescent="0.25">
      <c r="A605" s="16" t="s">
        <v>628</v>
      </c>
      <c r="B605" s="14">
        <v>35125</v>
      </c>
      <c r="C605" s="31">
        <f>YEAR(Table1[[#This Row],[Tanggal Lahir]])</f>
        <v>1996</v>
      </c>
      <c r="D605" s="15">
        <f t="shared" si="36"/>
        <v>26.569444444444443</v>
      </c>
      <c r="E605" s="12" t="s">
        <v>7</v>
      </c>
      <c r="F605" s="14">
        <v>41597</v>
      </c>
      <c r="G605" s="13">
        <f t="shared" si="37"/>
        <v>2013</v>
      </c>
      <c r="H605" s="30">
        <f t="shared" si="38"/>
        <v>13000000</v>
      </c>
      <c r="I605" s="39">
        <v>3</v>
      </c>
      <c r="J605">
        <f t="shared" si="39"/>
        <v>2</v>
      </c>
    </row>
    <row r="606" spans="1:10" x14ac:dyDescent="0.25">
      <c r="A606" s="16" t="s">
        <v>629</v>
      </c>
      <c r="B606" s="14">
        <v>37938</v>
      </c>
      <c r="C606" s="31">
        <f>YEAR(Table1[[#This Row],[Tanggal Lahir]])</f>
        <v>2003</v>
      </c>
      <c r="D606" s="15">
        <f t="shared" si="36"/>
        <v>18.869444444444444</v>
      </c>
      <c r="E606" s="12" t="s">
        <v>10</v>
      </c>
      <c r="F606" s="14">
        <v>39277</v>
      </c>
      <c r="G606" s="13">
        <f t="shared" si="37"/>
        <v>2007</v>
      </c>
      <c r="H606" s="30">
        <f t="shared" si="38"/>
        <v>18000000</v>
      </c>
      <c r="I606" s="39">
        <v>3</v>
      </c>
      <c r="J606">
        <f t="shared" si="39"/>
        <v>2</v>
      </c>
    </row>
    <row r="607" spans="1:10" x14ac:dyDescent="0.25">
      <c r="A607" s="16" t="s">
        <v>630</v>
      </c>
      <c r="B607" s="14">
        <v>35313</v>
      </c>
      <c r="C607" s="31">
        <f>YEAR(Table1[[#This Row],[Tanggal Lahir]])</f>
        <v>1996</v>
      </c>
      <c r="D607" s="15">
        <f t="shared" si="36"/>
        <v>26.058333333333334</v>
      </c>
      <c r="E607" s="12" t="s">
        <v>10</v>
      </c>
      <c r="F607" s="14">
        <v>41689</v>
      </c>
      <c r="G607" s="13">
        <f t="shared" si="37"/>
        <v>2014</v>
      </c>
      <c r="H607" s="30">
        <f t="shared" si="38"/>
        <v>9000000</v>
      </c>
      <c r="I607" s="39">
        <v>1</v>
      </c>
      <c r="J607">
        <f t="shared" si="39"/>
        <v>3</v>
      </c>
    </row>
    <row r="608" spans="1:10" x14ac:dyDescent="0.25">
      <c r="A608" s="16" t="s">
        <v>631</v>
      </c>
      <c r="B608" s="14">
        <v>37819</v>
      </c>
      <c r="C608" s="31">
        <f>YEAR(Table1[[#This Row],[Tanggal Lahir]])</f>
        <v>2003</v>
      </c>
      <c r="D608" s="15">
        <f t="shared" si="36"/>
        <v>19.191666666666666</v>
      </c>
      <c r="E608" s="12" t="s">
        <v>10</v>
      </c>
      <c r="F608" s="14">
        <v>42101</v>
      </c>
      <c r="G608" s="13">
        <f t="shared" si="37"/>
        <v>2015</v>
      </c>
      <c r="H608" s="30">
        <f t="shared" si="38"/>
        <v>9000000</v>
      </c>
      <c r="I608" s="39">
        <v>1</v>
      </c>
      <c r="J608">
        <f t="shared" si="39"/>
        <v>2</v>
      </c>
    </row>
    <row r="609" spans="1:10" x14ac:dyDescent="0.25">
      <c r="A609" s="16" t="s">
        <v>632</v>
      </c>
      <c r="B609" s="14">
        <v>37381</v>
      </c>
      <c r="C609" s="31">
        <f>YEAR(Table1[[#This Row],[Tanggal Lahir]])</f>
        <v>2002</v>
      </c>
      <c r="D609" s="15">
        <f t="shared" si="36"/>
        <v>20.391666666666666</v>
      </c>
      <c r="E609" s="12" t="s">
        <v>10</v>
      </c>
      <c r="F609" s="14">
        <v>43874</v>
      </c>
      <c r="G609" s="13">
        <f t="shared" si="37"/>
        <v>2020</v>
      </c>
      <c r="H609" s="30">
        <f t="shared" si="38"/>
        <v>6800000</v>
      </c>
      <c r="I609" s="39">
        <v>6</v>
      </c>
      <c r="J609">
        <f t="shared" si="39"/>
        <v>2</v>
      </c>
    </row>
    <row r="610" spans="1:10" x14ac:dyDescent="0.25">
      <c r="A610" s="16" t="s">
        <v>633</v>
      </c>
      <c r="B610" s="14">
        <v>34515</v>
      </c>
      <c r="C610" s="31">
        <f>YEAR(Table1[[#This Row],[Tanggal Lahir]])</f>
        <v>1994</v>
      </c>
      <c r="D610" s="15">
        <f t="shared" si="36"/>
        <v>28.238888888888887</v>
      </c>
      <c r="E610" s="12" t="s">
        <v>10</v>
      </c>
      <c r="F610" s="14">
        <v>40123</v>
      </c>
      <c r="G610" s="13">
        <f t="shared" si="37"/>
        <v>2009</v>
      </c>
      <c r="H610" s="30">
        <f t="shared" si="38"/>
        <v>13000000</v>
      </c>
      <c r="I610" s="39">
        <v>4</v>
      </c>
      <c r="J610">
        <f t="shared" si="39"/>
        <v>2</v>
      </c>
    </row>
    <row r="611" spans="1:10" x14ac:dyDescent="0.25">
      <c r="A611" s="16" t="s">
        <v>634</v>
      </c>
      <c r="B611" s="14">
        <v>35485</v>
      </c>
      <c r="C611" s="31">
        <f>YEAR(Table1[[#This Row],[Tanggal Lahir]])</f>
        <v>1997</v>
      </c>
      <c r="D611" s="15">
        <f t="shared" si="36"/>
        <v>25.588888888888889</v>
      </c>
      <c r="E611" s="12" t="s">
        <v>14</v>
      </c>
      <c r="F611" s="14">
        <v>41486</v>
      </c>
      <c r="G611" s="13">
        <f t="shared" si="37"/>
        <v>2013</v>
      </c>
      <c r="H611" s="30">
        <f t="shared" si="38"/>
        <v>13000000</v>
      </c>
      <c r="I611" s="39">
        <v>2</v>
      </c>
      <c r="J611">
        <f t="shared" si="39"/>
        <v>2</v>
      </c>
    </row>
    <row r="612" spans="1:10" x14ac:dyDescent="0.25">
      <c r="A612" s="16" t="s">
        <v>635</v>
      </c>
      <c r="B612" s="14">
        <v>37591</v>
      </c>
      <c r="C612" s="31">
        <f>YEAR(Table1[[#This Row],[Tanggal Lahir]])</f>
        <v>2002</v>
      </c>
      <c r="D612" s="15">
        <f t="shared" si="36"/>
        <v>19.819444444444443</v>
      </c>
      <c r="E612" s="12" t="s">
        <v>14</v>
      </c>
      <c r="F612" s="14">
        <v>41687</v>
      </c>
      <c r="G612" s="13">
        <f t="shared" si="37"/>
        <v>2014</v>
      </c>
      <c r="H612" s="30">
        <f t="shared" si="38"/>
        <v>9000000</v>
      </c>
      <c r="I612" s="39">
        <v>1</v>
      </c>
      <c r="J612">
        <f t="shared" si="39"/>
        <v>2</v>
      </c>
    </row>
    <row r="613" spans="1:10" x14ac:dyDescent="0.25">
      <c r="A613" s="16" t="s">
        <v>636</v>
      </c>
      <c r="B613" s="14">
        <v>36487</v>
      </c>
      <c r="C613" s="31">
        <f>YEAR(Table1[[#This Row],[Tanggal Lahir]])</f>
        <v>1999</v>
      </c>
      <c r="D613" s="15">
        <f t="shared" si="36"/>
        <v>22.841666666666665</v>
      </c>
      <c r="E613" s="12" t="s">
        <v>10</v>
      </c>
      <c r="F613" s="14">
        <v>42109</v>
      </c>
      <c r="G613" s="13">
        <f t="shared" si="37"/>
        <v>2015</v>
      </c>
      <c r="H613" s="30">
        <f t="shared" si="38"/>
        <v>9000000</v>
      </c>
      <c r="I613" s="39">
        <v>3</v>
      </c>
      <c r="J613">
        <f t="shared" si="39"/>
        <v>2</v>
      </c>
    </row>
    <row r="614" spans="1:10" x14ac:dyDescent="0.25">
      <c r="A614" s="16" t="s">
        <v>637</v>
      </c>
      <c r="B614" s="14">
        <v>34924</v>
      </c>
      <c r="C614" s="31">
        <f>YEAR(Table1[[#This Row],[Tanggal Lahir]])</f>
        <v>1995</v>
      </c>
      <c r="D614" s="15">
        <f t="shared" si="36"/>
        <v>27.119444444444444</v>
      </c>
      <c r="E614" s="12" t="s">
        <v>10</v>
      </c>
      <c r="F614" s="14">
        <v>41957</v>
      </c>
      <c r="G614" s="13">
        <f t="shared" si="37"/>
        <v>2014</v>
      </c>
      <c r="H614" s="30">
        <f t="shared" si="38"/>
        <v>9000000</v>
      </c>
      <c r="I614" s="39">
        <v>5</v>
      </c>
      <c r="J614">
        <f t="shared" si="39"/>
        <v>2</v>
      </c>
    </row>
    <row r="615" spans="1:10" x14ac:dyDescent="0.25">
      <c r="A615" s="16" t="s">
        <v>638</v>
      </c>
      <c r="B615" s="14">
        <v>35332</v>
      </c>
      <c r="C615" s="31">
        <f>YEAR(Table1[[#This Row],[Tanggal Lahir]])</f>
        <v>1996</v>
      </c>
      <c r="D615" s="15">
        <f t="shared" si="36"/>
        <v>26.005555555555556</v>
      </c>
      <c r="E615" s="12" t="s">
        <v>14</v>
      </c>
      <c r="F615" s="14">
        <v>40354</v>
      </c>
      <c r="G615" s="13">
        <f t="shared" si="37"/>
        <v>2010</v>
      </c>
      <c r="H615" s="30">
        <f t="shared" si="38"/>
        <v>13000000</v>
      </c>
      <c r="I615" s="39">
        <v>2</v>
      </c>
      <c r="J615">
        <f t="shared" si="39"/>
        <v>2</v>
      </c>
    </row>
    <row r="616" spans="1:10" x14ac:dyDescent="0.25">
      <c r="A616" s="16" t="s">
        <v>639</v>
      </c>
      <c r="B616" s="14">
        <v>36709</v>
      </c>
      <c r="C616" s="31">
        <f>YEAR(Table1[[#This Row],[Tanggal Lahir]])</f>
        <v>2000</v>
      </c>
      <c r="D616" s="15">
        <f t="shared" si="36"/>
        <v>22.233333333333334</v>
      </c>
      <c r="E616" s="12" t="s">
        <v>14</v>
      </c>
      <c r="F616" s="14">
        <v>42308</v>
      </c>
      <c r="G616" s="13">
        <f t="shared" si="37"/>
        <v>2015</v>
      </c>
      <c r="H616" s="30">
        <f t="shared" si="38"/>
        <v>9000000</v>
      </c>
      <c r="I616" s="39">
        <v>2</v>
      </c>
      <c r="J616">
        <f t="shared" si="39"/>
        <v>2</v>
      </c>
    </row>
    <row r="617" spans="1:10" x14ac:dyDescent="0.25">
      <c r="A617" s="16" t="s">
        <v>640</v>
      </c>
      <c r="B617" s="14">
        <v>36619</v>
      </c>
      <c r="C617" s="31">
        <f>YEAR(Table1[[#This Row],[Tanggal Lahir]])</f>
        <v>2000</v>
      </c>
      <c r="D617" s="15">
        <f t="shared" si="36"/>
        <v>22.480555555555554</v>
      </c>
      <c r="E617" s="12" t="s">
        <v>10</v>
      </c>
      <c r="F617" s="14">
        <v>41307</v>
      </c>
      <c r="G617" s="13">
        <f t="shared" si="37"/>
        <v>2013</v>
      </c>
      <c r="H617" s="30">
        <f t="shared" si="38"/>
        <v>13000000</v>
      </c>
      <c r="I617" s="39">
        <v>5</v>
      </c>
      <c r="J617">
        <f t="shared" si="39"/>
        <v>2</v>
      </c>
    </row>
    <row r="618" spans="1:10" x14ac:dyDescent="0.25">
      <c r="A618" s="16" t="s">
        <v>641</v>
      </c>
      <c r="B618" s="14">
        <v>35829</v>
      </c>
      <c r="C618" s="31">
        <f>YEAR(Table1[[#This Row],[Tanggal Lahir]])</f>
        <v>1998</v>
      </c>
      <c r="D618" s="15">
        <f t="shared" si="36"/>
        <v>24.647222222222222</v>
      </c>
      <c r="E618" s="12" t="s">
        <v>7</v>
      </c>
      <c r="F618" s="14">
        <v>41040</v>
      </c>
      <c r="G618" s="13">
        <f t="shared" si="37"/>
        <v>2012</v>
      </c>
      <c r="H618" s="30">
        <f t="shared" si="38"/>
        <v>13000000</v>
      </c>
      <c r="I618" s="39">
        <v>2</v>
      </c>
      <c r="J618">
        <f t="shared" si="39"/>
        <v>2</v>
      </c>
    </row>
    <row r="619" spans="1:10" x14ac:dyDescent="0.25">
      <c r="A619" s="16" t="s">
        <v>642</v>
      </c>
      <c r="B619" s="14">
        <v>35064</v>
      </c>
      <c r="C619" s="31">
        <f>YEAR(Table1[[#This Row],[Tanggal Lahir]])</f>
        <v>1995</v>
      </c>
      <c r="D619" s="15">
        <f t="shared" si="36"/>
        <v>26.738888888888887</v>
      </c>
      <c r="E619" s="12" t="s">
        <v>7</v>
      </c>
      <c r="F619" s="14">
        <v>39209</v>
      </c>
      <c r="G619" s="13">
        <f t="shared" si="37"/>
        <v>2007</v>
      </c>
      <c r="H619" s="30">
        <f t="shared" si="38"/>
        <v>18000000</v>
      </c>
      <c r="I619" s="39">
        <v>4</v>
      </c>
      <c r="J619">
        <f t="shared" si="39"/>
        <v>2</v>
      </c>
    </row>
    <row r="620" spans="1:10" x14ac:dyDescent="0.25">
      <c r="A620" s="16" t="s">
        <v>643</v>
      </c>
      <c r="B620" s="14">
        <v>35816</v>
      </c>
      <c r="C620" s="31">
        <f>YEAR(Table1[[#This Row],[Tanggal Lahir]])</f>
        <v>1998</v>
      </c>
      <c r="D620" s="15">
        <f t="shared" si="36"/>
        <v>24.680555555555557</v>
      </c>
      <c r="E620" s="12" t="s">
        <v>10</v>
      </c>
      <c r="F620" s="14">
        <v>43300</v>
      </c>
      <c r="G620" s="13">
        <f t="shared" si="37"/>
        <v>2018</v>
      </c>
      <c r="H620" s="30">
        <f t="shared" si="38"/>
        <v>9000000</v>
      </c>
      <c r="I620" s="39">
        <v>1</v>
      </c>
      <c r="J620">
        <f t="shared" si="39"/>
        <v>2</v>
      </c>
    </row>
    <row r="621" spans="1:10" x14ac:dyDescent="0.25">
      <c r="A621" s="16" t="s">
        <v>644</v>
      </c>
      <c r="B621" s="14">
        <v>35165</v>
      </c>
      <c r="C621" s="31">
        <f>YEAR(Table1[[#This Row],[Tanggal Lahir]])</f>
        <v>1996</v>
      </c>
      <c r="D621" s="15">
        <f t="shared" si="36"/>
        <v>26.461111111111112</v>
      </c>
      <c r="E621" s="12" t="s">
        <v>14</v>
      </c>
      <c r="F621" s="14">
        <v>38996</v>
      </c>
      <c r="G621" s="13">
        <f t="shared" si="37"/>
        <v>2006</v>
      </c>
      <c r="H621" s="30">
        <f t="shared" si="38"/>
        <v>18000000</v>
      </c>
      <c r="I621" s="39">
        <v>2</v>
      </c>
      <c r="J621">
        <f t="shared" si="39"/>
        <v>2</v>
      </c>
    </row>
    <row r="622" spans="1:10" x14ac:dyDescent="0.25">
      <c r="A622" s="16" t="s">
        <v>645</v>
      </c>
      <c r="B622" s="14">
        <v>37010</v>
      </c>
      <c r="C622" s="31">
        <f>YEAR(Table1[[#This Row],[Tanggal Lahir]])</f>
        <v>2001</v>
      </c>
      <c r="D622" s="15">
        <f t="shared" si="36"/>
        <v>21.408333333333335</v>
      </c>
      <c r="E622" s="12" t="s">
        <v>7</v>
      </c>
      <c r="F622" s="14">
        <v>39731</v>
      </c>
      <c r="G622" s="13">
        <f t="shared" si="37"/>
        <v>2008</v>
      </c>
      <c r="H622" s="30">
        <f t="shared" si="38"/>
        <v>18000000</v>
      </c>
      <c r="I622" s="39">
        <v>1</v>
      </c>
      <c r="J622">
        <f t="shared" si="39"/>
        <v>2</v>
      </c>
    </row>
    <row r="623" spans="1:10" x14ac:dyDescent="0.25">
      <c r="A623" s="16" t="s">
        <v>646</v>
      </c>
      <c r="B623" s="14">
        <v>35477</v>
      </c>
      <c r="C623" s="31">
        <f>YEAR(Table1[[#This Row],[Tanggal Lahir]])</f>
        <v>1997</v>
      </c>
      <c r="D623" s="15">
        <f t="shared" si="36"/>
        <v>25.611111111111111</v>
      </c>
      <c r="E623" s="12" t="s">
        <v>10</v>
      </c>
      <c r="F623" s="14">
        <v>43147</v>
      </c>
      <c r="G623" s="13">
        <f t="shared" si="37"/>
        <v>2018</v>
      </c>
      <c r="H623" s="30">
        <f t="shared" si="38"/>
        <v>9000000</v>
      </c>
      <c r="I623" s="39">
        <v>3</v>
      </c>
      <c r="J623">
        <f t="shared" si="39"/>
        <v>2</v>
      </c>
    </row>
    <row r="624" spans="1:10" x14ac:dyDescent="0.25">
      <c r="A624" s="16" t="s">
        <v>647</v>
      </c>
      <c r="B624" s="14">
        <v>37739</v>
      </c>
      <c r="C624" s="31">
        <f>YEAR(Table1[[#This Row],[Tanggal Lahir]])</f>
        <v>2003</v>
      </c>
      <c r="D624" s="15">
        <f t="shared" si="36"/>
        <v>19.411111111111111</v>
      </c>
      <c r="E624" s="12" t="s">
        <v>7</v>
      </c>
      <c r="F624" s="14">
        <v>44516</v>
      </c>
      <c r="G624" s="13">
        <f t="shared" si="37"/>
        <v>2021</v>
      </c>
      <c r="H624" s="30">
        <f t="shared" si="38"/>
        <v>6800000</v>
      </c>
      <c r="I624" s="39">
        <v>5</v>
      </c>
      <c r="J624">
        <f t="shared" si="39"/>
        <v>2</v>
      </c>
    </row>
    <row r="625" spans="1:10" x14ac:dyDescent="0.25">
      <c r="A625" s="16" t="s">
        <v>648</v>
      </c>
      <c r="B625" s="14">
        <v>36092</v>
      </c>
      <c r="C625" s="31">
        <f>YEAR(Table1[[#This Row],[Tanggal Lahir]])</f>
        <v>1998</v>
      </c>
      <c r="D625" s="15">
        <f t="shared" si="36"/>
        <v>23.922222222222221</v>
      </c>
      <c r="E625" s="12" t="s">
        <v>10</v>
      </c>
      <c r="F625" s="14">
        <v>40072</v>
      </c>
      <c r="G625" s="13">
        <f t="shared" si="37"/>
        <v>2009</v>
      </c>
      <c r="H625" s="30">
        <f t="shared" si="38"/>
        <v>13000000</v>
      </c>
      <c r="I625" s="39">
        <v>1</v>
      </c>
      <c r="J625">
        <f t="shared" si="39"/>
        <v>2</v>
      </c>
    </row>
    <row r="626" spans="1:10" x14ac:dyDescent="0.25">
      <c r="A626" s="16" t="s">
        <v>649</v>
      </c>
      <c r="B626" s="14">
        <v>36266</v>
      </c>
      <c r="C626" s="31">
        <f>YEAR(Table1[[#This Row],[Tanggal Lahir]])</f>
        <v>1999</v>
      </c>
      <c r="D626" s="15">
        <f t="shared" si="36"/>
        <v>23.444444444444443</v>
      </c>
      <c r="E626" s="12" t="s">
        <v>10</v>
      </c>
      <c r="F626" s="14">
        <v>41890</v>
      </c>
      <c r="G626" s="13">
        <f t="shared" si="37"/>
        <v>2014</v>
      </c>
      <c r="H626" s="30">
        <f t="shared" si="38"/>
        <v>9000000</v>
      </c>
      <c r="I626" s="39">
        <v>2</v>
      </c>
      <c r="J626">
        <f t="shared" si="39"/>
        <v>2</v>
      </c>
    </row>
    <row r="627" spans="1:10" x14ac:dyDescent="0.25">
      <c r="A627" s="16" t="s">
        <v>650</v>
      </c>
      <c r="B627" s="14">
        <v>34690</v>
      </c>
      <c r="C627" s="31">
        <f>YEAR(Table1[[#This Row],[Tanggal Lahir]])</f>
        <v>1994</v>
      </c>
      <c r="D627" s="15">
        <f t="shared" si="36"/>
        <v>27.761111111111113</v>
      </c>
      <c r="E627" s="12" t="s">
        <v>10</v>
      </c>
      <c r="F627" s="14">
        <v>39664</v>
      </c>
      <c r="G627" s="13">
        <f t="shared" si="37"/>
        <v>2008</v>
      </c>
      <c r="H627" s="30">
        <f t="shared" si="38"/>
        <v>18000000</v>
      </c>
      <c r="I627" s="39">
        <v>5</v>
      </c>
      <c r="J627">
        <f t="shared" si="39"/>
        <v>2</v>
      </c>
    </row>
    <row r="628" spans="1:10" x14ac:dyDescent="0.25">
      <c r="A628" s="16" t="s">
        <v>651</v>
      </c>
      <c r="B628" s="14">
        <v>34722</v>
      </c>
      <c r="C628" s="31">
        <f>YEAR(Table1[[#This Row],[Tanggal Lahir]])</f>
        <v>1995</v>
      </c>
      <c r="D628" s="15">
        <f t="shared" si="36"/>
        <v>27.675000000000001</v>
      </c>
      <c r="E628" s="12" t="s">
        <v>7</v>
      </c>
      <c r="F628" s="14">
        <v>38967</v>
      </c>
      <c r="G628" s="13">
        <f t="shared" si="37"/>
        <v>2006</v>
      </c>
      <c r="H628" s="30">
        <f t="shared" si="38"/>
        <v>18000000</v>
      </c>
      <c r="I628" s="39">
        <v>5</v>
      </c>
      <c r="J628">
        <f t="shared" si="39"/>
        <v>2</v>
      </c>
    </row>
    <row r="629" spans="1:10" x14ac:dyDescent="0.25">
      <c r="A629" s="16" t="s">
        <v>652</v>
      </c>
      <c r="B629" s="14">
        <v>37389</v>
      </c>
      <c r="C629" s="31">
        <f>YEAR(Table1[[#This Row],[Tanggal Lahir]])</f>
        <v>2002</v>
      </c>
      <c r="D629" s="15">
        <f t="shared" si="36"/>
        <v>20.369444444444444</v>
      </c>
      <c r="E629" s="12" t="s">
        <v>10</v>
      </c>
      <c r="F629" s="14">
        <v>42248</v>
      </c>
      <c r="G629" s="13">
        <f t="shared" si="37"/>
        <v>2015</v>
      </c>
      <c r="H629" s="30">
        <f t="shared" si="38"/>
        <v>9000000</v>
      </c>
      <c r="I629" s="39">
        <v>5</v>
      </c>
      <c r="J629">
        <f t="shared" si="39"/>
        <v>2</v>
      </c>
    </row>
    <row r="630" spans="1:10" x14ac:dyDescent="0.25">
      <c r="A630" s="16" t="s">
        <v>653</v>
      </c>
      <c r="B630" s="14">
        <v>36650</v>
      </c>
      <c r="C630" s="31">
        <f>YEAR(Table1[[#This Row],[Tanggal Lahir]])</f>
        <v>2000</v>
      </c>
      <c r="D630" s="15">
        <f t="shared" si="36"/>
        <v>22.394444444444446</v>
      </c>
      <c r="E630" s="12" t="s">
        <v>10</v>
      </c>
      <c r="F630" s="14">
        <v>42459</v>
      </c>
      <c r="G630" s="13">
        <f t="shared" si="37"/>
        <v>2016</v>
      </c>
      <c r="H630" s="30">
        <f t="shared" si="38"/>
        <v>9000000</v>
      </c>
      <c r="I630" s="39">
        <v>2</v>
      </c>
      <c r="J630">
        <f t="shared" si="39"/>
        <v>2</v>
      </c>
    </row>
    <row r="631" spans="1:10" x14ac:dyDescent="0.25">
      <c r="A631" s="16" t="s">
        <v>654</v>
      </c>
      <c r="B631" s="14">
        <v>36891</v>
      </c>
      <c r="C631" s="31">
        <f>YEAR(Table1[[#This Row],[Tanggal Lahir]])</f>
        <v>2000</v>
      </c>
      <c r="D631" s="15">
        <f t="shared" si="36"/>
        <v>21.738888888888887</v>
      </c>
      <c r="E631" s="12" t="s">
        <v>10</v>
      </c>
      <c r="F631" s="14">
        <v>41484</v>
      </c>
      <c r="G631" s="13">
        <f t="shared" si="37"/>
        <v>2013</v>
      </c>
      <c r="H631" s="30">
        <f t="shared" si="38"/>
        <v>13000000</v>
      </c>
      <c r="I631" s="39">
        <v>1</v>
      </c>
      <c r="J631">
        <f t="shared" si="39"/>
        <v>2</v>
      </c>
    </row>
    <row r="632" spans="1:10" x14ac:dyDescent="0.25">
      <c r="A632" s="16" t="s">
        <v>655</v>
      </c>
      <c r="B632" s="14">
        <v>35086</v>
      </c>
      <c r="C632" s="31">
        <f>YEAR(Table1[[#This Row],[Tanggal Lahir]])</f>
        <v>1996</v>
      </c>
      <c r="D632" s="15">
        <f t="shared" si="36"/>
        <v>26.677777777777777</v>
      </c>
      <c r="E632" s="12" t="s">
        <v>10</v>
      </c>
      <c r="F632" s="14">
        <v>41473</v>
      </c>
      <c r="G632" s="13">
        <f t="shared" si="37"/>
        <v>2013</v>
      </c>
      <c r="H632" s="30">
        <f t="shared" si="38"/>
        <v>13000000</v>
      </c>
      <c r="I632" s="39">
        <v>3</v>
      </c>
      <c r="J632">
        <f t="shared" si="39"/>
        <v>2</v>
      </c>
    </row>
    <row r="633" spans="1:10" x14ac:dyDescent="0.25">
      <c r="A633" s="16" t="s">
        <v>656</v>
      </c>
      <c r="B633" s="14">
        <v>35030</v>
      </c>
      <c r="C633" s="31">
        <f>YEAR(Table1[[#This Row],[Tanggal Lahir]])</f>
        <v>1995</v>
      </c>
      <c r="D633" s="15">
        <f t="shared" si="36"/>
        <v>26.830555555555556</v>
      </c>
      <c r="E633" s="12" t="s">
        <v>14</v>
      </c>
      <c r="F633" s="14">
        <v>39100</v>
      </c>
      <c r="G633" s="13">
        <f t="shared" si="37"/>
        <v>2007</v>
      </c>
      <c r="H633" s="30">
        <f t="shared" si="38"/>
        <v>18000000</v>
      </c>
      <c r="I633" s="39">
        <v>1</v>
      </c>
      <c r="J633">
        <f t="shared" si="39"/>
        <v>2</v>
      </c>
    </row>
    <row r="634" spans="1:10" x14ac:dyDescent="0.25">
      <c r="A634" s="16" t="s">
        <v>657</v>
      </c>
      <c r="B634" s="14">
        <v>35502</v>
      </c>
      <c r="C634" s="31">
        <f>YEAR(Table1[[#This Row],[Tanggal Lahir]])</f>
        <v>1997</v>
      </c>
      <c r="D634" s="15">
        <f t="shared" si="36"/>
        <v>25.536111111111111</v>
      </c>
      <c r="E634" s="12" t="s">
        <v>14</v>
      </c>
      <c r="F634" s="14">
        <v>42479</v>
      </c>
      <c r="G634" s="13">
        <f t="shared" si="37"/>
        <v>2016</v>
      </c>
      <c r="H634" s="30">
        <f t="shared" si="38"/>
        <v>9000000</v>
      </c>
      <c r="I634" s="39">
        <v>1</v>
      </c>
      <c r="J634">
        <f t="shared" si="39"/>
        <v>2</v>
      </c>
    </row>
    <row r="635" spans="1:10" x14ac:dyDescent="0.25">
      <c r="A635" s="16" t="s">
        <v>658</v>
      </c>
      <c r="B635" s="14">
        <v>37406</v>
      </c>
      <c r="C635" s="31">
        <f>YEAR(Table1[[#This Row],[Tanggal Lahir]])</f>
        <v>2002</v>
      </c>
      <c r="D635" s="15">
        <f t="shared" si="36"/>
        <v>20.322222222222223</v>
      </c>
      <c r="E635" s="12" t="s">
        <v>14</v>
      </c>
      <c r="F635" s="14">
        <v>40656</v>
      </c>
      <c r="G635" s="13">
        <f t="shared" si="37"/>
        <v>2011</v>
      </c>
      <c r="H635" s="30">
        <f t="shared" si="38"/>
        <v>13000000</v>
      </c>
      <c r="I635" s="39">
        <v>1</v>
      </c>
      <c r="J635">
        <f t="shared" si="39"/>
        <v>2</v>
      </c>
    </row>
    <row r="636" spans="1:10" x14ac:dyDescent="0.25">
      <c r="A636" s="16" t="s">
        <v>659</v>
      </c>
      <c r="B636" s="14">
        <v>35929</v>
      </c>
      <c r="C636" s="31">
        <f>YEAR(Table1[[#This Row],[Tanggal Lahir]])</f>
        <v>1998</v>
      </c>
      <c r="D636" s="15">
        <f t="shared" si="36"/>
        <v>24.366666666666667</v>
      </c>
      <c r="E636" s="12" t="s">
        <v>10</v>
      </c>
      <c r="F636" s="14">
        <v>38848</v>
      </c>
      <c r="G636" s="13">
        <f t="shared" si="37"/>
        <v>2006</v>
      </c>
      <c r="H636" s="30">
        <f t="shared" si="38"/>
        <v>18000000</v>
      </c>
      <c r="I636" s="39">
        <v>1</v>
      </c>
      <c r="J636">
        <f t="shared" si="39"/>
        <v>2</v>
      </c>
    </row>
    <row r="637" spans="1:10" x14ac:dyDescent="0.25">
      <c r="A637" s="16" t="s">
        <v>660</v>
      </c>
      <c r="B637" s="14">
        <v>36822</v>
      </c>
      <c r="C637" s="31">
        <f>YEAR(Table1[[#This Row],[Tanggal Lahir]])</f>
        <v>2000</v>
      </c>
      <c r="D637" s="15">
        <f t="shared" si="36"/>
        <v>21.925000000000001</v>
      </c>
      <c r="E637" s="12" t="s">
        <v>7</v>
      </c>
      <c r="F637" s="14">
        <v>40142</v>
      </c>
      <c r="G637" s="13">
        <f t="shared" si="37"/>
        <v>2009</v>
      </c>
      <c r="H637" s="30">
        <f t="shared" si="38"/>
        <v>13000000</v>
      </c>
      <c r="I637" s="39">
        <v>3</v>
      </c>
      <c r="J637">
        <f t="shared" si="39"/>
        <v>2</v>
      </c>
    </row>
    <row r="638" spans="1:10" x14ac:dyDescent="0.25">
      <c r="A638" s="16" t="s">
        <v>661</v>
      </c>
      <c r="B638" s="14">
        <v>35282</v>
      </c>
      <c r="C638" s="31">
        <f>YEAR(Table1[[#This Row],[Tanggal Lahir]])</f>
        <v>1996</v>
      </c>
      <c r="D638" s="15">
        <f t="shared" si="36"/>
        <v>26.141666666666666</v>
      </c>
      <c r="E638" s="12" t="s">
        <v>10</v>
      </c>
      <c r="F638" s="14">
        <v>43571</v>
      </c>
      <c r="G638" s="13">
        <f t="shared" si="37"/>
        <v>2019</v>
      </c>
      <c r="H638" s="30">
        <f t="shared" si="38"/>
        <v>9000000</v>
      </c>
      <c r="I638" s="39">
        <v>2</v>
      </c>
      <c r="J638">
        <f t="shared" si="39"/>
        <v>2</v>
      </c>
    </row>
    <row r="639" spans="1:10" x14ac:dyDescent="0.25">
      <c r="A639" s="16" t="s">
        <v>662</v>
      </c>
      <c r="B639" s="14">
        <v>36082</v>
      </c>
      <c r="C639" s="31">
        <f>YEAR(Table1[[#This Row],[Tanggal Lahir]])</f>
        <v>1998</v>
      </c>
      <c r="D639" s="15">
        <f t="shared" si="36"/>
        <v>23.95</v>
      </c>
      <c r="E639" s="12" t="s">
        <v>10</v>
      </c>
      <c r="F639" s="14">
        <v>43688</v>
      </c>
      <c r="G639" s="13">
        <f t="shared" si="37"/>
        <v>2019</v>
      </c>
      <c r="H639" s="30">
        <f t="shared" si="38"/>
        <v>9000000</v>
      </c>
      <c r="I639" s="39">
        <v>3</v>
      </c>
      <c r="J639">
        <f t="shared" si="39"/>
        <v>2</v>
      </c>
    </row>
    <row r="640" spans="1:10" x14ac:dyDescent="0.25">
      <c r="A640" s="16" t="s">
        <v>663</v>
      </c>
      <c r="B640" s="14">
        <v>37512</v>
      </c>
      <c r="C640" s="31">
        <f>YEAR(Table1[[#This Row],[Tanggal Lahir]])</f>
        <v>2002</v>
      </c>
      <c r="D640" s="15">
        <f t="shared" si="36"/>
        <v>20.036111111111111</v>
      </c>
      <c r="E640" s="12" t="s">
        <v>7</v>
      </c>
      <c r="F640" s="14">
        <v>40783</v>
      </c>
      <c r="G640" s="13">
        <f t="shared" si="37"/>
        <v>2011</v>
      </c>
      <c r="H640" s="30">
        <f t="shared" si="38"/>
        <v>13000000</v>
      </c>
      <c r="I640" s="39">
        <v>6</v>
      </c>
      <c r="J640">
        <f t="shared" si="39"/>
        <v>2</v>
      </c>
    </row>
    <row r="641" spans="1:10" x14ac:dyDescent="0.25">
      <c r="A641" s="16" t="s">
        <v>664</v>
      </c>
      <c r="B641" s="14">
        <v>36216</v>
      </c>
      <c r="C641" s="31">
        <f>YEAR(Table1[[#This Row],[Tanggal Lahir]])</f>
        <v>1999</v>
      </c>
      <c r="D641" s="15">
        <f t="shared" si="36"/>
        <v>23.586111111111112</v>
      </c>
      <c r="E641" s="12" t="s">
        <v>10</v>
      </c>
      <c r="F641" s="14">
        <v>42384</v>
      </c>
      <c r="G641" s="13">
        <f t="shared" si="37"/>
        <v>2016</v>
      </c>
      <c r="H641" s="30">
        <f t="shared" si="38"/>
        <v>9000000</v>
      </c>
      <c r="I641" s="39">
        <v>2</v>
      </c>
      <c r="J641">
        <f t="shared" si="39"/>
        <v>2</v>
      </c>
    </row>
    <row r="642" spans="1:10" x14ac:dyDescent="0.25">
      <c r="A642" s="16" t="s">
        <v>665</v>
      </c>
      <c r="B642" s="14">
        <v>35491</v>
      </c>
      <c r="C642" s="31">
        <f>YEAR(Table1[[#This Row],[Tanggal Lahir]])</f>
        <v>1997</v>
      </c>
      <c r="D642" s="15">
        <f t="shared" ref="D642:D705" si="40">YEARFRAC(B642,$L$2)</f>
        <v>25.566666666666666</v>
      </c>
      <c r="E642" s="12" t="s">
        <v>7</v>
      </c>
      <c r="F642" s="14">
        <v>39716</v>
      </c>
      <c r="G642" s="13">
        <f t="shared" ref="G642:G705" si="41">YEAR(F642)</f>
        <v>2008</v>
      </c>
      <c r="H642" s="30">
        <f t="shared" ref="H642:H705" si="42">IF(G642&lt;= 2008,18000000,IF(AND(G642&gt;=2009,G642&lt;=2013),13000000,IF(AND(G642&gt;=2014,G642&lt;=2019),9000000,6800000)))</f>
        <v>18000000</v>
      </c>
      <c r="I642" s="39">
        <v>1</v>
      </c>
      <c r="J642">
        <f t="shared" ref="J642:J705" si="43">SUM(LEN(A642)-LEN(SUBSTITUTE(A642," ",""))+1)</f>
        <v>2</v>
      </c>
    </row>
    <row r="643" spans="1:10" x14ac:dyDescent="0.25">
      <c r="A643" s="16" t="s">
        <v>666</v>
      </c>
      <c r="B643" s="14">
        <v>37895</v>
      </c>
      <c r="C643" s="31">
        <f>YEAR(Table1[[#This Row],[Tanggal Lahir]])</f>
        <v>2003</v>
      </c>
      <c r="D643" s="15">
        <f t="shared" si="40"/>
        <v>18.986111111111111</v>
      </c>
      <c r="E643" s="12" t="s">
        <v>10</v>
      </c>
      <c r="F643" s="14">
        <v>40803</v>
      </c>
      <c r="G643" s="13">
        <f t="shared" si="41"/>
        <v>2011</v>
      </c>
      <c r="H643" s="30">
        <f t="shared" si="42"/>
        <v>13000000</v>
      </c>
      <c r="I643" s="39">
        <v>2</v>
      </c>
      <c r="J643">
        <f t="shared" si="43"/>
        <v>2</v>
      </c>
    </row>
    <row r="644" spans="1:10" x14ac:dyDescent="0.25">
      <c r="A644" s="16" t="s">
        <v>667</v>
      </c>
      <c r="B644" s="14">
        <v>36013</v>
      </c>
      <c r="C644" s="31">
        <f>YEAR(Table1[[#This Row],[Tanggal Lahir]])</f>
        <v>1998</v>
      </c>
      <c r="D644" s="15">
        <f t="shared" si="40"/>
        <v>24.138888888888889</v>
      </c>
      <c r="E644" s="12" t="s">
        <v>10</v>
      </c>
      <c r="F644" s="14">
        <v>43003</v>
      </c>
      <c r="G644" s="13">
        <f t="shared" si="41"/>
        <v>2017</v>
      </c>
      <c r="H644" s="30">
        <f t="shared" si="42"/>
        <v>9000000</v>
      </c>
      <c r="I644" s="39">
        <v>4</v>
      </c>
      <c r="J644">
        <f t="shared" si="43"/>
        <v>2</v>
      </c>
    </row>
    <row r="645" spans="1:10" x14ac:dyDescent="0.25">
      <c r="A645" s="16" t="s">
        <v>668</v>
      </c>
      <c r="B645" s="14">
        <v>34777</v>
      </c>
      <c r="C645" s="31">
        <f>YEAR(Table1[[#This Row],[Tanggal Lahir]])</f>
        <v>1995</v>
      </c>
      <c r="D645" s="15">
        <f t="shared" si="40"/>
        <v>27.519444444444446</v>
      </c>
      <c r="E645" s="12" t="s">
        <v>14</v>
      </c>
      <c r="F645" s="14">
        <v>39353</v>
      </c>
      <c r="G645" s="13">
        <f t="shared" si="41"/>
        <v>2007</v>
      </c>
      <c r="H645" s="30">
        <f t="shared" si="42"/>
        <v>18000000</v>
      </c>
      <c r="I645" s="39">
        <v>5</v>
      </c>
      <c r="J645">
        <f t="shared" si="43"/>
        <v>3</v>
      </c>
    </row>
    <row r="646" spans="1:10" x14ac:dyDescent="0.25">
      <c r="A646" s="16" t="s">
        <v>669</v>
      </c>
      <c r="B646" s="14">
        <v>36384</v>
      </c>
      <c r="C646" s="31">
        <f>YEAR(Table1[[#This Row],[Tanggal Lahir]])</f>
        <v>1999</v>
      </c>
      <c r="D646" s="15">
        <f t="shared" si="40"/>
        <v>23.122222222222224</v>
      </c>
      <c r="E646" s="12" t="s">
        <v>10</v>
      </c>
      <c r="F646" s="14">
        <v>42731</v>
      </c>
      <c r="G646" s="13">
        <f t="shared" si="41"/>
        <v>2016</v>
      </c>
      <c r="H646" s="30">
        <f t="shared" si="42"/>
        <v>9000000</v>
      </c>
      <c r="I646" s="39">
        <v>1</v>
      </c>
      <c r="J646">
        <f t="shared" si="43"/>
        <v>2</v>
      </c>
    </row>
    <row r="647" spans="1:10" x14ac:dyDescent="0.25">
      <c r="A647" s="16" t="s">
        <v>670</v>
      </c>
      <c r="B647" s="14">
        <v>36862</v>
      </c>
      <c r="C647" s="31">
        <f>YEAR(Table1[[#This Row],[Tanggal Lahir]])</f>
        <v>2000</v>
      </c>
      <c r="D647" s="15">
        <f t="shared" si="40"/>
        <v>21.816666666666666</v>
      </c>
      <c r="E647" s="12" t="s">
        <v>10</v>
      </c>
      <c r="F647" s="14">
        <v>42471</v>
      </c>
      <c r="G647" s="13">
        <f t="shared" si="41"/>
        <v>2016</v>
      </c>
      <c r="H647" s="30">
        <f t="shared" si="42"/>
        <v>9000000</v>
      </c>
      <c r="I647" s="39">
        <v>1</v>
      </c>
      <c r="J647">
        <f t="shared" si="43"/>
        <v>2</v>
      </c>
    </row>
    <row r="648" spans="1:10" x14ac:dyDescent="0.25">
      <c r="A648" s="16" t="s">
        <v>671</v>
      </c>
      <c r="B648" s="14">
        <v>35425</v>
      </c>
      <c r="C648" s="31">
        <f>YEAR(Table1[[#This Row],[Tanggal Lahir]])</f>
        <v>1996</v>
      </c>
      <c r="D648" s="15">
        <f t="shared" si="40"/>
        <v>25.75</v>
      </c>
      <c r="E648" s="12" t="s">
        <v>10</v>
      </c>
      <c r="F648" s="14">
        <v>43512</v>
      </c>
      <c r="G648" s="13">
        <f t="shared" si="41"/>
        <v>2019</v>
      </c>
      <c r="H648" s="30">
        <f t="shared" si="42"/>
        <v>9000000</v>
      </c>
      <c r="I648" s="39">
        <v>1</v>
      </c>
      <c r="J648">
        <f t="shared" si="43"/>
        <v>2</v>
      </c>
    </row>
    <row r="649" spans="1:10" x14ac:dyDescent="0.25">
      <c r="A649" s="16" t="s">
        <v>672</v>
      </c>
      <c r="B649" s="14">
        <v>37287</v>
      </c>
      <c r="C649" s="31">
        <f>YEAR(Table1[[#This Row],[Tanggal Lahir]])</f>
        <v>2002</v>
      </c>
      <c r="D649" s="15">
        <f t="shared" si="40"/>
        <v>20.655555555555555</v>
      </c>
      <c r="E649" s="12" t="s">
        <v>10</v>
      </c>
      <c r="F649" s="14">
        <v>44527</v>
      </c>
      <c r="G649" s="13">
        <f t="shared" si="41"/>
        <v>2021</v>
      </c>
      <c r="H649" s="30">
        <f t="shared" si="42"/>
        <v>6800000</v>
      </c>
      <c r="I649" s="39">
        <v>1</v>
      </c>
      <c r="J649">
        <f t="shared" si="43"/>
        <v>2</v>
      </c>
    </row>
    <row r="650" spans="1:10" x14ac:dyDescent="0.25">
      <c r="A650" s="16" t="s">
        <v>673</v>
      </c>
      <c r="B650" s="14">
        <v>35912</v>
      </c>
      <c r="C650" s="31">
        <f>YEAR(Table1[[#This Row],[Tanggal Lahir]])</f>
        <v>1998</v>
      </c>
      <c r="D650" s="15">
        <f t="shared" si="40"/>
        <v>24.413888888888888</v>
      </c>
      <c r="E650" s="12" t="s">
        <v>7</v>
      </c>
      <c r="F650" s="14">
        <v>38755</v>
      </c>
      <c r="G650" s="13">
        <f t="shared" si="41"/>
        <v>2006</v>
      </c>
      <c r="H650" s="30">
        <f t="shared" si="42"/>
        <v>18000000</v>
      </c>
      <c r="I650" s="39">
        <v>6</v>
      </c>
      <c r="J650">
        <f t="shared" si="43"/>
        <v>2</v>
      </c>
    </row>
    <row r="651" spans="1:10" x14ac:dyDescent="0.25">
      <c r="A651" s="16" t="s">
        <v>674</v>
      </c>
      <c r="B651" s="14">
        <v>35101</v>
      </c>
      <c r="C651" s="31">
        <f>YEAR(Table1[[#This Row],[Tanggal Lahir]])</f>
        <v>1996</v>
      </c>
      <c r="D651" s="15">
        <f t="shared" si="40"/>
        <v>26.638888888888889</v>
      </c>
      <c r="E651" s="12" t="s">
        <v>14</v>
      </c>
      <c r="F651" s="14">
        <v>44230</v>
      </c>
      <c r="G651" s="13">
        <f t="shared" si="41"/>
        <v>2021</v>
      </c>
      <c r="H651" s="30">
        <f t="shared" si="42"/>
        <v>6800000</v>
      </c>
      <c r="I651" s="39">
        <v>5</v>
      </c>
      <c r="J651">
        <f t="shared" si="43"/>
        <v>2</v>
      </c>
    </row>
    <row r="652" spans="1:10" x14ac:dyDescent="0.25">
      <c r="A652" s="16" t="s">
        <v>675</v>
      </c>
      <c r="B652" s="14">
        <v>34954</v>
      </c>
      <c r="C652" s="31">
        <f>YEAR(Table1[[#This Row],[Tanggal Lahir]])</f>
        <v>1995</v>
      </c>
      <c r="D652" s="15">
        <f t="shared" si="40"/>
        <v>27.038888888888888</v>
      </c>
      <c r="E652" s="12" t="s">
        <v>14</v>
      </c>
      <c r="F652" s="14">
        <v>44461</v>
      </c>
      <c r="G652" s="13">
        <f t="shared" si="41"/>
        <v>2021</v>
      </c>
      <c r="H652" s="30">
        <f t="shared" si="42"/>
        <v>6800000</v>
      </c>
      <c r="I652" s="39">
        <v>3</v>
      </c>
      <c r="J652">
        <f t="shared" si="43"/>
        <v>2</v>
      </c>
    </row>
    <row r="653" spans="1:10" x14ac:dyDescent="0.25">
      <c r="A653" s="16" t="s">
        <v>676</v>
      </c>
      <c r="B653" s="14">
        <v>37975</v>
      </c>
      <c r="C653" s="31">
        <f>YEAR(Table1[[#This Row],[Tanggal Lahir]])</f>
        <v>2003</v>
      </c>
      <c r="D653" s="15">
        <f t="shared" si="40"/>
        <v>18.766666666666666</v>
      </c>
      <c r="E653" s="12" t="s">
        <v>10</v>
      </c>
      <c r="F653" s="14">
        <v>38665</v>
      </c>
      <c r="G653" s="13">
        <f t="shared" si="41"/>
        <v>2005</v>
      </c>
      <c r="H653" s="30">
        <f t="shared" si="42"/>
        <v>18000000</v>
      </c>
      <c r="I653" s="39">
        <v>4</v>
      </c>
      <c r="J653">
        <f t="shared" si="43"/>
        <v>2</v>
      </c>
    </row>
    <row r="654" spans="1:10" x14ac:dyDescent="0.25">
      <c r="A654" s="16" t="s">
        <v>677</v>
      </c>
      <c r="B654" s="14">
        <v>35829</v>
      </c>
      <c r="C654" s="31">
        <f>YEAR(Table1[[#This Row],[Tanggal Lahir]])</f>
        <v>1998</v>
      </c>
      <c r="D654" s="15">
        <f t="shared" si="40"/>
        <v>24.647222222222222</v>
      </c>
      <c r="E654" s="12" t="s">
        <v>10</v>
      </c>
      <c r="F654" s="14">
        <v>43119</v>
      </c>
      <c r="G654" s="13">
        <f t="shared" si="41"/>
        <v>2018</v>
      </c>
      <c r="H654" s="30">
        <f t="shared" si="42"/>
        <v>9000000</v>
      </c>
      <c r="I654" s="39">
        <v>5</v>
      </c>
      <c r="J654">
        <f t="shared" si="43"/>
        <v>3</v>
      </c>
    </row>
    <row r="655" spans="1:10" x14ac:dyDescent="0.25">
      <c r="A655" s="16" t="s">
        <v>678</v>
      </c>
      <c r="B655" s="14">
        <v>35979</v>
      </c>
      <c r="C655" s="31">
        <f>YEAR(Table1[[#This Row],[Tanggal Lahir]])</f>
        <v>1998</v>
      </c>
      <c r="D655" s="15">
        <f t="shared" si="40"/>
        <v>24.230555555555554</v>
      </c>
      <c r="E655" s="12" t="s">
        <v>14</v>
      </c>
      <c r="F655" s="14">
        <v>39383</v>
      </c>
      <c r="G655" s="13">
        <f t="shared" si="41"/>
        <v>2007</v>
      </c>
      <c r="H655" s="30">
        <f t="shared" si="42"/>
        <v>18000000</v>
      </c>
      <c r="I655" s="39">
        <v>6</v>
      </c>
      <c r="J655">
        <f t="shared" si="43"/>
        <v>2</v>
      </c>
    </row>
    <row r="656" spans="1:10" x14ac:dyDescent="0.25">
      <c r="A656" s="16" t="s">
        <v>679</v>
      </c>
      <c r="B656" s="14">
        <v>37499</v>
      </c>
      <c r="C656" s="31">
        <f>YEAR(Table1[[#This Row],[Tanggal Lahir]])</f>
        <v>2002</v>
      </c>
      <c r="D656" s="15">
        <f t="shared" si="40"/>
        <v>20.072222222222223</v>
      </c>
      <c r="E656" s="12" t="s">
        <v>10</v>
      </c>
      <c r="F656" s="14">
        <v>44188</v>
      </c>
      <c r="G656" s="13">
        <f t="shared" si="41"/>
        <v>2020</v>
      </c>
      <c r="H656" s="30">
        <f t="shared" si="42"/>
        <v>6800000</v>
      </c>
      <c r="I656" s="39">
        <v>2</v>
      </c>
      <c r="J656">
        <f t="shared" si="43"/>
        <v>2</v>
      </c>
    </row>
    <row r="657" spans="1:10" x14ac:dyDescent="0.25">
      <c r="A657" s="16" t="s">
        <v>680</v>
      </c>
      <c r="B657" s="14">
        <v>35710</v>
      </c>
      <c r="C657" s="31">
        <f>YEAR(Table1[[#This Row],[Tanggal Lahir]])</f>
        <v>1997</v>
      </c>
      <c r="D657" s="15">
        <f t="shared" si="40"/>
        <v>24.969444444444445</v>
      </c>
      <c r="E657" s="12" t="s">
        <v>10</v>
      </c>
      <c r="F657" s="14">
        <v>42977</v>
      </c>
      <c r="G657" s="13">
        <f t="shared" si="41"/>
        <v>2017</v>
      </c>
      <c r="H657" s="30">
        <f t="shared" si="42"/>
        <v>9000000</v>
      </c>
      <c r="I657" s="39">
        <v>1</v>
      </c>
      <c r="J657">
        <f t="shared" si="43"/>
        <v>2</v>
      </c>
    </row>
    <row r="658" spans="1:10" x14ac:dyDescent="0.25">
      <c r="A658" s="16" t="s">
        <v>681</v>
      </c>
      <c r="B658" s="14">
        <v>36214</v>
      </c>
      <c r="C658" s="31">
        <f>YEAR(Table1[[#This Row],[Tanggal Lahir]])</f>
        <v>1999</v>
      </c>
      <c r="D658" s="15">
        <f t="shared" si="40"/>
        <v>23.591666666666665</v>
      </c>
      <c r="E658" s="12" t="s">
        <v>10</v>
      </c>
      <c r="F658" s="14">
        <v>42801</v>
      </c>
      <c r="G658" s="13">
        <f t="shared" si="41"/>
        <v>2017</v>
      </c>
      <c r="H658" s="30">
        <f t="shared" si="42"/>
        <v>9000000</v>
      </c>
      <c r="I658" s="39">
        <v>5</v>
      </c>
      <c r="J658">
        <f t="shared" si="43"/>
        <v>2</v>
      </c>
    </row>
    <row r="659" spans="1:10" x14ac:dyDescent="0.25">
      <c r="A659" s="16" t="s">
        <v>682</v>
      </c>
      <c r="B659" s="14">
        <v>35950</v>
      </c>
      <c r="C659" s="31">
        <f>YEAR(Table1[[#This Row],[Tanggal Lahir]])</f>
        <v>1998</v>
      </c>
      <c r="D659" s="15">
        <f t="shared" si="40"/>
        <v>24.31111111111111</v>
      </c>
      <c r="E659" s="12" t="s">
        <v>7</v>
      </c>
      <c r="F659" s="14">
        <v>42612</v>
      </c>
      <c r="G659" s="13">
        <f t="shared" si="41"/>
        <v>2016</v>
      </c>
      <c r="H659" s="30">
        <f t="shared" si="42"/>
        <v>9000000</v>
      </c>
      <c r="I659" s="39">
        <v>5</v>
      </c>
      <c r="J659">
        <f t="shared" si="43"/>
        <v>2</v>
      </c>
    </row>
    <row r="660" spans="1:10" x14ac:dyDescent="0.25">
      <c r="A660" s="16" t="s">
        <v>683</v>
      </c>
      <c r="B660" s="14">
        <v>37844</v>
      </c>
      <c r="C660" s="31">
        <f>YEAR(Table1[[#This Row],[Tanggal Lahir]])</f>
        <v>2003</v>
      </c>
      <c r="D660" s="15">
        <f t="shared" si="40"/>
        <v>19.125</v>
      </c>
      <c r="E660" s="12" t="s">
        <v>10</v>
      </c>
      <c r="F660" s="14">
        <v>42757</v>
      </c>
      <c r="G660" s="13">
        <f t="shared" si="41"/>
        <v>2017</v>
      </c>
      <c r="H660" s="30">
        <f t="shared" si="42"/>
        <v>9000000</v>
      </c>
      <c r="I660" s="39">
        <v>4</v>
      </c>
      <c r="J660">
        <f t="shared" si="43"/>
        <v>2</v>
      </c>
    </row>
    <row r="661" spans="1:10" x14ac:dyDescent="0.25">
      <c r="A661" s="16" t="s">
        <v>684</v>
      </c>
      <c r="B661" s="14">
        <v>35517</v>
      </c>
      <c r="C661" s="31">
        <f>YEAR(Table1[[#This Row],[Tanggal Lahir]])</f>
        <v>1997</v>
      </c>
      <c r="D661" s="15">
        <f t="shared" si="40"/>
        <v>25.494444444444444</v>
      </c>
      <c r="E661" s="12" t="s">
        <v>10</v>
      </c>
      <c r="F661" s="14">
        <v>41595</v>
      </c>
      <c r="G661" s="13">
        <f t="shared" si="41"/>
        <v>2013</v>
      </c>
      <c r="H661" s="30">
        <f t="shared" si="42"/>
        <v>13000000</v>
      </c>
      <c r="I661" s="39">
        <v>1</v>
      </c>
      <c r="J661">
        <f t="shared" si="43"/>
        <v>2</v>
      </c>
    </row>
    <row r="662" spans="1:10" x14ac:dyDescent="0.25">
      <c r="A662" s="16" t="s">
        <v>685</v>
      </c>
      <c r="B662" s="14">
        <v>34899</v>
      </c>
      <c r="C662" s="31">
        <f>YEAR(Table1[[#This Row],[Tanggal Lahir]])</f>
        <v>1995</v>
      </c>
      <c r="D662" s="15">
        <f t="shared" si="40"/>
        <v>27.18611111111111</v>
      </c>
      <c r="E662" s="12" t="s">
        <v>10</v>
      </c>
      <c r="F662" s="14">
        <v>43690</v>
      </c>
      <c r="G662" s="13">
        <f t="shared" si="41"/>
        <v>2019</v>
      </c>
      <c r="H662" s="30">
        <f t="shared" si="42"/>
        <v>9000000</v>
      </c>
      <c r="I662" s="39">
        <v>1</v>
      </c>
      <c r="J662">
        <f t="shared" si="43"/>
        <v>2</v>
      </c>
    </row>
    <row r="663" spans="1:10" x14ac:dyDescent="0.25">
      <c r="A663" s="16" t="s">
        <v>686</v>
      </c>
      <c r="B663" s="14">
        <v>36397</v>
      </c>
      <c r="C663" s="31">
        <f>YEAR(Table1[[#This Row],[Tanggal Lahir]])</f>
        <v>1999</v>
      </c>
      <c r="D663" s="15">
        <f t="shared" si="40"/>
        <v>23.086111111111112</v>
      </c>
      <c r="E663" s="12" t="s">
        <v>7</v>
      </c>
      <c r="F663" s="14">
        <v>39785</v>
      </c>
      <c r="G663" s="13">
        <f t="shared" si="41"/>
        <v>2008</v>
      </c>
      <c r="H663" s="30">
        <f t="shared" si="42"/>
        <v>18000000</v>
      </c>
      <c r="I663" s="39">
        <v>2</v>
      </c>
      <c r="J663">
        <f t="shared" si="43"/>
        <v>2</v>
      </c>
    </row>
    <row r="664" spans="1:10" x14ac:dyDescent="0.25">
      <c r="A664" s="16" t="s">
        <v>687</v>
      </c>
      <c r="B664" s="14">
        <v>35227</v>
      </c>
      <c r="C664" s="31">
        <f>YEAR(Table1[[#This Row],[Tanggal Lahir]])</f>
        <v>1996</v>
      </c>
      <c r="D664" s="15">
        <f t="shared" si="40"/>
        <v>26.291666666666668</v>
      </c>
      <c r="E664" s="12" t="s">
        <v>10</v>
      </c>
      <c r="F664" s="14">
        <v>40249</v>
      </c>
      <c r="G664" s="13">
        <f t="shared" si="41"/>
        <v>2010</v>
      </c>
      <c r="H664" s="30">
        <f t="shared" si="42"/>
        <v>13000000</v>
      </c>
      <c r="I664" s="39">
        <v>2</v>
      </c>
      <c r="J664">
        <f t="shared" si="43"/>
        <v>2</v>
      </c>
    </row>
    <row r="665" spans="1:10" x14ac:dyDescent="0.25">
      <c r="A665" s="16" t="s">
        <v>688</v>
      </c>
      <c r="B665" s="14">
        <v>37217</v>
      </c>
      <c r="C665" s="31">
        <f>YEAR(Table1[[#This Row],[Tanggal Lahir]])</f>
        <v>2001</v>
      </c>
      <c r="D665" s="15">
        <f t="shared" si="40"/>
        <v>20.844444444444445</v>
      </c>
      <c r="E665" s="12" t="s">
        <v>10</v>
      </c>
      <c r="F665" s="14">
        <v>38515</v>
      </c>
      <c r="G665" s="13">
        <f t="shared" si="41"/>
        <v>2005</v>
      </c>
      <c r="H665" s="30">
        <f t="shared" si="42"/>
        <v>18000000</v>
      </c>
      <c r="I665" s="39">
        <v>4</v>
      </c>
      <c r="J665">
        <f t="shared" si="43"/>
        <v>2</v>
      </c>
    </row>
    <row r="666" spans="1:10" x14ac:dyDescent="0.25">
      <c r="A666" s="16" t="s">
        <v>689</v>
      </c>
      <c r="B666" s="14">
        <v>36768</v>
      </c>
      <c r="C666" s="31">
        <f>YEAR(Table1[[#This Row],[Tanggal Lahir]])</f>
        <v>2000</v>
      </c>
      <c r="D666" s="15">
        <f t="shared" si="40"/>
        <v>22.072222222222223</v>
      </c>
      <c r="E666" s="12" t="s">
        <v>10</v>
      </c>
      <c r="F666" s="14">
        <v>39289</v>
      </c>
      <c r="G666" s="13">
        <f t="shared" si="41"/>
        <v>2007</v>
      </c>
      <c r="H666" s="30">
        <f t="shared" si="42"/>
        <v>18000000</v>
      </c>
      <c r="I666" s="39">
        <v>5</v>
      </c>
      <c r="J666">
        <f t="shared" si="43"/>
        <v>2</v>
      </c>
    </row>
    <row r="667" spans="1:10" x14ac:dyDescent="0.25">
      <c r="A667" s="16" t="s">
        <v>690</v>
      </c>
      <c r="B667" s="14">
        <v>35498</v>
      </c>
      <c r="C667" s="31">
        <f>YEAR(Table1[[#This Row],[Tanggal Lahir]])</f>
        <v>1997</v>
      </c>
      <c r="D667" s="15">
        <f t="shared" si="40"/>
        <v>25.547222222222221</v>
      </c>
      <c r="E667" s="12" t="s">
        <v>10</v>
      </c>
      <c r="F667" s="14">
        <v>42535</v>
      </c>
      <c r="G667" s="13">
        <f t="shared" si="41"/>
        <v>2016</v>
      </c>
      <c r="H667" s="30">
        <f t="shared" si="42"/>
        <v>9000000</v>
      </c>
      <c r="I667" s="39">
        <v>2</v>
      </c>
      <c r="J667">
        <f t="shared" si="43"/>
        <v>2</v>
      </c>
    </row>
    <row r="668" spans="1:10" x14ac:dyDescent="0.25">
      <c r="A668" s="16" t="s">
        <v>691</v>
      </c>
      <c r="B668" s="14">
        <v>36349</v>
      </c>
      <c r="C668" s="31">
        <f>YEAR(Table1[[#This Row],[Tanggal Lahir]])</f>
        <v>1999</v>
      </c>
      <c r="D668" s="15">
        <f t="shared" si="40"/>
        <v>23.216666666666665</v>
      </c>
      <c r="E668" s="12" t="s">
        <v>10</v>
      </c>
      <c r="F668" s="14">
        <v>41343</v>
      </c>
      <c r="G668" s="13">
        <f t="shared" si="41"/>
        <v>2013</v>
      </c>
      <c r="H668" s="30">
        <f t="shared" si="42"/>
        <v>13000000</v>
      </c>
      <c r="I668" s="39">
        <v>2</v>
      </c>
      <c r="J668">
        <f t="shared" si="43"/>
        <v>2</v>
      </c>
    </row>
    <row r="669" spans="1:10" x14ac:dyDescent="0.25">
      <c r="A669" s="16" t="s">
        <v>692</v>
      </c>
      <c r="B669" s="14">
        <v>34600</v>
      </c>
      <c r="C669" s="31">
        <f>YEAR(Table1[[#This Row],[Tanggal Lahir]])</f>
        <v>1994</v>
      </c>
      <c r="D669" s="15">
        <f t="shared" si="40"/>
        <v>28.008333333333333</v>
      </c>
      <c r="E669" s="12" t="s">
        <v>14</v>
      </c>
      <c r="F669" s="14">
        <v>39882</v>
      </c>
      <c r="G669" s="13">
        <f t="shared" si="41"/>
        <v>2009</v>
      </c>
      <c r="H669" s="30">
        <f t="shared" si="42"/>
        <v>13000000</v>
      </c>
      <c r="I669" s="39">
        <v>3</v>
      </c>
      <c r="J669">
        <f t="shared" si="43"/>
        <v>2</v>
      </c>
    </row>
    <row r="670" spans="1:10" x14ac:dyDescent="0.25">
      <c r="A670" s="16" t="s">
        <v>693</v>
      </c>
      <c r="B670" s="14">
        <v>36216</v>
      </c>
      <c r="C670" s="31">
        <f>YEAR(Table1[[#This Row],[Tanggal Lahir]])</f>
        <v>1999</v>
      </c>
      <c r="D670" s="15">
        <f t="shared" si="40"/>
        <v>23.586111111111112</v>
      </c>
      <c r="E670" s="12" t="s">
        <v>7</v>
      </c>
      <c r="F670" s="14">
        <v>38879</v>
      </c>
      <c r="G670" s="13">
        <f t="shared" si="41"/>
        <v>2006</v>
      </c>
      <c r="H670" s="30">
        <f t="shared" si="42"/>
        <v>18000000</v>
      </c>
      <c r="I670" s="39">
        <v>2</v>
      </c>
      <c r="J670">
        <f t="shared" si="43"/>
        <v>2</v>
      </c>
    </row>
    <row r="671" spans="1:10" x14ac:dyDescent="0.25">
      <c r="A671" s="16" t="s">
        <v>694</v>
      </c>
      <c r="B671" s="14">
        <v>35432</v>
      </c>
      <c r="C671" s="31">
        <f>YEAR(Table1[[#This Row],[Tanggal Lahir]])</f>
        <v>1997</v>
      </c>
      <c r="D671" s="15">
        <f t="shared" si="40"/>
        <v>25.733333333333334</v>
      </c>
      <c r="E671" s="12" t="s">
        <v>7</v>
      </c>
      <c r="F671" s="14">
        <v>39653</v>
      </c>
      <c r="G671" s="13">
        <f t="shared" si="41"/>
        <v>2008</v>
      </c>
      <c r="H671" s="30">
        <f t="shared" si="42"/>
        <v>18000000</v>
      </c>
      <c r="I671" s="39">
        <v>3</v>
      </c>
      <c r="J671">
        <f t="shared" si="43"/>
        <v>2</v>
      </c>
    </row>
    <row r="672" spans="1:10" x14ac:dyDescent="0.25">
      <c r="A672" s="16" t="s">
        <v>695</v>
      </c>
      <c r="B672" s="14">
        <v>35113</v>
      </c>
      <c r="C672" s="31">
        <f>YEAR(Table1[[#This Row],[Tanggal Lahir]])</f>
        <v>1996</v>
      </c>
      <c r="D672" s="15">
        <f t="shared" si="40"/>
        <v>26.605555555555554</v>
      </c>
      <c r="E672" s="12" t="s">
        <v>7</v>
      </c>
      <c r="F672" s="14">
        <v>44379</v>
      </c>
      <c r="G672" s="13">
        <f t="shared" si="41"/>
        <v>2021</v>
      </c>
      <c r="H672" s="30">
        <f t="shared" si="42"/>
        <v>6800000</v>
      </c>
      <c r="I672" s="39">
        <v>5</v>
      </c>
      <c r="J672">
        <f t="shared" si="43"/>
        <v>2</v>
      </c>
    </row>
    <row r="673" spans="1:10" x14ac:dyDescent="0.25">
      <c r="A673" s="16" t="s">
        <v>696</v>
      </c>
      <c r="B673" s="14">
        <v>35841</v>
      </c>
      <c r="C673" s="31">
        <f>YEAR(Table1[[#This Row],[Tanggal Lahir]])</f>
        <v>1998</v>
      </c>
      <c r="D673" s="15">
        <f t="shared" si="40"/>
        <v>24.613888888888887</v>
      </c>
      <c r="E673" s="12" t="s">
        <v>10</v>
      </c>
      <c r="F673" s="14">
        <v>44382</v>
      </c>
      <c r="G673" s="13">
        <f t="shared" si="41"/>
        <v>2021</v>
      </c>
      <c r="H673" s="30">
        <f t="shared" si="42"/>
        <v>6800000</v>
      </c>
      <c r="I673" s="39">
        <v>4</v>
      </c>
      <c r="J673">
        <f t="shared" si="43"/>
        <v>2</v>
      </c>
    </row>
    <row r="674" spans="1:10" x14ac:dyDescent="0.25">
      <c r="A674" s="16" t="s">
        <v>697</v>
      </c>
      <c r="B674" s="14">
        <v>37808</v>
      </c>
      <c r="C674" s="31">
        <f>YEAR(Table1[[#This Row],[Tanggal Lahir]])</f>
        <v>2003</v>
      </c>
      <c r="D674" s="15">
        <f t="shared" si="40"/>
        <v>19.222222222222221</v>
      </c>
      <c r="E674" s="12" t="s">
        <v>10</v>
      </c>
      <c r="F674" s="14">
        <v>43728</v>
      </c>
      <c r="G674" s="13">
        <f t="shared" si="41"/>
        <v>2019</v>
      </c>
      <c r="H674" s="30">
        <f t="shared" si="42"/>
        <v>9000000</v>
      </c>
      <c r="I674" s="39">
        <v>1</v>
      </c>
      <c r="J674">
        <f t="shared" si="43"/>
        <v>2</v>
      </c>
    </row>
    <row r="675" spans="1:10" x14ac:dyDescent="0.25">
      <c r="A675" s="16" t="s">
        <v>698</v>
      </c>
      <c r="B675" s="14">
        <v>34980</v>
      </c>
      <c r="C675" s="31">
        <f>YEAR(Table1[[#This Row],[Tanggal Lahir]])</f>
        <v>1995</v>
      </c>
      <c r="D675" s="15">
        <f t="shared" si="40"/>
        <v>26.966666666666665</v>
      </c>
      <c r="E675" s="12" t="s">
        <v>10</v>
      </c>
      <c r="F675" s="14">
        <v>39353</v>
      </c>
      <c r="G675" s="13">
        <f t="shared" si="41"/>
        <v>2007</v>
      </c>
      <c r="H675" s="30">
        <f t="shared" si="42"/>
        <v>18000000</v>
      </c>
      <c r="I675" s="39">
        <v>2</v>
      </c>
      <c r="J675">
        <f t="shared" si="43"/>
        <v>2</v>
      </c>
    </row>
    <row r="676" spans="1:10" x14ac:dyDescent="0.25">
      <c r="A676" s="16" t="s">
        <v>699</v>
      </c>
      <c r="B676" s="14">
        <v>37532</v>
      </c>
      <c r="C676" s="31">
        <f>YEAR(Table1[[#This Row],[Tanggal Lahir]])</f>
        <v>2002</v>
      </c>
      <c r="D676" s="15">
        <f t="shared" si="40"/>
        <v>19.980555555555554</v>
      </c>
      <c r="E676" s="12" t="s">
        <v>10</v>
      </c>
      <c r="F676" s="14">
        <v>39804</v>
      </c>
      <c r="G676" s="13">
        <f t="shared" si="41"/>
        <v>2008</v>
      </c>
      <c r="H676" s="30">
        <f t="shared" si="42"/>
        <v>18000000</v>
      </c>
      <c r="I676" s="39">
        <v>6</v>
      </c>
      <c r="J676">
        <f t="shared" si="43"/>
        <v>2</v>
      </c>
    </row>
    <row r="677" spans="1:10" x14ac:dyDescent="0.25">
      <c r="A677" s="16" t="s">
        <v>700</v>
      </c>
      <c r="B677" s="14">
        <v>34661</v>
      </c>
      <c r="C677" s="31">
        <f>YEAR(Table1[[#This Row],[Tanggal Lahir]])</f>
        <v>1994</v>
      </c>
      <c r="D677" s="15">
        <f t="shared" si="40"/>
        <v>27.841666666666665</v>
      </c>
      <c r="E677" s="12" t="s">
        <v>14</v>
      </c>
      <c r="F677" s="14">
        <v>39417</v>
      </c>
      <c r="G677" s="13">
        <f t="shared" si="41"/>
        <v>2007</v>
      </c>
      <c r="H677" s="30">
        <f t="shared" si="42"/>
        <v>18000000</v>
      </c>
      <c r="I677" s="39">
        <v>2</v>
      </c>
      <c r="J677">
        <f t="shared" si="43"/>
        <v>3</v>
      </c>
    </row>
    <row r="678" spans="1:10" x14ac:dyDescent="0.25">
      <c r="A678" s="16" t="s">
        <v>701</v>
      </c>
      <c r="B678" s="14">
        <v>36057</v>
      </c>
      <c r="C678" s="31">
        <f>YEAR(Table1[[#This Row],[Tanggal Lahir]])</f>
        <v>1998</v>
      </c>
      <c r="D678" s="15">
        <f t="shared" si="40"/>
        <v>24.019444444444446</v>
      </c>
      <c r="E678" s="12" t="s">
        <v>10</v>
      </c>
      <c r="F678" s="14">
        <v>44415</v>
      </c>
      <c r="G678" s="13">
        <f t="shared" si="41"/>
        <v>2021</v>
      </c>
      <c r="H678" s="30">
        <f t="shared" si="42"/>
        <v>6800000</v>
      </c>
      <c r="I678" s="39">
        <v>5</v>
      </c>
      <c r="J678">
        <f t="shared" si="43"/>
        <v>2</v>
      </c>
    </row>
    <row r="679" spans="1:10" x14ac:dyDescent="0.25">
      <c r="A679" s="16" t="s">
        <v>702</v>
      </c>
      <c r="B679" s="14">
        <v>37664</v>
      </c>
      <c r="C679" s="31">
        <f>YEAR(Table1[[#This Row],[Tanggal Lahir]])</f>
        <v>2003</v>
      </c>
      <c r="D679" s="15">
        <f t="shared" si="40"/>
        <v>19.622222222222224</v>
      </c>
      <c r="E679" s="12" t="s">
        <v>14</v>
      </c>
      <c r="F679" s="14">
        <v>44475</v>
      </c>
      <c r="G679" s="13">
        <f t="shared" si="41"/>
        <v>2021</v>
      </c>
      <c r="H679" s="30">
        <f t="shared" si="42"/>
        <v>6800000</v>
      </c>
      <c r="I679" s="39">
        <v>6</v>
      </c>
      <c r="J679">
        <f t="shared" si="43"/>
        <v>2</v>
      </c>
    </row>
    <row r="680" spans="1:10" x14ac:dyDescent="0.25">
      <c r="A680" s="16" t="s">
        <v>703</v>
      </c>
      <c r="B680" s="14">
        <v>36820</v>
      </c>
      <c r="C680" s="31">
        <f>YEAR(Table1[[#This Row],[Tanggal Lahir]])</f>
        <v>2000</v>
      </c>
      <c r="D680" s="15">
        <f t="shared" si="40"/>
        <v>21.930555555555557</v>
      </c>
      <c r="E680" s="12" t="s">
        <v>7</v>
      </c>
      <c r="F680" s="14">
        <v>43109</v>
      </c>
      <c r="G680" s="13">
        <f t="shared" si="41"/>
        <v>2018</v>
      </c>
      <c r="H680" s="30">
        <f t="shared" si="42"/>
        <v>9000000</v>
      </c>
      <c r="I680" s="39">
        <v>4</v>
      </c>
      <c r="J680">
        <f t="shared" si="43"/>
        <v>2</v>
      </c>
    </row>
    <row r="681" spans="1:10" x14ac:dyDescent="0.25">
      <c r="A681" s="16" t="s">
        <v>704</v>
      </c>
      <c r="B681" s="14">
        <v>35896</v>
      </c>
      <c r="C681" s="31">
        <f>YEAR(Table1[[#This Row],[Tanggal Lahir]])</f>
        <v>1998</v>
      </c>
      <c r="D681" s="15">
        <f t="shared" si="40"/>
        <v>24.458333333333332</v>
      </c>
      <c r="E681" s="12" t="s">
        <v>10</v>
      </c>
      <c r="F681" s="14">
        <v>41428</v>
      </c>
      <c r="G681" s="13">
        <f t="shared" si="41"/>
        <v>2013</v>
      </c>
      <c r="H681" s="30">
        <f t="shared" si="42"/>
        <v>13000000</v>
      </c>
      <c r="I681" s="39">
        <v>6</v>
      </c>
      <c r="J681">
        <f t="shared" si="43"/>
        <v>2</v>
      </c>
    </row>
    <row r="682" spans="1:10" x14ac:dyDescent="0.25">
      <c r="A682" s="16" t="s">
        <v>705</v>
      </c>
      <c r="B682" s="14">
        <v>35564</v>
      </c>
      <c r="C682" s="31">
        <f>YEAR(Table1[[#This Row],[Tanggal Lahir]])</f>
        <v>1997</v>
      </c>
      <c r="D682" s="15">
        <f t="shared" si="40"/>
        <v>25.366666666666667</v>
      </c>
      <c r="E682" s="12" t="s">
        <v>10</v>
      </c>
      <c r="F682" s="14">
        <v>38950</v>
      </c>
      <c r="G682" s="13">
        <f t="shared" si="41"/>
        <v>2006</v>
      </c>
      <c r="H682" s="30">
        <f t="shared" si="42"/>
        <v>18000000</v>
      </c>
      <c r="I682" s="39">
        <v>5</v>
      </c>
      <c r="J682">
        <f t="shared" si="43"/>
        <v>2</v>
      </c>
    </row>
    <row r="683" spans="1:10" x14ac:dyDescent="0.25">
      <c r="A683" s="16" t="s">
        <v>706</v>
      </c>
      <c r="B683" s="14">
        <v>35317</v>
      </c>
      <c r="C683" s="31">
        <f>YEAR(Table1[[#This Row],[Tanggal Lahir]])</f>
        <v>1996</v>
      </c>
      <c r="D683" s="15">
        <f t="shared" si="40"/>
        <v>26.047222222222221</v>
      </c>
      <c r="E683" s="12" t="s">
        <v>10</v>
      </c>
      <c r="F683" s="14">
        <v>41021</v>
      </c>
      <c r="G683" s="13">
        <f t="shared" si="41"/>
        <v>2012</v>
      </c>
      <c r="H683" s="30">
        <f t="shared" si="42"/>
        <v>13000000</v>
      </c>
      <c r="I683" s="39">
        <v>5</v>
      </c>
      <c r="J683">
        <f t="shared" si="43"/>
        <v>2</v>
      </c>
    </row>
    <row r="684" spans="1:10" x14ac:dyDescent="0.25">
      <c r="A684" s="16" t="s">
        <v>707</v>
      </c>
      <c r="B684" s="14">
        <v>37650</v>
      </c>
      <c r="C684" s="31">
        <f>YEAR(Table1[[#This Row],[Tanggal Lahir]])</f>
        <v>2003</v>
      </c>
      <c r="D684" s="15">
        <f t="shared" si="40"/>
        <v>19.658333333333335</v>
      </c>
      <c r="E684" s="12" t="s">
        <v>10</v>
      </c>
      <c r="F684" s="14">
        <v>41490</v>
      </c>
      <c r="G684" s="13">
        <f t="shared" si="41"/>
        <v>2013</v>
      </c>
      <c r="H684" s="30">
        <f t="shared" si="42"/>
        <v>13000000</v>
      </c>
      <c r="I684" s="39">
        <v>4</v>
      </c>
      <c r="J684">
        <f t="shared" si="43"/>
        <v>2</v>
      </c>
    </row>
    <row r="685" spans="1:10" x14ac:dyDescent="0.25">
      <c r="A685" s="16" t="s">
        <v>708</v>
      </c>
      <c r="B685" s="14">
        <v>37868</v>
      </c>
      <c r="C685" s="31">
        <f>YEAR(Table1[[#This Row],[Tanggal Lahir]])</f>
        <v>2003</v>
      </c>
      <c r="D685" s="15">
        <f t="shared" si="40"/>
        <v>19.06111111111111</v>
      </c>
      <c r="E685" s="12" t="s">
        <v>14</v>
      </c>
      <c r="F685" s="14">
        <v>39012</v>
      </c>
      <c r="G685" s="13">
        <f t="shared" si="41"/>
        <v>2006</v>
      </c>
      <c r="H685" s="30">
        <f t="shared" si="42"/>
        <v>18000000</v>
      </c>
      <c r="I685" s="39">
        <v>2</v>
      </c>
      <c r="J685">
        <f t="shared" si="43"/>
        <v>2</v>
      </c>
    </row>
    <row r="686" spans="1:10" x14ac:dyDescent="0.25">
      <c r="A686" s="16" t="s">
        <v>709</v>
      </c>
      <c r="B686" s="14">
        <v>37202</v>
      </c>
      <c r="C686" s="31">
        <f>YEAR(Table1[[#This Row],[Tanggal Lahir]])</f>
        <v>2001</v>
      </c>
      <c r="D686" s="15">
        <f t="shared" si="40"/>
        <v>20.886111111111113</v>
      </c>
      <c r="E686" s="12" t="s">
        <v>10</v>
      </c>
      <c r="F686" s="14">
        <v>38919</v>
      </c>
      <c r="G686" s="13">
        <f t="shared" si="41"/>
        <v>2006</v>
      </c>
      <c r="H686" s="30">
        <f t="shared" si="42"/>
        <v>18000000</v>
      </c>
      <c r="I686" s="39">
        <v>2</v>
      </c>
      <c r="J686">
        <f t="shared" si="43"/>
        <v>3</v>
      </c>
    </row>
    <row r="687" spans="1:10" x14ac:dyDescent="0.25">
      <c r="A687" s="16" t="s">
        <v>710</v>
      </c>
      <c r="B687" s="14">
        <v>37611</v>
      </c>
      <c r="C687" s="31">
        <f>YEAR(Table1[[#This Row],[Tanggal Lahir]])</f>
        <v>2002</v>
      </c>
      <c r="D687" s="15">
        <f t="shared" si="40"/>
        <v>19.763888888888889</v>
      </c>
      <c r="E687" s="12" t="s">
        <v>14</v>
      </c>
      <c r="F687" s="14">
        <v>38967</v>
      </c>
      <c r="G687" s="13">
        <f t="shared" si="41"/>
        <v>2006</v>
      </c>
      <c r="H687" s="30">
        <f t="shared" si="42"/>
        <v>18000000</v>
      </c>
      <c r="I687" s="39">
        <v>4</v>
      </c>
      <c r="J687">
        <f t="shared" si="43"/>
        <v>2</v>
      </c>
    </row>
    <row r="688" spans="1:10" x14ac:dyDescent="0.25">
      <c r="A688" s="16" t="s">
        <v>711</v>
      </c>
      <c r="B688" s="14">
        <v>35919</v>
      </c>
      <c r="C688" s="31">
        <f>YEAR(Table1[[#This Row],[Tanggal Lahir]])</f>
        <v>1998</v>
      </c>
      <c r="D688" s="15">
        <f t="shared" si="40"/>
        <v>24.394444444444446</v>
      </c>
      <c r="E688" s="12" t="s">
        <v>10</v>
      </c>
      <c r="F688" s="14">
        <v>39991</v>
      </c>
      <c r="G688" s="13">
        <f t="shared" si="41"/>
        <v>2009</v>
      </c>
      <c r="H688" s="30">
        <f t="shared" si="42"/>
        <v>13000000</v>
      </c>
      <c r="I688" s="39">
        <v>1</v>
      </c>
      <c r="J688">
        <f t="shared" si="43"/>
        <v>2</v>
      </c>
    </row>
    <row r="689" spans="1:10" x14ac:dyDescent="0.25">
      <c r="A689" s="16" t="s">
        <v>712</v>
      </c>
      <c r="B689" s="14">
        <v>36749</v>
      </c>
      <c r="C689" s="31">
        <f>YEAR(Table1[[#This Row],[Tanggal Lahir]])</f>
        <v>2000</v>
      </c>
      <c r="D689" s="15">
        <f t="shared" si="40"/>
        <v>22.125</v>
      </c>
      <c r="E689" s="12" t="s">
        <v>10</v>
      </c>
      <c r="F689" s="14">
        <v>39042</v>
      </c>
      <c r="G689" s="13">
        <f t="shared" si="41"/>
        <v>2006</v>
      </c>
      <c r="H689" s="30">
        <f t="shared" si="42"/>
        <v>18000000</v>
      </c>
      <c r="I689" s="39">
        <v>6</v>
      </c>
      <c r="J689">
        <f t="shared" si="43"/>
        <v>2</v>
      </c>
    </row>
    <row r="690" spans="1:10" x14ac:dyDescent="0.25">
      <c r="A690" s="16" t="s">
        <v>713</v>
      </c>
      <c r="B690" s="14">
        <v>34858</v>
      </c>
      <c r="C690" s="31">
        <f>YEAR(Table1[[#This Row],[Tanggal Lahir]])</f>
        <v>1995</v>
      </c>
      <c r="D690" s="15">
        <f t="shared" si="40"/>
        <v>27.3</v>
      </c>
      <c r="E690" s="12" t="s">
        <v>7</v>
      </c>
      <c r="F690" s="14">
        <v>40103</v>
      </c>
      <c r="G690" s="13">
        <f t="shared" si="41"/>
        <v>2009</v>
      </c>
      <c r="H690" s="30">
        <f t="shared" si="42"/>
        <v>13000000</v>
      </c>
      <c r="I690" s="39">
        <v>5</v>
      </c>
      <c r="J690">
        <f t="shared" si="43"/>
        <v>2</v>
      </c>
    </row>
    <row r="691" spans="1:10" x14ac:dyDescent="0.25">
      <c r="A691" s="16" t="s">
        <v>714</v>
      </c>
      <c r="B691" s="14">
        <v>36265</v>
      </c>
      <c r="C691" s="31">
        <f>YEAR(Table1[[#This Row],[Tanggal Lahir]])</f>
        <v>1999</v>
      </c>
      <c r="D691" s="15">
        <f t="shared" si="40"/>
        <v>23.447222222222223</v>
      </c>
      <c r="E691" s="12" t="s">
        <v>7</v>
      </c>
      <c r="F691" s="14">
        <v>42558</v>
      </c>
      <c r="G691" s="13">
        <f t="shared" si="41"/>
        <v>2016</v>
      </c>
      <c r="H691" s="30">
        <f t="shared" si="42"/>
        <v>9000000</v>
      </c>
      <c r="I691" s="39">
        <v>4</v>
      </c>
      <c r="J691">
        <f t="shared" si="43"/>
        <v>2</v>
      </c>
    </row>
    <row r="692" spans="1:10" x14ac:dyDescent="0.25">
      <c r="A692" s="16" t="s">
        <v>715</v>
      </c>
      <c r="B692" s="14">
        <v>35990</v>
      </c>
      <c r="C692" s="31">
        <f>YEAR(Table1[[#This Row],[Tanggal Lahir]])</f>
        <v>1998</v>
      </c>
      <c r="D692" s="15">
        <f t="shared" si="40"/>
        <v>24.2</v>
      </c>
      <c r="E692" s="12" t="s">
        <v>14</v>
      </c>
      <c r="F692" s="14">
        <v>40084</v>
      </c>
      <c r="G692" s="13">
        <f t="shared" si="41"/>
        <v>2009</v>
      </c>
      <c r="H692" s="30">
        <f t="shared" si="42"/>
        <v>13000000</v>
      </c>
      <c r="I692" s="39">
        <v>6</v>
      </c>
      <c r="J692">
        <f t="shared" si="43"/>
        <v>2</v>
      </c>
    </row>
    <row r="693" spans="1:10" x14ac:dyDescent="0.25">
      <c r="A693" s="16" t="s">
        <v>716</v>
      </c>
      <c r="B693" s="14">
        <v>37436</v>
      </c>
      <c r="C693" s="31">
        <f>YEAR(Table1[[#This Row],[Tanggal Lahir]])</f>
        <v>2002</v>
      </c>
      <c r="D693" s="15">
        <f t="shared" si="40"/>
        <v>20.241666666666667</v>
      </c>
      <c r="E693" s="12" t="s">
        <v>10</v>
      </c>
      <c r="F693" s="14">
        <v>38248</v>
      </c>
      <c r="G693" s="13">
        <f t="shared" si="41"/>
        <v>2004</v>
      </c>
      <c r="H693" s="30">
        <f t="shared" si="42"/>
        <v>18000000</v>
      </c>
      <c r="I693" s="39">
        <v>5</v>
      </c>
      <c r="J693">
        <f t="shared" si="43"/>
        <v>2</v>
      </c>
    </row>
    <row r="694" spans="1:10" x14ac:dyDescent="0.25">
      <c r="A694" s="16" t="s">
        <v>717</v>
      </c>
      <c r="B694" s="14">
        <v>35732</v>
      </c>
      <c r="C694" s="31">
        <f>YEAR(Table1[[#This Row],[Tanggal Lahir]])</f>
        <v>1997</v>
      </c>
      <c r="D694" s="15">
        <f t="shared" si="40"/>
        <v>24.908333333333335</v>
      </c>
      <c r="E694" s="12" t="s">
        <v>14</v>
      </c>
      <c r="F694" s="14">
        <v>42365</v>
      </c>
      <c r="G694" s="13">
        <f t="shared" si="41"/>
        <v>2015</v>
      </c>
      <c r="H694" s="30">
        <f t="shared" si="42"/>
        <v>9000000</v>
      </c>
      <c r="I694" s="39">
        <v>3</v>
      </c>
      <c r="J694">
        <f t="shared" si="43"/>
        <v>2</v>
      </c>
    </row>
    <row r="695" spans="1:10" x14ac:dyDescent="0.25">
      <c r="A695" s="16" t="s">
        <v>718</v>
      </c>
      <c r="B695" s="14">
        <v>35349</v>
      </c>
      <c r="C695" s="31">
        <f>YEAR(Table1[[#This Row],[Tanggal Lahir]])</f>
        <v>1996</v>
      </c>
      <c r="D695" s="15">
        <f t="shared" si="40"/>
        <v>25.958333333333332</v>
      </c>
      <c r="E695" s="12" t="s">
        <v>10</v>
      </c>
      <c r="F695" s="14">
        <v>41718</v>
      </c>
      <c r="G695" s="13">
        <f t="shared" si="41"/>
        <v>2014</v>
      </c>
      <c r="H695" s="30">
        <f t="shared" si="42"/>
        <v>9000000</v>
      </c>
      <c r="I695" s="39">
        <v>6</v>
      </c>
      <c r="J695">
        <f t="shared" si="43"/>
        <v>2</v>
      </c>
    </row>
    <row r="696" spans="1:10" x14ac:dyDescent="0.25">
      <c r="A696" s="16" t="s">
        <v>719</v>
      </c>
      <c r="B696" s="14">
        <v>37057</v>
      </c>
      <c r="C696" s="31">
        <f>YEAR(Table1[[#This Row],[Tanggal Lahir]])</f>
        <v>2001</v>
      </c>
      <c r="D696" s="15">
        <f t="shared" si="40"/>
        <v>21.280555555555555</v>
      </c>
      <c r="E696" s="12" t="s">
        <v>10</v>
      </c>
      <c r="F696" s="14">
        <v>41461</v>
      </c>
      <c r="G696" s="13">
        <f t="shared" si="41"/>
        <v>2013</v>
      </c>
      <c r="H696" s="30">
        <f t="shared" si="42"/>
        <v>13000000</v>
      </c>
      <c r="I696" s="39">
        <v>3</v>
      </c>
      <c r="J696">
        <f t="shared" si="43"/>
        <v>2</v>
      </c>
    </row>
    <row r="697" spans="1:10" x14ac:dyDescent="0.25">
      <c r="A697" s="16" t="s">
        <v>720</v>
      </c>
      <c r="B697" s="14">
        <v>36761</v>
      </c>
      <c r="C697" s="31">
        <f>YEAR(Table1[[#This Row],[Tanggal Lahir]])</f>
        <v>2000</v>
      </c>
      <c r="D697" s="15">
        <f t="shared" si="40"/>
        <v>22.091666666666665</v>
      </c>
      <c r="E697" s="12" t="s">
        <v>10</v>
      </c>
      <c r="F697" s="14">
        <v>41951</v>
      </c>
      <c r="G697" s="13">
        <f t="shared" si="41"/>
        <v>2014</v>
      </c>
      <c r="H697" s="30">
        <f t="shared" si="42"/>
        <v>9000000</v>
      </c>
      <c r="I697" s="39">
        <v>6</v>
      </c>
      <c r="J697">
        <f t="shared" si="43"/>
        <v>2</v>
      </c>
    </row>
    <row r="698" spans="1:10" x14ac:dyDescent="0.25">
      <c r="A698" s="16" t="s">
        <v>721</v>
      </c>
      <c r="B698" s="14">
        <v>37263</v>
      </c>
      <c r="C698" s="31">
        <f>YEAR(Table1[[#This Row],[Tanggal Lahir]])</f>
        <v>2002</v>
      </c>
      <c r="D698" s="15">
        <f t="shared" si="40"/>
        <v>20.719444444444445</v>
      </c>
      <c r="E698" s="12" t="s">
        <v>10</v>
      </c>
      <c r="F698" s="14">
        <v>39843</v>
      </c>
      <c r="G698" s="13">
        <f t="shared" si="41"/>
        <v>2009</v>
      </c>
      <c r="H698" s="30">
        <f t="shared" si="42"/>
        <v>13000000</v>
      </c>
      <c r="I698" s="39">
        <v>3</v>
      </c>
      <c r="J698">
        <f t="shared" si="43"/>
        <v>2</v>
      </c>
    </row>
    <row r="699" spans="1:10" x14ac:dyDescent="0.25">
      <c r="A699" s="16" t="s">
        <v>722</v>
      </c>
      <c r="B699" s="14">
        <v>37334</v>
      </c>
      <c r="C699" s="31">
        <f>YEAR(Table1[[#This Row],[Tanggal Lahir]])</f>
        <v>2002</v>
      </c>
      <c r="D699" s="15">
        <f t="shared" si="40"/>
        <v>20.519444444444446</v>
      </c>
      <c r="E699" s="12" t="s">
        <v>10</v>
      </c>
      <c r="F699" s="14">
        <v>40731</v>
      </c>
      <c r="G699" s="13">
        <f t="shared" si="41"/>
        <v>2011</v>
      </c>
      <c r="H699" s="30">
        <f t="shared" si="42"/>
        <v>13000000</v>
      </c>
      <c r="I699" s="39">
        <v>2</v>
      </c>
      <c r="J699">
        <f t="shared" si="43"/>
        <v>2</v>
      </c>
    </row>
    <row r="700" spans="1:10" x14ac:dyDescent="0.25">
      <c r="A700" s="16" t="s">
        <v>723</v>
      </c>
      <c r="B700" s="14">
        <v>37478</v>
      </c>
      <c r="C700" s="31">
        <f>YEAR(Table1[[#This Row],[Tanggal Lahir]])</f>
        <v>2002</v>
      </c>
      <c r="D700" s="15">
        <f t="shared" si="40"/>
        <v>20.127777777777776</v>
      </c>
      <c r="E700" s="12" t="s">
        <v>10</v>
      </c>
      <c r="F700" s="14">
        <v>42923</v>
      </c>
      <c r="G700" s="13">
        <f t="shared" si="41"/>
        <v>2017</v>
      </c>
      <c r="H700" s="30">
        <f t="shared" si="42"/>
        <v>9000000</v>
      </c>
      <c r="I700" s="39">
        <v>3</v>
      </c>
      <c r="J700">
        <f t="shared" si="43"/>
        <v>2</v>
      </c>
    </row>
    <row r="701" spans="1:10" x14ac:dyDescent="0.25">
      <c r="A701" s="16" t="s">
        <v>724</v>
      </c>
      <c r="B701" s="14">
        <v>34814</v>
      </c>
      <c r="C701" s="31">
        <f>YEAR(Table1[[#This Row],[Tanggal Lahir]])</f>
        <v>1995</v>
      </c>
      <c r="D701" s="15">
        <f t="shared" si="40"/>
        <v>27.419444444444444</v>
      </c>
      <c r="E701" s="12" t="s">
        <v>10</v>
      </c>
      <c r="F701" s="14">
        <v>41022</v>
      </c>
      <c r="G701" s="13">
        <f t="shared" si="41"/>
        <v>2012</v>
      </c>
      <c r="H701" s="30">
        <f t="shared" si="42"/>
        <v>13000000</v>
      </c>
      <c r="I701" s="39">
        <v>6</v>
      </c>
      <c r="J701">
        <f t="shared" si="43"/>
        <v>2</v>
      </c>
    </row>
    <row r="702" spans="1:10" x14ac:dyDescent="0.25">
      <c r="A702" s="16" t="s">
        <v>725</v>
      </c>
      <c r="B702" s="14">
        <v>35800</v>
      </c>
      <c r="C702" s="31">
        <f>YEAR(Table1[[#This Row],[Tanggal Lahir]])</f>
        <v>1998</v>
      </c>
      <c r="D702" s="15">
        <f t="shared" si="40"/>
        <v>24.725000000000001</v>
      </c>
      <c r="E702" s="12" t="s">
        <v>10</v>
      </c>
      <c r="F702" s="14">
        <v>40376</v>
      </c>
      <c r="G702" s="13">
        <f t="shared" si="41"/>
        <v>2010</v>
      </c>
      <c r="H702" s="30">
        <f t="shared" si="42"/>
        <v>13000000</v>
      </c>
      <c r="I702" s="39">
        <v>5</v>
      </c>
      <c r="J702">
        <f t="shared" si="43"/>
        <v>2</v>
      </c>
    </row>
    <row r="703" spans="1:10" x14ac:dyDescent="0.25">
      <c r="A703" s="16" t="s">
        <v>726</v>
      </c>
      <c r="B703" s="14">
        <v>37951</v>
      </c>
      <c r="C703" s="31">
        <f>YEAR(Table1[[#This Row],[Tanggal Lahir]])</f>
        <v>2003</v>
      </c>
      <c r="D703" s="15">
        <f t="shared" si="40"/>
        <v>18.833333333333332</v>
      </c>
      <c r="E703" s="12" t="s">
        <v>7</v>
      </c>
      <c r="F703" s="14">
        <v>38456</v>
      </c>
      <c r="G703" s="13">
        <f t="shared" si="41"/>
        <v>2005</v>
      </c>
      <c r="H703" s="30">
        <f t="shared" si="42"/>
        <v>18000000</v>
      </c>
      <c r="I703" s="39">
        <v>2</v>
      </c>
      <c r="J703">
        <f t="shared" si="43"/>
        <v>2</v>
      </c>
    </row>
    <row r="704" spans="1:10" x14ac:dyDescent="0.25">
      <c r="A704" s="16" t="s">
        <v>727</v>
      </c>
      <c r="B704" s="14">
        <v>35830</v>
      </c>
      <c r="C704" s="31">
        <f>YEAR(Table1[[#This Row],[Tanggal Lahir]])</f>
        <v>1998</v>
      </c>
      <c r="D704" s="15">
        <f t="shared" si="40"/>
        <v>24.644444444444446</v>
      </c>
      <c r="E704" s="12" t="s">
        <v>7</v>
      </c>
      <c r="F704" s="14">
        <v>39014</v>
      </c>
      <c r="G704" s="13">
        <f t="shared" si="41"/>
        <v>2006</v>
      </c>
      <c r="H704" s="30">
        <f t="shared" si="42"/>
        <v>18000000</v>
      </c>
      <c r="I704" s="39">
        <v>3</v>
      </c>
      <c r="J704">
        <f t="shared" si="43"/>
        <v>2</v>
      </c>
    </row>
    <row r="705" spans="1:10" x14ac:dyDescent="0.25">
      <c r="A705" s="16" t="s">
        <v>728</v>
      </c>
      <c r="B705" s="14">
        <v>35385</v>
      </c>
      <c r="C705" s="31">
        <f>YEAR(Table1[[#This Row],[Tanggal Lahir]])</f>
        <v>1996</v>
      </c>
      <c r="D705" s="15">
        <f t="shared" si="40"/>
        <v>25.861111111111111</v>
      </c>
      <c r="E705" s="12" t="s">
        <v>7</v>
      </c>
      <c r="F705" s="14">
        <v>43090</v>
      </c>
      <c r="G705" s="13">
        <f t="shared" si="41"/>
        <v>2017</v>
      </c>
      <c r="H705" s="30">
        <f t="shared" si="42"/>
        <v>9000000</v>
      </c>
      <c r="I705" s="39">
        <v>5</v>
      </c>
      <c r="J705">
        <f t="shared" si="43"/>
        <v>2</v>
      </c>
    </row>
    <row r="706" spans="1:10" x14ac:dyDescent="0.25">
      <c r="A706" s="16" t="s">
        <v>729</v>
      </c>
      <c r="B706" s="14">
        <v>36735</v>
      </c>
      <c r="C706" s="31">
        <f>YEAR(Table1[[#This Row],[Tanggal Lahir]])</f>
        <v>2000</v>
      </c>
      <c r="D706" s="15">
        <f t="shared" ref="D706:D769" si="44">YEARFRAC(B706,$L$2)</f>
        <v>22.161111111111111</v>
      </c>
      <c r="E706" s="12" t="s">
        <v>10</v>
      </c>
      <c r="F706" s="14">
        <v>41927</v>
      </c>
      <c r="G706" s="13">
        <f t="shared" ref="G706:G769" si="45">YEAR(F706)</f>
        <v>2014</v>
      </c>
      <c r="H706" s="30">
        <f t="shared" ref="H706:H769" si="46">IF(G706&lt;= 2008,18000000,IF(AND(G706&gt;=2009,G706&lt;=2013),13000000,IF(AND(G706&gt;=2014,G706&lt;=2019),9000000,6800000)))</f>
        <v>9000000</v>
      </c>
      <c r="I706" s="39">
        <v>1</v>
      </c>
      <c r="J706">
        <f t="shared" ref="J706:J769" si="47">SUM(LEN(A706)-LEN(SUBSTITUTE(A706," ",""))+1)</f>
        <v>2</v>
      </c>
    </row>
    <row r="707" spans="1:10" x14ac:dyDescent="0.25">
      <c r="A707" s="16" t="s">
        <v>730</v>
      </c>
      <c r="B707" s="14">
        <v>35282</v>
      </c>
      <c r="C707" s="31">
        <f>YEAR(Table1[[#This Row],[Tanggal Lahir]])</f>
        <v>1996</v>
      </c>
      <c r="D707" s="15">
        <f t="shared" si="44"/>
        <v>26.141666666666666</v>
      </c>
      <c r="E707" s="12" t="s">
        <v>10</v>
      </c>
      <c r="F707" s="14">
        <v>43207</v>
      </c>
      <c r="G707" s="13">
        <f t="shared" si="45"/>
        <v>2018</v>
      </c>
      <c r="H707" s="30">
        <f t="shared" si="46"/>
        <v>9000000</v>
      </c>
      <c r="I707" s="39">
        <v>6</v>
      </c>
      <c r="J707">
        <f t="shared" si="47"/>
        <v>2</v>
      </c>
    </row>
    <row r="708" spans="1:10" x14ac:dyDescent="0.25">
      <c r="A708" s="16" t="s">
        <v>731</v>
      </c>
      <c r="B708" s="14">
        <v>35436</v>
      </c>
      <c r="C708" s="31">
        <f>YEAR(Table1[[#This Row],[Tanggal Lahir]])</f>
        <v>1997</v>
      </c>
      <c r="D708" s="15">
        <f t="shared" si="44"/>
        <v>25.722222222222221</v>
      </c>
      <c r="E708" s="12" t="s">
        <v>14</v>
      </c>
      <c r="F708" s="14">
        <v>43837</v>
      </c>
      <c r="G708" s="13">
        <f t="shared" si="45"/>
        <v>2020</v>
      </c>
      <c r="H708" s="30">
        <f t="shared" si="46"/>
        <v>6800000</v>
      </c>
      <c r="I708" s="39">
        <v>3</v>
      </c>
      <c r="J708">
        <f t="shared" si="47"/>
        <v>2</v>
      </c>
    </row>
    <row r="709" spans="1:10" x14ac:dyDescent="0.25">
      <c r="A709" s="16" t="s">
        <v>732</v>
      </c>
      <c r="B709" s="14">
        <v>37842</v>
      </c>
      <c r="C709" s="31">
        <f>YEAR(Table1[[#This Row],[Tanggal Lahir]])</f>
        <v>2003</v>
      </c>
      <c r="D709" s="15">
        <f t="shared" si="44"/>
        <v>19.130555555555556</v>
      </c>
      <c r="E709" s="12" t="s">
        <v>14</v>
      </c>
      <c r="F709" s="14">
        <v>41347</v>
      </c>
      <c r="G709" s="13">
        <f t="shared" si="45"/>
        <v>2013</v>
      </c>
      <c r="H709" s="30">
        <f t="shared" si="46"/>
        <v>13000000</v>
      </c>
      <c r="I709" s="39">
        <v>4</v>
      </c>
      <c r="J709">
        <f t="shared" si="47"/>
        <v>2</v>
      </c>
    </row>
    <row r="710" spans="1:10" x14ac:dyDescent="0.25">
      <c r="A710" s="16" t="s">
        <v>733</v>
      </c>
      <c r="B710" s="14">
        <v>36900</v>
      </c>
      <c r="C710" s="31">
        <f>YEAR(Table1[[#This Row],[Tanggal Lahir]])</f>
        <v>2001</v>
      </c>
      <c r="D710" s="15">
        <f t="shared" si="44"/>
        <v>21.713888888888889</v>
      </c>
      <c r="E710" s="12" t="s">
        <v>7</v>
      </c>
      <c r="F710" s="14">
        <v>41231</v>
      </c>
      <c r="G710" s="13">
        <f t="shared" si="45"/>
        <v>2012</v>
      </c>
      <c r="H710" s="30">
        <f t="shared" si="46"/>
        <v>13000000</v>
      </c>
      <c r="I710" s="39">
        <v>5</v>
      </c>
      <c r="J710">
        <f t="shared" si="47"/>
        <v>2</v>
      </c>
    </row>
    <row r="711" spans="1:10" x14ac:dyDescent="0.25">
      <c r="A711" s="16" t="s">
        <v>734</v>
      </c>
      <c r="B711" s="14">
        <v>36359</v>
      </c>
      <c r="C711" s="31">
        <f>YEAR(Table1[[#This Row],[Tanggal Lahir]])</f>
        <v>1999</v>
      </c>
      <c r="D711" s="15">
        <f t="shared" si="44"/>
        <v>23.18888888888889</v>
      </c>
      <c r="E711" s="12" t="s">
        <v>10</v>
      </c>
      <c r="F711" s="14">
        <v>43295</v>
      </c>
      <c r="G711" s="13">
        <f t="shared" si="45"/>
        <v>2018</v>
      </c>
      <c r="H711" s="30">
        <f t="shared" si="46"/>
        <v>9000000</v>
      </c>
      <c r="I711" s="39">
        <v>6</v>
      </c>
      <c r="J711">
        <f t="shared" si="47"/>
        <v>2</v>
      </c>
    </row>
    <row r="712" spans="1:10" x14ac:dyDescent="0.25">
      <c r="A712" s="16" t="s">
        <v>735</v>
      </c>
      <c r="B712" s="14">
        <v>34657</v>
      </c>
      <c r="C712" s="31">
        <f>YEAR(Table1[[#This Row],[Tanggal Lahir]])</f>
        <v>1994</v>
      </c>
      <c r="D712" s="15">
        <f t="shared" si="44"/>
        <v>27.852777777777778</v>
      </c>
      <c r="E712" s="12" t="s">
        <v>10</v>
      </c>
      <c r="F712" s="14">
        <v>41828</v>
      </c>
      <c r="G712" s="13">
        <f t="shared" si="45"/>
        <v>2014</v>
      </c>
      <c r="H712" s="30">
        <f t="shared" si="46"/>
        <v>9000000</v>
      </c>
      <c r="I712" s="39">
        <v>2</v>
      </c>
      <c r="J712">
        <f t="shared" si="47"/>
        <v>2</v>
      </c>
    </row>
    <row r="713" spans="1:10" x14ac:dyDescent="0.25">
      <c r="A713" s="16" t="s">
        <v>736</v>
      </c>
      <c r="B713" s="14">
        <v>37992</v>
      </c>
      <c r="C713" s="31">
        <f>YEAR(Table1[[#This Row],[Tanggal Lahir]])</f>
        <v>2004</v>
      </c>
      <c r="D713" s="15">
        <f t="shared" si="44"/>
        <v>18.722222222222221</v>
      </c>
      <c r="E713" s="12" t="s">
        <v>10</v>
      </c>
      <c r="F713" s="14">
        <v>42131</v>
      </c>
      <c r="G713" s="13">
        <f t="shared" si="45"/>
        <v>2015</v>
      </c>
      <c r="H713" s="30">
        <f t="shared" si="46"/>
        <v>9000000</v>
      </c>
      <c r="I713" s="39">
        <v>6</v>
      </c>
      <c r="J713">
        <f t="shared" si="47"/>
        <v>2</v>
      </c>
    </row>
    <row r="714" spans="1:10" x14ac:dyDescent="0.25">
      <c r="A714" s="16" t="s">
        <v>737</v>
      </c>
      <c r="B714" s="14">
        <v>35122</v>
      </c>
      <c r="C714" s="31">
        <f>YEAR(Table1[[#This Row],[Tanggal Lahir]])</f>
        <v>1996</v>
      </c>
      <c r="D714" s="15">
        <f t="shared" si="44"/>
        <v>26.580555555555556</v>
      </c>
      <c r="E714" s="12" t="s">
        <v>10</v>
      </c>
      <c r="F714" s="14">
        <v>41902</v>
      </c>
      <c r="G714" s="13">
        <f t="shared" si="45"/>
        <v>2014</v>
      </c>
      <c r="H714" s="30">
        <f t="shared" si="46"/>
        <v>9000000</v>
      </c>
      <c r="I714" s="39">
        <v>2</v>
      </c>
      <c r="J714">
        <f t="shared" si="47"/>
        <v>3</v>
      </c>
    </row>
    <row r="715" spans="1:10" x14ac:dyDescent="0.25">
      <c r="A715" s="16" t="s">
        <v>738</v>
      </c>
      <c r="B715" s="14">
        <v>34754</v>
      </c>
      <c r="C715" s="31">
        <f>YEAR(Table1[[#This Row],[Tanggal Lahir]])</f>
        <v>1995</v>
      </c>
      <c r="D715" s="15">
        <f t="shared" si="44"/>
        <v>27.588888888888889</v>
      </c>
      <c r="E715" s="12" t="s">
        <v>14</v>
      </c>
      <c r="F715" s="14">
        <v>42972</v>
      </c>
      <c r="G715" s="13">
        <f t="shared" si="45"/>
        <v>2017</v>
      </c>
      <c r="H715" s="30">
        <f t="shared" si="46"/>
        <v>9000000</v>
      </c>
      <c r="I715" s="39">
        <v>5</v>
      </c>
      <c r="J715">
        <f t="shared" si="47"/>
        <v>2</v>
      </c>
    </row>
    <row r="716" spans="1:10" x14ac:dyDescent="0.25">
      <c r="A716" s="16" t="s">
        <v>739</v>
      </c>
      <c r="B716" s="14">
        <v>35714</v>
      </c>
      <c r="C716" s="31">
        <f>YEAR(Table1[[#This Row],[Tanggal Lahir]])</f>
        <v>1997</v>
      </c>
      <c r="D716" s="15">
        <f t="shared" si="44"/>
        <v>24.958333333333332</v>
      </c>
      <c r="E716" s="12" t="s">
        <v>14</v>
      </c>
      <c r="F716" s="14">
        <v>43643</v>
      </c>
      <c r="G716" s="13">
        <f t="shared" si="45"/>
        <v>2019</v>
      </c>
      <c r="H716" s="30">
        <f t="shared" si="46"/>
        <v>9000000</v>
      </c>
      <c r="I716" s="39">
        <v>5</v>
      </c>
      <c r="J716">
        <f t="shared" si="47"/>
        <v>3</v>
      </c>
    </row>
    <row r="717" spans="1:10" x14ac:dyDescent="0.25">
      <c r="A717" s="16" t="s">
        <v>740</v>
      </c>
      <c r="B717" s="14">
        <v>37749</v>
      </c>
      <c r="C717" s="31">
        <f>YEAR(Table1[[#This Row],[Tanggal Lahir]])</f>
        <v>2003</v>
      </c>
      <c r="D717" s="15">
        <f t="shared" si="44"/>
        <v>19.383333333333333</v>
      </c>
      <c r="E717" s="12" t="s">
        <v>10</v>
      </c>
      <c r="F717" s="14">
        <v>42226</v>
      </c>
      <c r="G717" s="13">
        <f t="shared" si="45"/>
        <v>2015</v>
      </c>
      <c r="H717" s="30">
        <f t="shared" si="46"/>
        <v>9000000</v>
      </c>
      <c r="I717" s="39">
        <v>5</v>
      </c>
      <c r="J717">
        <f t="shared" si="47"/>
        <v>2</v>
      </c>
    </row>
    <row r="718" spans="1:10" x14ac:dyDescent="0.25">
      <c r="A718" s="16" t="s">
        <v>741</v>
      </c>
      <c r="B718" s="14">
        <v>35150</v>
      </c>
      <c r="C718" s="31">
        <f>YEAR(Table1[[#This Row],[Tanggal Lahir]])</f>
        <v>1996</v>
      </c>
      <c r="D718" s="15">
        <f t="shared" si="44"/>
        <v>26.5</v>
      </c>
      <c r="E718" s="12" t="s">
        <v>7</v>
      </c>
      <c r="F718" s="14">
        <v>44206</v>
      </c>
      <c r="G718" s="13">
        <f t="shared" si="45"/>
        <v>2021</v>
      </c>
      <c r="H718" s="30">
        <f t="shared" si="46"/>
        <v>6800000</v>
      </c>
      <c r="I718" s="39">
        <v>2</v>
      </c>
      <c r="J718">
        <f t="shared" si="47"/>
        <v>2</v>
      </c>
    </row>
    <row r="719" spans="1:10" x14ac:dyDescent="0.25">
      <c r="A719" s="16" t="s">
        <v>742</v>
      </c>
      <c r="B719" s="14">
        <v>35401</v>
      </c>
      <c r="C719" s="31">
        <f>YEAR(Table1[[#This Row],[Tanggal Lahir]])</f>
        <v>1996</v>
      </c>
      <c r="D719" s="15">
        <f t="shared" si="44"/>
        <v>25.816666666666666</v>
      </c>
      <c r="E719" s="12" t="s">
        <v>7</v>
      </c>
      <c r="F719" s="14">
        <v>39488</v>
      </c>
      <c r="G719" s="13">
        <f t="shared" si="45"/>
        <v>2008</v>
      </c>
      <c r="H719" s="30">
        <f t="shared" si="46"/>
        <v>18000000</v>
      </c>
      <c r="I719" s="39">
        <v>6</v>
      </c>
      <c r="J719">
        <f t="shared" si="47"/>
        <v>3</v>
      </c>
    </row>
    <row r="720" spans="1:10" x14ac:dyDescent="0.25">
      <c r="A720" s="16" t="s">
        <v>743</v>
      </c>
      <c r="B720" s="14">
        <v>36075</v>
      </c>
      <c r="C720" s="31">
        <f>YEAR(Table1[[#This Row],[Tanggal Lahir]])</f>
        <v>1998</v>
      </c>
      <c r="D720" s="15">
        <f t="shared" si="44"/>
        <v>23.969444444444445</v>
      </c>
      <c r="E720" s="12" t="s">
        <v>10</v>
      </c>
      <c r="F720" s="14">
        <v>39874</v>
      </c>
      <c r="G720" s="13">
        <f t="shared" si="45"/>
        <v>2009</v>
      </c>
      <c r="H720" s="30">
        <f t="shared" si="46"/>
        <v>13000000</v>
      </c>
      <c r="I720" s="39">
        <v>6</v>
      </c>
      <c r="J720">
        <f t="shared" si="47"/>
        <v>2</v>
      </c>
    </row>
    <row r="721" spans="1:10" x14ac:dyDescent="0.25">
      <c r="A721" s="16" t="s">
        <v>744</v>
      </c>
      <c r="B721" s="14">
        <v>35729</v>
      </c>
      <c r="C721" s="31">
        <f>YEAR(Table1[[#This Row],[Tanggal Lahir]])</f>
        <v>1997</v>
      </c>
      <c r="D721" s="15">
        <f t="shared" si="44"/>
        <v>24.916666666666668</v>
      </c>
      <c r="E721" s="12" t="s">
        <v>7</v>
      </c>
      <c r="F721" s="14">
        <v>40441</v>
      </c>
      <c r="G721" s="13">
        <f t="shared" si="45"/>
        <v>2010</v>
      </c>
      <c r="H721" s="30">
        <f t="shared" si="46"/>
        <v>13000000</v>
      </c>
      <c r="I721" s="39">
        <v>3</v>
      </c>
      <c r="J721">
        <f t="shared" si="47"/>
        <v>2</v>
      </c>
    </row>
    <row r="722" spans="1:10" x14ac:dyDescent="0.25">
      <c r="A722" s="16" t="s">
        <v>745</v>
      </c>
      <c r="B722" s="14">
        <v>37315</v>
      </c>
      <c r="C722" s="31">
        <f>YEAR(Table1[[#This Row],[Tanggal Lahir]])</f>
        <v>2002</v>
      </c>
      <c r="D722" s="15">
        <f t="shared" si="44"/>
        <v>20.572222222222223</v>
      </c>
      <c r="E722" s="12" t="s">
        <v>10</v>
      </c>
      <c r="F722" s="14">
        <v>41630</v>
      </c>
      <c r="G722" s="13">
        <f t="shared" si="45"/>
        <v>2013</v>
      </c>
      <c r="H722" s="30">
        <f t="shared" si="46"/>
        <v>13000000</v>
      </c>
      <c r="I722" s="39">
        <v>5</v>
      </c>
      <c r="J722">
        <f t="shared" si="47"/>
        <v>2</v>
      </c>
    </row>
    <row r="723" spans="1:10" x14ac:dyDescent="0.25">
      <c r="A723" s="16" t="s">
        <v>746</v>
      </c>
      <c r="B723" s="14">
        <v>35948</v>
      </c>
      <c r="C723" s="31">
        <f>YEAR(Table1[[#This Row],[Tanggal Lahir]])</f>
        <v>1998</v>
      </c>
      <c r="D723" s="15">
        <f t="shared" si="44"/>
        <v>24.316666666666666</v>
      </c>
      <c r="E723" s="12" t="s">
        <v>7</v>
      </c>
      <c r="F723" s="14">
        <v>40173</v>
      </c>
      <c r="G723" s="13">
        <f t="shared" si="45"/>
        <v>2009</v>
      </c>
      <c r="H723" s="30">
        <f t="shared" si="46"/>
        <v>13000000</v>
      </c>
      <c r="I723" s="39">
        <v>3</v>
      </c>
      <c r="J723">
        <f t="shared" si="47"/>
        <v>2</v>
      </c>
    </row>
    <row r="724" spans="1:10" x14ac:dyDescent="0.25">
      <c r="A724" s="16" t="s">
        <v>747</v>
      </c>
      <c r="B724" s="14">
        <v>35651</v>
      </c>
      <c r="C724" s="31">
        <f>YEAR(Table1[[#This Row],[Tanggal Lahir]])</f>
        <v>1997</v>
      </c>
      <c r="D724" s="15">
        <f t="shared" si="44"/>
        <v>25.130555555555556</v>
      </c>
      <c r="E724" s="12" t="s">
        <v>10</v>
      </c>
      <c r="F724" s="14">
        <v>44077</v>
      </c>
      <c r="G724" s="13">
        <f t="shared" si="45"/>
        <v>2020</v>
      </c>
      <c r="H724" s="30">
        <f t="shared" si="46"/>
        <v>6800000</v>
      </c>
      <c r="I724" s="39">
        <v>6</v>
      </c>
      <c r="J724">
        <f t="shared" si="47"/>
        <v>2</v>
      </c>
    </row>
    <row r="725" spans="1:10" x14ac:dyDescent="0.25">
      <c r="A725" s="16" t="s">
        <v>748</v>
      </c>
      <c r="B725" s="14">
        <v>37203</v>
      </c>
      <c r="C725" s="31">
        <f>YEAR(Table1[[#This Row],[Tanggal Lahir]])</f>
        <v>2001</v>
      </c>
      <c r="D725" s="15">
        <f t="shared" si="44"/>
        <v>20.883333333333333</v>
      </c>
      <c r="E725" s="12" t="s">
        <v>7</v>
      </c>
      <c r="F725" s="14">
        <v>38610</v>
      </c>
      <c r="G725" s="13">
        <f t="shared" si="45"/>
        <v>2005</v>
      </c>
      <c r="H725" s="30">
        <f t="shared" si="46"/>
        <v>18000000</v>
      </c>
      <c r="I725" s="39">
        <v>1</v>
      </c>
      <c r="J725">
        <f t="shared" si="47"/>
        <v>2</v>
      </c>
    </row>
    <row r="726" spans="1:10" x14ac:dyDescent="0.25">
      <c r="A726" s="16" t="s">
        <v>749</v>
      </c>
      <c r="B726" s="14">
        <v>35937</v>
      </c>
      <c r="C726" s="31">
        <f>YEAR(Table1[[#This Row],[Tanggal Lahir]])</f>
        <v>1998</v>
      </c>
      <c r="D726" s="15">
        <f t="shared" si="44"/>
        <v>24.344444444444445</v>
      </c>
      <c r="E726" s="12" t="s">
        <v>10</v>
      </c>
      <c r="F726" s="14">
        <v>39739</v>
      </c>
      <c r="G726" s="13">
        <f t="shared" si="45"/>
        <v>2008</v>
      </c>
      <c r="H726" s="30">
        <f t="shared" si="46"/>
        <v>18000000</v>
      </c>
      <c r="I726" s="39">
        <v>3</v>
      </c>
      <c r="J726">
        <f t="shared" si="47"/>
        <v>2</v>
      </c>
    </row>
    <row r="727" spans="1:10" x14ac:dyDescent="0.25">
      <c r="A727" s="16" t="s">
        <v>750</v>
      </c>
      <c r="B727" s="14">
        <v>34891</v>
      </c>
      <c r="C727" s="31">
        <f>YEAR(Table1[[#This Row],[Tanggal Lahir]])</f>
        <v>1995</v>
      </c>
      <c r="D727" s="15">
        <f t="shared" si="44"/>
        <v>27.208333333333332</v>
      </c>
      <c r="E727" s="12" t="s">
        <v>10</v>
      </c>
      <c r="F727" s="14">
        <v>39411</v>
      </c>
      <c r="G727" s="13">
        <f t="shared" si="45"/>
        <v>2007</v>
      </c>
      <c r="H727" s="30">
        <f t="shared" si="46"/>
        <v>18000000</v>
      </c>
      <c r="I727" s="39">
        <v>3</v>
      </c>
      <c r="J727">
        <f t="shared" si="47"/>
        <v>2</v>
      </c>
    </row>
    <row r="728" spans="1:10" x14ac:dyDescent="0.25">
      <c r="A728" s="16" t="s">
        <v>751</v>
      </c>
      <c r="B728" s="14">
        <v>37600</v>
      </c>
      <c r="C728" s="31">
        <f>YEAR(Table1[[#This Row],[Tanggal Lahir]])</f>
        <v>2002</v>
      </c>
      <c r="D728" s="15">
        <f t="shared" si="44"/>
        <v>19.794444444444444</v>
      </c>
      <c r="E728" s="12" t="s">
        <v>14</v>
      </c>
      <c r="F728" s="14">
        <v>39798</v>
      </c>
      <c r="G728" s="13">
        <f t="shared" si="45"/>
        <v>2008</v>
      </c>
      <c r="H728" s="30">
        <f t="shared" si="46"/>
        <v>18000000</v>
      </c>
      <c r="I728" s="39">
        <v>2</v>
      </c>
      <c r="J728">
        <f t="shared" si="47"/>
        <v>2</v>
      </c>
    </row>
    <row r="729" spans="1:10" x14ac:dyDescent="0.25">
      <c r="A729" s="16" t="s">
        <v>752</v>
      </c>
      <c r="B729" s="14">
        <v>36525</v>
      </c>
      <c r="C729" s="31">
        <f>YEAR(Table1[[#This Row],[Tanggal Lahir]])</f>
        <v>1999</v>
      </c>
      <c r="D729" s="15">
        <f t="shared" si="44"/>
        <v>22.738888888888887</v>
      </c>
      <c r="E729" s="12" t="s">
        <v>10</v>
      </c>
      <c r="F729" s="14">
        <v>42260</v>
      </c>
      <c r="G729" s="13">
        <f t="shared" si="45"/>
        <v>2015</v>
      </c>
      <c r="H729" s="30">
        <f t="shared" si="46"/>
        <v>9000000</v>
      </c>
      <c r="I729" s="39">
        <v>3</v>
      </c>
      <c r="J729">
        <f t="shared" si="47"/>
        <v>2</v>
      </c>
    </row>
    <row r="730" spans="1:10" x14ac:dyDescent="0.25">
      <c r="A730" s="16" t="s">
        <v>753</v>
      </c>
      <c r="B730" s="14">
        <v>35124</v>
      </c>
      <c r="C730" s="31">
        <f>YEAR(Table1[[#This Row],[Tanggal Lahir]])</f>
        <v>1996</v>
      </c>
      <c r="D730" s="15">
        <f t="shared" si="44"/>
        <v>26.572222222222223</v>
      </c>
      <c r="E730" s="12" t="s">
        <v>7</v>
      </c>
      <c r="F730" s="14">
        <v>44308</v>
      </c>
      <c r="G730" s="13">
        <f t="shared" si="45"/>
        <v>2021</v>
      </c>
      <c r="H730" s="30">
        <f t="shared" si="46"/>
        <v>6800000</v>
      </c>
      <c r="I730" s="39">
        <v>1</v>
      </c>
      <c r="J730">
        <f t="shared" si="47"/>
        <v>2</v>
      </c>
    </row>
    <row r="731" spans="1:10" x14ac:dyDescent="0.25">
      <c r="A731" s="16" t="s">
        <v>754</v>
      </c>
      <c r="B731" s="14">
        <v>37570</v>
      </c>
      <c r="C731" s="31">
        <f>YEAR(Table1[[#This Row],[Tanggal Lahir]])</f>
        <v>2002</v>
      </c>
      <c r="D731" s="15">
        <f t="shared" si="44"/>
        <v>19.877777777777776</v>
      </c>
      <c r="E731" s="12" t="s">
        <v>10</v>
      </c>
      <c r="F731" s="14">
        <v>43451</v>
      </c>
      <c r="G731" s="13">
        <f t="shared" si="45"/>
        <v>2018</v>
      </c>
      <c r="H731" s="30">
        <f t="shared" si="46"/>
        <v>9000000</v>
      </c>
      <c r="I731" s="39">
        <v>5</v>
      </c>
      <c r="J731">
        <f t="shared" si="47"/>
        <v>3</v>
      </c>
    </row>
    <row r="732" spans="1:10" x14ac:dyDescent="0.25">
      <c r="A732" s="16" t="s">
        <v>755</v>
      </c>
      <c r="B732" s="14">
        <v>34716</v>
      </c>
      <c r="C732" s="31">
        <f>YEAR(Table1[[#This Row],[Tanggal Lahir]])</f>
        <v>1995</v>
      </c>
      <c r="D732" s="15">
        <f t="shared" si="44"/>
        <v>27.691666666666666</v>
      </c>
      <c r="E732" s="12" t="s">
        <v>7</v>
      </c>
      <c r="F732" s="14">
        <v>44048</v>
      </c>
      <c r="G732" s="13">
        <f t="shared" si="45"/>
        <v>2020</v>
      </c>
      <c r="H732" s="30">
        <f t="shared" si="46"/>
        <v>6800000</v>
      </c>
      <c r="I732" s="39">
        <v>1</v>
      </c>
      <c r="J732">
        <f t="shared" si="47"/>
        <v>3</v>
      </c>
    </row>
    <row r="733" spans="1:10" x14ac:dyDescent="0.25">
      <c r="A733" s="16" t="s">
        <v>756</v>
      </c>
      <c r="B733" s="14">
        <v>36495</v>
      </c>
      <c r="C733" s="31">
        <f>YEAR(Table1[[#This Row],[Tanggal Lahir]])</f>
        <v>1999</v>
      </c>
      <c r="D733" s="15">
        <f t="shared" si="44"/>
        <v>22.819444444444443</v>
      </c>
      <c r="E733" s="12" t="s">
        <v>10</v>
      </c>
      <c r="F733" s="14">
        <v>40932</v>
      </c>
      <c r="G733" s="13">
        <f t="shared" si="45"/>
        <v>2012</v>
      </c>
      <c r="H733" s="30">
        <f t="shared" si="46"/>
        <v>13000000</v>
      </c>
      <c r="I733" s="39">
        <v>4</v>
      </c>
      <c r="J733">
        <f t="shared" si="47"/>
        <v>2</v>
      </c>
    </row>
    <row r="734" spans="1:10" x14ac:dyDescent="0.25">
      <c r="A734" s="16" t="s">
        <v>757</v>
      </c>
      <c r="B734" s="14">
        <v>36218</v>
      </c>
      <c r="C734" s="31">
        <f>YEAR(Table1[[#This Row],[Tanggal Lahir]])</f>
        <v>1999</v>
      </c>
      <c r="D734" s="15">
        <f t="shared" si="44"/>
        <v>23.580555555555556</v>
      </c>
      <c r="E734" s="12" t="s">
        <v>10</v>
      </c>
      <c r="F734" s="14">
        <v>43840</v>
      </c>
      <c r="G734" s="13">
        <f t="shared" si="45"/>
        <v>2020</v>
      </c>
      <c r="H734" s="30">
        <f t="shared" si="46"/>
        <v>6800000</v>
      </c>
      <c r="I734" s="39">
        <v>6</v>
      </c>
      <c r="J734">
        <f t="shared" si="47"/>
        <v>2</v>
      </c>
    </row>
    <row r="735" spans="1:10" x14ac:dyDescent="0.25">
      <c r="A735" s="16" t="s">
        <v>758</v>
      </c>
      <c r="B735" s="14">
        <v>37699</v>
      </c>
      <c r="C735" s="31">
        <f>YEAR(Table1[[#This Row],[Tanggal Lahir]])</f>
        <v>2003</v>
      </c>
      <c r="D735" s="15">
        <f t="shared" si="44"/>
        <v>19.519444444444446</v>
      </c>
      <c r="E735" s="12" t="s">
        <v>14</v>
      </c>
      <c r="F735" s="14">
        <v>43924</v>
      </c>
      <c r="G735" s="13">
        <f t="shared" si="45"/>
        <v>2020</v>
      </c>
      <c r="H735" s="30">
        <f t="shared" si="46"/>
        <v>6800000</v>
      </c>
      <c r="I735" s="39">
        <v>1</v>
      </c>
      <c r="J735">
        <f t="shared" si="47"/>
        <v>2</v>
      </c>
    </row>
    <row r="736" spans="1:10" x14ac:dyDescent="0.25">
      <c r="A736" s="16" t="s">
        <v>759</v>
      </c>
      <c r="B736" s="14">
        <v>37742</v>
      </c>
      <c r="C736" s="31">
        <f>YEAR(Table1[[#This Row],[Tanggal Lahir]])</f>
        <v>2003</v>
      </c>
      <c r="D736" s="15">
        <f t="shared" si="44"/>
        <v>19.402777777777779</v>
      </c>
      <c r="E736" s="12" t="s">
        <v>10</v>
      </c>
      <c r="F736" s="14">
        <v>42056</v>
      </c>
      <c r="G736" s="13">
        <f t="shared" si="45"/>
        <v>2015</v>
      </c>
      <c r="H736" s="30">
        <f t="shared" si="46"/>
        <v>9000000</v>
      </c>
      <c r="I736" s="39">
        <v>2</v>
      </c>
      <c r="J736">
        <f t="shared" si="47"/>
        <v>2</v>
      </c>
    </row>
    <row r="737" spans="1:10" x14ac:dyDescent="0.25">
      <c r="A737" s="16" t="s">
        <v>760</v>
      </c>
      <c r="B737" s="14">
        <v>35784</v>
      </c>
      <c r="C737" s="31">
        <f>YEAR(Table1[[#This Row],[Tanggal Lahir]])</f>
        <v>1997</v>
      </c>
      <c r="D737" s="15">
        <f t="shared" si="44"/>
        <v>24.766666666666666</v>
      </c>
      <c r="E737" s="12" t="s">
        <v>10</v>
      </c>
      <c r="F737" s="14">
        <v>39930</v>
      </c>
      <c r="G737" s="13">
        <f t="shared" si="45"/>
        <v>2009</v>
      </c>
      <c r="H737" s="30">
        <f t="shared" si="46"/>
        <v>13000000</v>
      </c>
      <c r="I737" s="39">
        <v>3</v>
      </c>
      <c r="J737">
        <f t="shared" si="47"/>
        <v>2</v>
      </c>
    </row>
    <row r="738" spans="1:10" x14ac:dyDescent="0.25">
      <c r="A738" s="16" t="s">
        <v>761</v>
      </c>
      <c r="B738" s="14">
        <v>35059</v>
      </c>
      <c r="C738" s="31">
        <f>YEAR(Table1[[#This Row],[Tanggal Lahir]])</f>
        <v>1995</v>
      </c>
      <c r="D738" s="15">
        <f t="shared" si="44"/>
        <v>26.75</v>
      </c>
      <c r="E738" s="12" t="s">
        <v>7</v>
      </c>
      <c r="F738" s="14">
        <v>44347</v>
      </c>
      <c r="G738" s="13">
        <f t="shared" si="45"/>
        <v>2021</v>
      </c>
      <c r="H738" s="30">
        <f t="shared" si="46"/>
        <v>6800000</v>
      </c>
      <c r="I738" s="39">
        <v>6</v>
      </c>
      <c r="J738">
        <f t="shared" si="47"/>
        <v>2</v>
      </c>
    </row>
    <row r="739" spans="1:10" x14ac:dyDescent="0.25">
      <c r="A739" s="16" t="s">
        <v>762</v>
      </c>
      <c r="B739" s="14">
        <v>34865</v>
      </c>
      <c r="C739" s="31">
        <f>YEAR(Table1[[#This Row],[Tanggal Lahir]])</f>
        <v>1995</v>
      </c>
      <c r="D739" s="15">
        <f t="shared" si="44"/>
        <v>27.280555555555555</v>
      </c>
      <c r="E739" s="12" t="s">
        <v>10</v>
      </c>
      <c r="F739" s="14">
        <v>44393</v>
      </c>
      <c r="G739" s="13">
        <f t="shared" si="45"/>
        <v>2021</v>
      </c>
      <c r="H739" s="30">
        <f t="shared" si="46"/>
        <v>6800000</v>
      </c>
      <c r="I739" s="39">
        <v>5</v>
      </c>
      <c r="J739">
        <f t="shared" si="47"/>
        <v>2</v>
      </c>
    </row>
    <row r="740" spans="1:10" x14ac:dyDescent="0.25">
      <c r="A740" s="16" t="s">
        <v>763</v>
      </c>
      <c r="B740" s="14">
        <v>37550</v>
      </c>
      <c r="C740" s="31">
        <f>YEAR(Table1[[#This Row],[Tanggal Lahir]])</f>
        <v>2002</v>
      </c>
      <c r="D740" s="15">
        <f t="shared" si="44"/>
        <v>19.930555555555557</v>
      </c>
      <c r="E740" s="12" t="s">
        <v>14</v>
      </c>
      <c r="F740" s="14">
        <v>43486</v>
      </c>
      <c r="G740" s="13">
        <f t="shared" si="45"/>
        <v>2019</v>
      </c>
      <c r="H740" s="30">
        <f t="shared" si="46"/>
        <v>9000000</v>
      </c>
      <c r="I740" s="39">
        <v>3</v>
      </c>
      <c r="J740">
        <f t="shared" si="47"/>
        <v>3</v>
      </c>
    </row>
    <row r="741" spans="1:10" x14ac:dyDescent="0.25">
      <c r="A741" s="16" t="s">
        <v>764</v>
      </c>
      <c r="B741" s="14">
        <v>35732</v>
      </c>
      <c r="C741" s="31">
        <f>YEAR(Table1[[#This Row],[Tanggal Lahir]])</f>
        <v>1997</v>
      </c>
      <c r="D741" s="15">
        <f t="shared" si="44"/>
        <v>24.908333333333335</v>
      </c>
      <c r="E741" s="12" t="s">
        <v>10</v>
      </c>
      <c r="F741" s="14">
        <v>38432</v>
      </c>
      <c r="G741" s="13">
        <f t="shared" si="45"/>
        <v>2005</v>
      </c>
      <c r="H741" s="30">
        <f t="shared" si="46"/>
        <v>18000000</v>
      </c>
      <c r="I741" s="39">
        <v>3</v>
      </c>
      <c r="J741">
        <f t="shared" si="47"/>
        <v>2</v>
      </c>
    </row>
    <row r="742" spans="1:10" x14ac:dyDescent="0.25">
      <c r="A742" s="16" t="s">
        <v>765</v>
      </c>
      <c r="B742" s="14">
        <v>35892</v>
      </c>
      <c r="C742" s="31">
        <f>YEAR(Table1[[#This Row],[Tanggal Lahir]])</f>
        <v>1998</v>
      </c>
      <c r="D742" s="15">
        <f t="shared" si="44"/>
        <v>24.469444444444445</v>
      </c>
      <c r="E742" s="12" t="s">
        <v>10</v>
      </c>
      <c r="F742" s="14">
        <v>39534</v>
      </c>
      <c r="G742" s="13">
        <f t="shared" si="45"/>
        <v>2008</v>
      </c>
      <c r="H742" s="30">
        <f t="shared" si="46"/>
        <v>18000000</v>
      </c>
      <c r="I742" s="39">
        <v>5</v>
      </c>
      <c r="J742">
        <f t="shared" si="47"/>
        <v>2</v>
      </c>
    </row>
    <row r="743" spans="1:10" x14ac:dyDescent="0.25">
      <c r="A743" s="16" t="s">
        <v>766</v>
      </c>
      <c r="B743" s="14">
        <v>34618</v>
      </c>
      <c r="C743" s="31">
        <f>YEAR(Table1[[#This Row],[Tanggal Lahir]])</f>
        <v>1994</v>
      </c>
      <c r="D743" s="15">
        <f t="shared" si="44"/>
        <v>27.958333333333332</v>
      </c>
      <c r="E743" s="12" t="s">
        <v>10</v>
      </c>
      <c r="F743" s="14">
        <v>40842</v>
      </c>
      <c r="G743" s="13">
        <f t="shared" si="45"/>
        <v>2011</v>
      </c>
      <c r="H743" s="30">
        <f t="shared" si="46"/>
        <v>13000000</v>
      </c>
      <c r="I743" s="39">
        <v>2</v>
      </c>
      <c r="J743">
        <f t="shared" si="47"/>
        <v>2</v>
      </c>
    </row>
    <row r="744" spans="1:10" x14ac:dyDescent="0.25">
      <c r="A744" s="16" t="s">
        <v>767</v>
      </c>
      <c r="B744" s="14">
        <v>37200</v>
      </c>
      <c r="C744" s="31">
        <f>YEAR(Table1[[#This Row],[Tanggal Lahir]])</f>
        <v>2001</v>
      </c>
      <c r="D744" s="15">
        <f t="shared" si="44"/>
        <v>20.891666666666666</v>
      </c>
      <c r="E744" s="12" t="s">
        <v>10</v>
      </c>
      <c r="F744" s="14">
        <v>42716</v>
      </c>
      <c r="G744" s="13">
        <f t="shared" si="45"/>
        <v>2016</v>
      </c>
      <c r="H744" s="30">
        <f t="shared" si="46"/>
        <v>9000000</v>
      </c>
      <c r="I744" s="39">
        <v>4</v>
      </c>
      <c r="J744">
        <f t="shared" si="47"/>
        <v>2</v>
      </c>
    </row>
    <row r="745" spans="1:10" x14ac:dyDescent="0.25">
      <c r="A745" s="16" t="s">
        <v>768</v>
      </c>
      <c r="B745" s="14">
        <v>37969</v>
      </c>
      <c r="C745" s="31">
        <f>YEAR(Table1[[#This Row],[Tanggal Lahir]])</f>
        <v>2003</v>
      </c>
      <c r="D745" s="15">
        <f t="shared" si="44"/>
        <v>18.783333333333335</v>
      </c>
      <c r="E745" s="12" t="s">
        <v>10</v>
      </c>
      <c r="F745" s="14">
        <v>39324</v>
      </c>
      <c r="G745" s="13">
        <f t="shared" si="45"/>
        <v>2007</v>
      </c>
      <c r="H745" s="30">
        <f t="shared" si="46"/>
        <v>18000000</v>
      </c>
      <c r="I745" s="39">
        <v>2</v>
      </c>
      <c r="J745">
        <f t="shared" si="47"/>
        <v>2</v>
      </c>
    </row>
    <row r="746" spans="1:10" x14ac:dyDescent="0.25">
      <c r="A746" s="16" t="s">
        <v>769</v>
      </c>
      <c r="B746" s="14">
        <v>36073</v>
      </c>
      <c r="C746" s="31">
        <f>YEAR(Table1[[#This Row],[Tanggal Lahir]])</f>
        <v>1998</v>
      </c>
      <c r="D746" s="15">
        <f t="shared" si="44"/>
        <v>23.975000000000001</v>
      </c>
      <c r="E746" s="12" t="s">
        <v>10</v>
      </c>
      <c r="F746" s="14">
        <v>44629</v>
      </c>
      <c r="G746" s="13">
        <f t="shared" si="45"/>
        <v>2022</v>
      </c>
      <c r="H746" s="30">
        <f t="shared" si="46"/>
        <v>6800000</v>
      </c>
      <c r="I746" s="39">
        <v>1</v>
      </c>
      <c r="J746">
        <f t="shared" si="47"/>
        <v>2</v>
      </c>
    </row>
    <row r="747" spans="1:10" x14ac:dyDescent="0.25">
      <c r="A747" s="16" t="s">
        <v>770</v>
      </c>
      <c r="B747" s="14">
        <v>35386</v>
      </c>
      <c r="C747" s="31">
        <f>YEAR(Table1[[#This Row],[Tanggal Lahir]])</f>
        <v>1996</v>
      </c>
      <c r="D747" s="15">
        <f t="shared" si="44"/>
        <v>25.858333333333334</v>
      </c>
      <c r="E747" s="12" t="s">
        <v>10</v>
      </c>
      <c r="F747" s="14">
        <v>40119</v>
      </c>
      <c r="G747" s="13">
        <f t="shared" si="45"/>
        <v>2009</v>
      </c>
      <c r="H747" s="30">
        <f t="shared" si="46"/>
        <v>13000000</v>
      </c>
      <c r="I747" s="39">
        <v>3</v>
      </c>
      <c r="J747">
        <f t="shared" si="47"/>
        <v>2</v>
      </c>
    </row>
    <row r="748" spans="1:10" x14ac:dyDescent="0.25">
      <c r="A748" s="16" t="s">
        <v>771</v>
      </c>
      <c r="B748" s="14">
        <v>36795</v>
      </c>
      <c r="C748" s="31">
        <f>YEAR(Table1[[#This Row],[Tanggal Lahir]])</f>
        <v>2000</v>
      </c>
      <c r="D748" s="15">
        <f t="shared" si="44"/>
        <v>22</v>
      </c>
      <c r="E748" s="12" t="s">
        <v>7</v>
      </c>
      <c r="F748" s="14">
        <v>44740</v>
      </c>
      <c r="G748" s="13">
        <f t="shared" si="45"/>
        <v>2022</v>
      </c>
      <c r="H748" s="30">
        <f t="shared" si="46"/>
        <v>6800000</v>
      </c>
      <c r="I748" s="39">
        <v>3</v>
      </c>
      <c r="J748">
        <f t="shared" si="47"/>
        <v>3</v>
      </c>
    </row>
    <row r="749" spans="1:10" x14ac:dyDescent="0.25">
      <c r="A749" s="16" t="s">
        <v>772</v>
      </c>
      <c r="B749" s="14">
        <v>36985</v>
      </c>
      <c r="C749" s="31">
        <f>YEAR(Table1[[#This Row],[Tanggal Lahir]])</f>
        <v>2001</v>
      </c>
      <c r="D749" s="15">
        <f t="shared" si="44"/>
        <v>21.477777777777778</v>
      </c>
      <c r="E749" s="12" t="s">
        <v>10</v>
      </c>
      <c r="F749" s="14">
        <v>44601</v>
      </c>
      <c r="G749" s="13">
        <f t="shared" si="45"/>
        <v>2022</v>
      </c>
      <c r="H749" s="30">
        <f t="shared" si="46"/>
        <v>6800000</v>
      </c>
      <c r="I749" s="39">
        <v>3</v>
      </c>
      <c r="J749">
        <f t="shared" si="47"/>
        <v>2</v>
      </c>
    </row>
    <row r="750" spans="1:10" x14ac:dyDescent="0.25">
      <c r="A750" s="16" t="s">
        <v>773</v>
      </c>
      <c r="B750" s="14">
        <v>35479</v>
      </c>
      <c r="C750" s="31">
        <f>YEAR(Table1[[#This Row],[Tanggal Lahir]])</f>
        <v>1997</v>
      </c>
      <c r="D750" s="15">
        <f t="shared" si="44"/>
        <v>25.605555555555554</v>
      </c>
      <c r="E750" s="12" t="s">
        <v>14</v>
      </c>
      <c r="F750" s="14">
        <v>38311</v>
      </c>
      <c r="G750" s="13">
        <f t="shared" si="45"/>
        <v>2004</v>
      </c>
      <c r="H750" s="30">
        <f t="shared" si="46"/>
        <v>18000000</v>
      </c>
      <c r="I750" s="39">
        <v>6</v>
      </c>
      <c r="J750">
        <f t="shared" si="47"/>
        <v>2</v>
      </c>
    </row>
    <row r="751" spans="1:10" x14ac:dyDescent="0.25">
      <c r="A751" s="16" t="s">
        <v>774</v>
      </c>
      <c r="B751" s="14">
        <v>34486</v>
      </c>
      <c r="C751" s="31">
        <f>YEAR(Table1[[#This Row],[Tanggal Lahir]])</f>
        <v>1994</v>
      </c>
      <c r="D751" s="15">
        <f t="shared" si="44"/>
        <v>28.319444444444443</v>
      </c>
      <c r="E751" s="12" t="s">
        <v>10</v>
      </c>
      <c r="F751" s="14">
        <v>43326</v>
      </c>
      <c r="G751" s="13">
        <f t="shared" si="45"/>
        <v>2018</v>
      </c>
      <c r="H751" s="30">
        <f t="shared" si="46"/>
        <v>9000000</v>
      </c>
      <c r="I751" s="39">
        <v>6</v>
      </c>
      <c r="J751">
        <f t="shared" si="47"/>
        <v>3</v>
      </c>
    </row>
    <row r="752" spans="1:10" x14ac:dyDescent="0.25">
      <c r="A752" s="16" t="s">
        <v>775</v>
      </c>
      <c r="B752" s="14">
        <v>36727</v>
      </c>
      <c r="C752" s="31">
        <f>YEAR(Table1[[#This Row],[Tanggal Lahir]])</f>
        <v>2000</v>
      </c>
      <c r="D752" s="15">
        <f t="shared" si="44"/>
        <v>22.183333333333334</v>
      </c>
      <c r="E752" s="12" t="s">
        <v>7</v>
      </c>
      <c r="F752" s="14">
        <v>39833</v>
      </c>
      <c r="G752" s="13">
        <f t="shared" si="45"/>
        <v>2009</v>
      </c>
      <c r="H752" s="30">
        <f t="shared" si="46"/>
        <v>13000000</v>
      </c>
      <c r="I752" s="39">
        <v>1</v>
      </c>
      <c r="J752">
        <f t="shared" si="47"/>
        <v>2</v>
      </c>
    </row>
    <row r="753" spans="1:10" x14ac:dyDescent="0.25">
      <c r="A753" s="16" t="s">
        <v>776</v>
      </c>
      <c r="B753" s="14">
        <v>37268</v>
      </c>
      <c r="C753" s="31">
        <f>YEAR(Table1[[#This Row],[Tanggal Lahir]])</f>
        <v>2002</v>
      </c>
      <c r="D753" s="15">
        <f t="shared" si="44"/>
        <v>20.705555555555556</v>
      </c>
      <c r="E753" s="12" t="s">
        <v>10</v>
      </c>
      <c r="F753" s="14">
        <v>41313</v>
      </c>
      <c r="G753" s="13">
        <f t="shared" si="45"/>
        <v>2013</v>
      </c>
      <c r="H753" s="30">
        <f t="shared" si="46"/>
        <v>13000000</v>
      </c>
      <c r="I753" s="39">
        <v>1</v>
      </c>
      <c r="J753">
        <f t="shared" si="47"/>
        <v>2</v>
      </c>
    </row>
    <row r="754" spans="1:10" x14ac:dyDescent="0.25">
      <c r="A754" s="16" t="s">
        <v>777</v>
      </c>
      <c r="B754" s="14">
        <v>35608</v>
      </c>
      <c r="C754" s="31">
        <f>YEAR(Table1[[#This Row],[Tanggal Lahir]])</f>
        <v>1997</v>
      </c>
      <c r="D754" s="15">
        <f t="shared" si="44"/>
        <v>25.247222222222224</v>
      </c>
      <c r="E754" s="12" t="s">
        <v>10</v>
      </c>
      <c r="F754" s="14">
        <v>38776</v>
      </c>
      <c r="G754" s="13">
        <f t="shared" si="45"/>
        <v>2006</v>
      </c>
      <c r="H754" s="30">
        <f t="shared" si="46"/>
        <v>18000000</v>
      </c>
      <c r="I754" s="39">
        <v>1</v>
      </c>
      <c r="J754">
        <f t="shared" si="47"/>
        <v>2</v>
      </c>
    </row>
    <row r="755" spans="1:10" x14ac:dyDescent="0.25">
      <c r="A755" s="16" t="s">
        <v>778</v>
      </c>
      <c r="B755" s="14">
        <v>37659</v>
      </c>
      <c r="C755" s="31">
        <f>YEAR(Table1[[#This Row],[Tanggal Lahir]])</f>
        <v>2003</v>
      </c>
      <c r="D755" s="15">
        <f t="shared" si="44"/>
        <v>19.636111111111113</v>
      </c>
      <c r="E755" s="12" t="s">
        <v>14</v>
      </c>
      <c r="F755" s="14">
        <v>43934</v>
      </c>
      <c r="G755" s="13">
        <f t="shared" si="45"/>
        <v>2020</v>
      </c>
      <c r="H755" s="30">
        <f t="shared" si="46"/>
        <v>6800000</v>
      </c>
      <c r="I755" s="39">
        <v>3</v>
      </c>
      <c r="J755">
        <f t="shared" si="47"/>
        <v>2</v>
      </c>
    </row>
    <row r="756" spans="1:10" x14ac:dyDescent="0.25">
      <c r="A756" s="16" t="s">
        <v>779</v>
      </c>
      <c r="B756" s="14">
        <v>35034</v>
      </c>
      <c r="C756" s="31">
        <f>YEAR(Table1[[#This Row],[Tanggal Lahir]])</f>
        <v>1995</v>
      </c>
      <c r="D756" s="15">
        <f t="shared" si="44"/>
        <v>26.819444444444443</v>
      </c>
      <c r="E756" s="12" t="s">
        <v>7</v>
      </c>
      <c r="F756" s="14">
        <v>42709</v>
      </c>
      <c r="G756" s="13">
        <f t="shared" si="45"/>
        <v>2016</v>
      </c>
      <c r="H756" s="30">
        <f t="shared" si="46"/>
        <v>9000000</v>
      </c>
      <c r="I756" s="39">
        <v>6</v>
      </c>
      <c r="J756">
        <f t="shared" si="47"/>
        <v>2</v>
      </c>
    </row>
    <row r="757" spans="1:10" x14ac:dyDescent="0.25">
      <c r="A757" s="16" t="s">
        <v>780</v>
      </c>
      <c r="B757" s="14">
        <v>37775</v>
      </c>
      <c r="C757" s="31">
        <f>YEAR(Table1[[#This Row],[Tanggal Lahir]])</f>
        <v>2003</v>
      </c>
      <c r="D757" s="15">
        <f t="shared" si="44"/>
        <v>19.31388888888889</v>
      </c>
      <c r="E757" s="12" t="s">
        <v>7</v>
      </c>
      <c r="F757" s="14">
        <v>38423</v>
      </c>
      <c r="G757" s="13">
        <f t="shared" si="45"/>
        <v>2005</v>
      </c>
      <c r="H757" s="30">
        <f t="shared" si="46"/>
        <v>18000000</v>
      </c>
      <c r="I757" s="39">
        <v>5</v>
      </c>
      <c r="J757">
        <f t="shared" si="47"/>
        <v>2</v>
      </c>
    </row>
    <row r="758" spans="1:10" x14ac:dyDescent="0.25">
      <c r="A758" s="16" t="s">
        <v>781</v>
      </c>
      <c r="B758" s="14">
        <v>34519</v>
      </c>
      <c r="C758" s="31">
        <f>YEAR(Table1[[#This Row],[Tanggal Lahir]])</f>
        <v>1994</v>
      </c>
      <c r="D758" s="15">
        <f t="shared" si="44"/>
        <v>28.227777777777778</v>
      </c>
      <c r="E758" s="12" t="s">
        <v>10</v>
      </c>
      <c r="F758" s="14">
        <v>40572</v>
      </c>
      <c r="G758" s="13">
        <f t="shared" si="45"/>
        <v>2011</v>
      </c>
      <c r="H758" s="30">
        <f t="shared" si="46"/>
        <v>13000000</v>
      </c>
      <c r="I758" s="39">
        <v>2</v>
      </c>
      <c r="J758">
        <f t="shared" si="47"/>
        <v>3</v>
      </c>
    </row>
    <row r="759" spans="1:10" x14ac:dyDescent="0.25">
      <c r="A759" s="16" t="s">
        <v>782</v>
      </c>
      <c r="B759" s="14">
        <v>36779</v>
      </c>
      <c r="C759" s="31">
        <f>YEAR(Table1[[#This Row],[Tanggal Lahir]])</f>
        <v>2000</v>
      </c>
      <c r="D759" s="15">
        <f t="shared" si="44"/>
        <v>22.044444444444444</v>
      </c>
      <c r="E759" s="12" t="s">
        <v>14</v>
      </c>
      <c r="F759" s="14">
        <v>43320</v>
      </c>
      <c r="G759" s="13">
        <f t="shared" si="45"/>
        <v>2018</v>
      </c>
      <c r="H759" s="30">
        <f t="shared" si="46"/>
        <v>9000000</v>
      </c>
      <c r="I759" s="39">
        <v>2</v>
      </c>
      <c r="J759">
        <f t="shared" si="47"/>
        <v>2</v>
      </c>
    </row>
    <row r="760" spans="1:10" x14ac:dyDescent="0.25">
      <c r="A760" s="16" t="s">
        <v>783</v>
      </c>
      <c r="B760" s="14">
        <v>36555</v>
      </c>
      <c r="C760" s="31">
        <f>YEAR(Table1[[#This Row],[Tanggal Lahir]])</f>
        <v>2000</v>
      </c>
      <c r="D760" s="15">
        <f t="shared" si="44"/>
        <v>22.655555555555555</v>
      </c>
      <c r="E760" s="12" t="s">
        <v>10</v>
      </c>
      <c r="F760" s="14">
        <v>40424</v>
      </c>
      <c r="G760" s="13">
        <f t="shared" si="45"/>
        <v>2010</v>
      </c>
      <c r="H760" s="30">
        <f t="shared" si="46"/>
        <v>13000000</v>
      </c>
      <c r="I760" s="39">
        <v>6</v>
      </c>
      <c r="J760">
        <f t="shared" si="47"/>
        <v>2</v>
      </c>
    </row>
    <row r="761" spans="1:10" x14ac:dyDescent="0.25">
      <c r="A761" s="16" t="s">
        <v>784</v>
      </c>
      <c r="B761" s="14">
        <v>36026</v>
      </c>
      <c r="C761" s="31">
        <f>YEAR(Table1[[#This Row],[Tanggal Lahir]])</f>
        <v>1998</v>
      </c>
      <c r="D761" s="15">
        <f t="shared" si="44"/>
        <v>24.102777777777778</v>
      </c>
      <c r="E761" s="12" t="s">
        <v>10</v>
      </c>
      <c r="F761" s="14">
        <v>38506</v>
      </c>
      <c r="G761" s="13">
        <f t="shared" si="45"/>
        <v>2005</v>
      </c>
      <c r="H761" s="30">
        <f t="shared" si="46"/>
        <v>18000000</v>
      </c>
      <c r="I761" s="39">
        <v>5</v>
      </c>
      <c r="J761">
        <f t="shared" si="47"/>
        <v>2</v>
      </c>
    </row>
    <row r="762" spans="1:10" x14ac:dyDescent="0.25">
      <c r="A762" s="16" t="s">
        <v>785</v>
      </c>
      <c r="B762" s="14">
        <v>37636</v>
      </c>
      <c r="C762" s="31">
        <f>YEAR(Table1[[#This Row],[Tanggal Lahir]])</f>
        <v>2003</v>
      </c>
      <c r="D762" s="15">
        <f t="shared" si="44"/>
        <v>19.697222222222223</v>
      </c>
      <c r="E762" s="12" t="s">
        <v>10</v>
      </c>
      <c r="F762" s="14">
        <v>43292</v>
      </c>
      <c r="G762" s="13">
        <f t="shared" si="45"/>
        <v>2018</v>
      </c>
      <c r="H762" s="30">
        <f t="shared" si="46"/>
        <v>9000000</v>
      </c>
      <c r="I762" s="39">
        <v>5</v>
      </c>
      <c r="J762">
        <f t="shared" si="47"/>
        <v>2</v>
      </c>
    </row>
    <row r="763" spans="1:10" x14ac:dyDescent="0.25">
      <c r="A763" s="16" t="s">
        <v>786</v>
      </c>
      <c r="B763" s="14">
        <v>37627</v>
      </c>
      <c r="C763" s="31">
        <f>YEAR(Table1[[#This Row],[Tanggal Lahir]])</f>
        <v>2003</v>
      </c>
      <c r="D763" s="15">
        <f t="shared" si="44"/>
        <v>19.722222222222221</v>
      </c>
      <c r="E763" s="12" t="s">
        <v>10</v>
      </c>
      <c r="F763" s="14">
        <v>43536</v>
      </c>
      <c r="G763" s="13">
        <f t="shared" si="45"/>
        <v>2019</v>
      </c>
      <c r="H763" s="30">
        <f t="shared" si="46"/>
        <v>9000000</v>
      </c>
      <c r="I763" s="39">
        <v>2</v>
      </c>
      <c r="J763">
        <f t="shared" si="47"/>
        <v>2</v>
      </c>
    </row>
    <row r="764" spans="1:10" x14ac:dyDescent="0.25">
      <c r="A764" s="16" t="s">
        <v>787</v>
      </c>
      <c r="B764" s="14">
        <v>35800</v>
      </c>
      <c r="C764" s="31">
        <f>YEAR(Table1[[#This Row],[Tanggal Lahir]])</f>
        <v>1998</v>
      </c>
      <c r="D764" s="15">
        <f t="shared" si="44"/>
        <v>24.725000000000001</v>
      </c>
      <c r="E764" s="12" t="s">
        <v>14</v>
      </c>
      <c r="F764" s="14">
        <v>41637</v>
      </c>
      <c r="G764" s="13">
        <f t="shared" si="45"/>
        <v>2013</v>
      </c>
      <c r="H764" s="30">
        <f t="shared" si="46"/>
        <v>13000000</v>
      </c>
      <c r="I764" s="39">
        <v>1</v>
      </c>
      <c r="J764">
        <f t="shared" si="47"/>
        <v>2</v>
      </c>
    </row>
    <row r="765" spans="1:10" x14ac:dyDescent="0.25">
      <c r="A765" s="16" t="s">
        <v>788</v>
      </c>
      <c r="B765" s="14">
        <v>35126</v>
      </c>
      <c r="C765" s="31">
        <f>YEAR(Table1[[#This Row],[Tanggal Lahir]])</f>
        <v>1996</v>
      </c>
      <c r="D765" s="15">
        <f t="shared" si="44"/>
        <v>26.566666666666666</v>
      </c>
      <c r="E765" s="12" t="s">
        <v>10</v>
      </c>
      <c r="F765" s="14">
        <v>42400</v>
      </c>
      <c r="G765" s="13">
        <f t="shared" si="45"/>
        <v>2016</v>
      </c>
      <c r="H765" s="30">
        <f t="shared" si="46"/>
        <v>9000000</v>
      </c>
      <c r="I765" s="39">
        <v>6</v>
      </c>
      <c r="J765">
        <f t="shared" si="47"/>
        <v>3</v>
      </c>
    </row>
    <row r="766" spans="1:10" x14ac:dyDescent="0.25">
      <c r="A766" s="16" t="s">
        <v>789</v>
      </c>
      <c r="B766" s="14">
        <v>37177</v>
      </c>
      <c r="C766" s="31">
        <f>YEAR(Table1[[#This Row],[Tanggal Lahir]])</f>
        <v>2001</v>
      </c>
      <c r="D766" s="15">
        <f t="shared" si="44"/>
        <v>20.952777777777779</v>
      </c>
      <c r="E766" s="12" t="s">
        <v>10</v>
      </c>
      <c r="F766" s="14">
        <v>43255</v>
      </c>
      <c r="G766" s="13">
        <f t="shared" si="45"/>
        <v>2018</v>
      </c>
      <c r="H766" s="30">
        <f t="shared" si="46"/>
        <v>9000000</v>
      </c>
      <c r="I766" s="39">
        <v>3</v>
      </c>
      <c r="J766">
        <f t="shared" si="47"/>
        <v>2</v>
      </c>
    </row>
    <row r="767" spans="1:10" x14ac:dyDescent="0.25">
      <c r="A767" s="16" t="s">
        <v>790</v>
      </c>
      <c r="B767" s="14">
        <v>34902</v>
      </c>
      <c r="C767" s="31">
        <f>YEAR(Table1[[#This Row],[Tanggal Lahir]])</f>
        <v>1995</v>
      </c>
      <c r="D767" s="15">
        <f t="shared" si="44"/>
        <v>27.177777777777777</v>
      </c>
      <c r="E767" s="12" t="s">
        <v>14</v>
      </c>
      <c r="F767" s="14">
        <v>40132</v>
      </c>
      <c r="G767" s="13">
        <f t="shared" si="45"/>
        <v>2009</v>
      </c>
      <c r="H767" s="30">
        <f t="shared" si="46"/>
        <v>13000000</v>
      </c>
      <c r="I767" s="39">
        <v>3</v>
      </c>
      <c r="J767">
        <f t="shared" si="47"/>
        <v>3</v>
      </c>
    </row>
    <row r="768" spans="1:10" x14ac:dyDescent="0.25">
      <c r="A768" s="16" t="s">
        <v>791</v>
      </c>
      <c r="B768" s="14">
        <v>36575</v>
      </c>
      <c r="C768" s="31">
        <f>YEAR(Table1[[#This Row],[Tanggal Lahir]])</f>
        <v>2000</v>
      </c>
      <c r="D768" s="15">
        <f t="shared" si="44"/>
        <v>22.602777777777778</v>
      </c>
      <c r="E768" s="12" t="s">
        <v>10</v>
      </c>
      <c r="F768" s="14">
        <v>43029</v>
      </c>
      <c r="G768" s="13">
        <f t="shared" si="45"/>
        <v>2017</v>
      </c>
      <c r="H768" s="30">
        <f t="shared" si="46"/>
        <v>9000000</v>
      </c>
      <c r="I768" s="39">
        <v>6</v>
      </c>
      <c r="J768">
        <f t="shared" si="47"/>
        <v>2</v>
      </c>
    </row>
    <row r="769" spans="1:10" x14ac:dyDescent="0.25">
      <c r="A769" s="16" t="s">
        <v>792</v>
      </c>
      <c r="B769" s="14">
        <v>34834</v>
      </c>
      <c r="C769" s="31">
        <f>YEAR(Table1[[#This Row],[Tanggal Lahir]])</f>
        <v>1995</v>
      </c>
      <c r="D769" s="15">
        <f t="shared" si="44"/>
        <v>27.363888888888887</v>
      </c>
      <c r="E769" s="12" t="s">
        <v>10</v>
      </c>
      <c r="F769" s="14">
        <v>44499</v>
      </c>
      <c r="G769" s="13">
        <f t="shared" si="45"/>
        <v>2021</v>
      </c>
      <c r="H769" s="30">
        <f t="shared" si="46"/>
        <v>6800000</v>
      </c>
      <c r="I769" s="39">
        <v>4</v>
      </c>
      <c r="J769">
        <f t="shared" si="47"/>
        <v>2</v>
      </c>
    </row>
    <row r="770" spans="1:10" x14ac:dyDescent="0.25">
      <c r="A770" s="16" t="s">
        <v>793</v>
      </c>
      <c r="B770" s="14">
        <v>36811</v>
      </c>
      <c r="C770" s="31">
        <f>YEAR(Table1[[#This Row],[Tanggal Lahir]])</f>
        <v>2000</v>
      </c>
      <c r="D770" s="15">
        <f t="shared" ref="D770:D833" si="48">YEARFRAC(B770,$L$2)</f>
        <v>21.955555555555556</v>
      </c>
      <c r="E770" s="12" t="s">
        <v>7</v>
      </c>
      <c r="F770" s="14">
        <v>42577</v>
      </c>
      <c r="G770" s="13">
        <f t="shared" ref="G770:G833" si="49">YEAR(F770)</f>
        <v>2016</v>
      </c>
      <c r="H770" s="30">
        <f t="shared" ref="H770:H833" si="50">IF(G770&lt;= 2008,18000000,IF(AND(G770&gt;=2009,G770&lt;=2013),13000000,IF(AND(G770&gt;=2014,G770&lt;=2019),9000000,6800000)))</f>
        <v>9000000</v>
      </c>
      <c r="I770" s="39">
        <v>1</v>
      </c>
      <c r="J770">
        <f t="shared" ref="J770:J833" si="51">SUM(LEN(A770)-LEN(SUBSTITUTE(A770," ",""))+1)</f>
        <v>2</v>
      </c>
    </row>
    <row r="771" spans="1:10" x14ac:dyDescent="0.25">
      <c r="A771" s="16" t="s">
        <v>794</v>
      </c>
      <c r="B771" s="14">
        <v>37385</v>
      </c>
      <c r="C771" s="31">
        <f>YEAR(Table1[[#This Row],[Tanggal Lahir]])</f>
        <v>2002</v>
      </c>
      <c r="D771" s="15">
        <f t="shared" si="48"/>
        <v>20.380555555555556</v>
      </c>
      <c r="E771" s="12" t="s">
        <v>7</v>
      </c>
      <c r="F771" s="14">
        <v>40930</v>
      </c>
      <c r="G771" s="13">
        <f t="shared" si="49"/>
        <v>2012</v>
      </c>
      <c r="H771" s="30">
        <f t="shared" si="50"/>
        <v>13000000</v>
      </c>
      <c r="I771" s="39">
        <v>4</v>
      </c>
      <c r="J771">
        <f t="shared" si="51"/>
        <v>3</v>
      </c>
    </row>
    <row r="772" spans="1:10" x14ac:dyDescent="0.25">
      <c r="A772" s="16" t="s">
        <v>795</v>
      </c>
      <c r="B772" s="14">
        <v>37746</v>
      </c>
      <c r="C772" s="31">
        <f>YEAR(Table1[[#This Row],[Tanggal Lahir]])</f>
        <v>2003</v>
      </c>
      <c r="D772" s="15">
        <f t="shared" si="48"/>
        <v>19.391666666666666</v>
      </c>
      <c r="E772" s="12" t="s">
        <v>10</v>
      </c>
      <c r="F772" s="14">
        <v>43590</v>
      </c>
      <c r="G772" s="13">
        <f t="shared" si="49"/>
        <v>2019</v>
      </c>
      <c r="H772" s="30">
        <f t="shared" si="50"/>
        <v>9000000</v>
      </c>
      <c r="I772" s="39">
        <v>6</v>
      </c>
      <c r="J772">
        <f t="shared" si="51"/>
        <v>2</v>
      </c>
    </row>
    <row r="773" spans="1:10" x14ac:dyDescent="0.25">
      <c r="A773" s="16" t="s">
        <v>796</v>
      </c>
      <c r="B773" s="14">
        <v>34753</v>
      </c>
      <c r="C773" s="31">
        <f>YEAR(Table1[[#This Row],[Tanggal Lahir]])</f>
        <v>1995</v>
      </c>
      <c r="D773" s="15">
        <f t="shared" si="48"/>
        <v>27.591666666666665</v>
      </c>
      <c r="E773" s="12" t="s">
        <v>14</v>
      </c>
      <c r="F773" s="14">
        <v>42155</v>
      </c>
      <c r="G773" s="13">
        <f t="shared" si="49"/>
        <v>2015</v>
      </c>
      <c r="H773" s="30">
        <f t="shared" si="50"/>
        <v>9000000</v>
      </c>
      <c r="I773" s="39">
        <v>1</v>
      </c>
      <c r="J773">
        <f t="shared" si="51"/>
        <v>2</v>
      </c>
    </row>
    <row r="774" spans="1:10" x14ac:dyDescent="0.25">
      <c r="A774" s="16" t="s">
        <v>797</v>
      </c>
      <c r="B774" s="14">
        <v>35105</v>
      </c>
      <c r="C774" s="31">
        <f>YEAR(Table1[[#This Row],[Tanggal Lahir]])</f>
        <v>1996</v>
      </c>
      <c r="D774" s="15">
        <f t="shared" si="48"/>
        <v>26.627777777777776</v>
      </c>
      <c r="E774" s="12" t="s">
        <v>10</v>
      </c>
      <c r="F774" s="14">
        <v>44242</v>
      </c>
      <c r="G774" s="13">
        <f t="shared" si="49"/>
        <v>2021</v>
      </c>
      <c r="H774" s="30">
        <f t="shared" si="50"/>
        <v>6800000</v>
      </c>
      <c r="I774" s="39">
        <v>4</v>
      </c>
      <c r="J774">
        <f t="shared" si="51"/>
        <v>2</v>
      </c>
    </row>
    <row r="775" spans="1:10" x14ac:dyDescent="0.25">
      <c r="A775" s="16" t="s">
        <v>798</v>
      </c>
      <c r="B775" s="14">
        <v>36638</v>
      </c>
      <c r="C775" s="31">
        <f>YEAR(Table1[[#This Row],[Tanggal Lahir]])</f>
        <v>2000</v>
      </c>
      <c r="D775" s="15">
        <f t="shared" si="48"/>
        <v>22.427777777777777</v>
      </c>
      <c r="E775" s="12" t="s">
        <v>10</v>
      </c>
      <c r="F775" s="14">
        <v>38287</v>
      </c>
      <c r="G775" s="13">
        <f t="shared" si="49"/>
        <v>2004</v>
      </c>
      <c r="H775" s="30">
        <f t="shared" si="50"/>
        <v>18000000</v>
      </c>
      <c r="I775" s="39">
        <v>1</v>
      </c>
      <c r="J775">
        <f t="shared" si="51"/>
        <v>3</v>
      </c>
    </row>
    <row r="776" spans="1:10" x14ac:dyDescent="0.25">
      <c r="A776" s="16" t="s">
        <v>799</v>
      </c>
      <c r="B776" s="14">
        <v>35154</v>
      </c>
      <c r="C776" s="31">
        <f>YEAR(Table1[[#This Row],[Tanggal Lahir]])</f>
        <v>1996</v>
      </c>
      <c r="D776" s="15">
        <f t="shared" si="48"/>
        <v>26.488888888888887</v>
      </c>
      <c r="E776" s="12" t="s">
        <v>10</v>
      </c>
      <c r="F776" s="14">
        <v>41230</v>
      </c>
      <c r="G776" s="13">
        <f t="shared" si="49"/>
        <v>2012</v>
      </c>
      <c r="H776" s="30">
        <f t="shared" si="50"/>
        <v>13000000</v>
      </c>
      <c r="I776" s="39">
        <v>1</v>
      </c>
      <c r="J776">
        <f t="shared" si="51"/>
        <v>2</v>
      </c>
    </row>
    <row r="777" spans="1:10" x14ac:dyDescent="0.25">
      <c r="A777" s="16" t="s">
        <v>800</v>
      </c>
      <c r="B777" s="14">
        <v>36035</v>
      </c>
      <c r="C777" s="31">
        <f>YEAR(Table1[[#This Row],[Tanggal Lahir]])</f>
        <v>1998</v>
      </c>
      <c r="D777" s="15">
        <f t="shared" si="48"/>
        <v>24.077777777777779</v>
      </c>
      <c r="E777" s="12" t="s">
        <v>7</v>
      </c>
      <c r="F777" s="14">
        <v>40395</v>
      </c>
      <c r="G777" s="13">
        <f t="shared" si="49"/>
        <v>2010</v>
      </c>
      <c r="H777" s="30">
        <f t="shared" si="50"/>
        <v>13000000</v>
      </c>
      <c r="I777" s="39">
        <v>5</v>
      </c>
      <c r="J777">
        <f t="shared" si="51"/>
        <v>2</v>
      </c>
    </row>
    <row r="778" spans="1:10" x14ac:dyDescent="0.25">
      <c r="A778" s="16" t="s">
        <v>801</v>
      </c>
      <c r="B778" s="14">
        <v>36389</v>
      </c>
      <c r="C778" s="31">
        <f>YEAR(Table1[[#This Row],[Tanggal Lahir]])</f>
        <v>1999</v>
      </c>
      <c r="D778" s="15">
        <f t="shared" si="48"/>
        <v>23.108333333333334</v>
      </c>
      <c r="E778" s="12" t="s">
        <v>10</v>
      </c>
      <c r="F778" s="14">
        <v>39344</v>
      </c>
      <c r="G778" s="13">
        <f t="shared" si="49"/>
        <v>2007</v>
      </c>
      <c r="H778" s="30">
        <f t="shared" si="50"/>
        <v>18000000</v>
      </c>
      <c r="I778" s="39">
        <v>1</v>
      </c>
      <c r="J778">
        <f t="shared" si="51"/>
        <v>2</v>
      </c>
    </row>
    <row r="779" spans="1:10" x14ac:dyDescent="0.25">
      <c r="A779" s="16" t="s">
        <v>802</v>
      </c>
      <c r="B779" s="14">
        <v>35081</v>
      </c>
      <c r="C779" s="31">
        <f>YEAR(Table1[[#This Row],[Tanggal Lahir]])</f>
        <v>1996</v>
      </c>
      <c r="D779" s="15">
        <f t="shared" si="48"/>
        <v>26.691666666666666</v>
      </c>
      <c r="E779" s="12" t="s">
        <v>83</v>
      </c>
      <c r="F779" s="14">
        <v>42268</v>
      </c>
      <c r="G779" s="13">
        <f t="shared" si="49"/>
        <v>2015</v>
      </c>
      <c r="H779" s="30">
        <f t="shared" si="50"/>
        <v>9000000</v>
      </c>
      <c r="I779" s="39">
        <v>5</v>
      </c>
      <c r="J779">
        <f t="shared" si="51"/>
        <v>2</v>
      </c>
    </row>
    <row r="780" spans="1:10" x14ac:dyDescent="0.25">
      <c r="A780" s="16" t="s">
        <v>803</v>
      </c>
      <c r="B780" s="14">
        <v>36581</v>
      </c>
      <c r="C780" s="31">
        <f>YEAR(Table1[[#This Row],[Tanggal Lahir]])</f>
        <v>2000</v>
      </c>
      <c r="D780" s="15">
        <f t="shared" si="48"/>
        <v>22.586111111111112</v>
      </c>
      <c r="E780" s="12" t="s">
        <v>10</v>
      </c>
      <c r="F780" s="14">
        <v>41686</v>
      </c>
      <c r="G780" s="13">
        <f t="shared" si="49"/>
        <v>2014</v>
      </c>
      <c r="H780" s="30">
        <f t="shared" si="50"/>
        <v>9000000</v>
      </c>
      <c r="I780" s="39">
        <v>6</v>
      </c>
      <c r="J780">
        <f t="shared" si="51"/>
        <v>2</v>
      </c>
    </row>
    <row r="781" spans="1:10" x14ac:dyDescent="0.25">
      <c r="A781" s="16" t="s">
        <v>804</v>
      </c>
      <c r="B781" s="14">
        <v>35311</v>
      </c>
      <c r="C781" s="31">
        <f>YEAR(Table1[[#This Row],[Tanggal Lahir]])</f>
        <v>1996</v>
      </c>
      <c r="D781" s="15">
        <f t="shared" si="48"/>
        <v>26.06388888888889</v>
      </c>
      <c r="E781" s="12" t="s">
        <v>10</v>
      </c>
      <c r="F781" s="14">
        <v>42118</v>
      </c>
      <c r="G781" s="13">
        <f t="shared" si="49"/>
        <v>2015</v>
      </c>
      <c r="H781" s="30">
        <f t="shared" si="50"/>
        <v>9000000</v>
      </c>
      <c r="I781" s="39">
        <v>6</v>
      </c>
      <c r="J781">
        <f t="shared" si="51"/>
        <v>2</v>
      </c>
    </row>
    <row r="782" spans="1:10" x14ac:dyDescent="0.25">
      <c r="A782" s="16" t="s">
        <v>805</v>
      </c>
      <c r="B782" s="14">
        <v>37239</v>
      </c>
      <c r="C782" s="31">
        <f>YEAR(Table1[[#This Row],[Tanggal Lahir]])</f>
        <v>2001</v>
      </c>
      <c r="D782" s="15">
        <f t="shared" si="48"/>
        <v>20.783333333333335</v>
      </c>
      <c r="E782" s="12" t="s">
        <v>10</v>
      </c>
      <c r="F782" s="14">
        <v>38953</v>
      </c>
      <c r="G782" s="13">
        <f t="shared" si="49"/>
        <v>2006</v>
      </c>
      <c r="H782" s="30">
        <f t="shared" si="50"/>
        <v>18000000</v>
      </c>
      <c r="I782" s="39">
        <v>5</v>
      </c>
      <c r="J782">
        <f t="shared" si="51"/>
        <v>2</v>
      </c>
    </row>
    <row r="783" spans="1:10" x14ac:dyDescent="0.25">
      <c r="A783" s="16" t="s">
        <v>806</v>
      </c>
      <c r="B783" s="14">
        <v>35228</v>
      </c>
      <c r="C783" s="31">
        <f>YEAR(Table1[[#This Row],[Tanggal Lahir]])</f>
        <v>1996</v>
      </c>
      <c r="D783" s="15">
        <f t="shared" si="48"/>
        <v>26.288888888888888</v>
      </c>
      <c r="E783" s="12" t="s">
        <v>10</v>
      </c>
      <c r="F783" s="14">
        <v>44397</v>
      </c>
      <c r="G783" s="13">
        <f t="shared" si="49"/>
        <v>2021</v>
      </c>
      <c r="H783" s="30">
        <f t="shared" si="50"/>
        <v>6800000</v>
      </c>
      <c r="I783" s="39">
        <v>4</v>
      </c>
      <c r="J783">
        <f t="shared" si="51"/>
        <v>2</v>
      </c>
    </row>
    <row r="784" spans="1:10" x14ac:dyDescent="0.25">
      <c r="A784" s="16" t="s">
        <v>807</v>
      </c>
      <c r="B784" s="14">
        <v>36637</v>
      </c>
      <c r="C784" s="31">
        <f>YEAR(Table1[[#This Row],[Tanggal Lahir]])</f>
        <v>2000</v>
      </c>
      <c r="D784" s="15">
        <f t="shared" si="48"/>
        <v>22.430555555555557</v>
      </c>
      <c r="E784" s="12" t="s">
        <v>14</v>
      </c>
      <c r="F784" s="14">
        <v>44123</v>
      </c>
      <c r="G784" s="13">
        <f t="shared" si="49"/>
        <v>2020</v>
      </c>
      <c r="H784" s="30">
        <f t="shared" si="50"/>
        <v>6800000</v>
      </c>
      <c r="I784" s="39">
        <v>2</v>
      </c>
      <c r="J784">
        <f t="shared" si="51"/>
        <v>2</v>
      </c>
    </row>
    <row r="785" spans="1:10" x14ac:dyDescent="0.25">
      <c r="A785" s="16" t="s">
        <v>808</v>
      </c>
      <c r="B785" s="14">
        <v>35299</v>
      </c>
      <c r="C785" s="31">
        <f>YEAR(Table1[[#This Row],[Tanggal Lahir]])</f>
        <v>1996</v>
      </c>
      <c r="D785" s="15">
        <f t="shared" si="48"/>
        <v>26.094444444444445</v>
      </c>
      <c r="E785" s="12" t="s">
        <v>7</v>
      </c>
      <c r="F785" s="14">
        <v>40326</v>
      </c>
      <c r="G785" s="13">
        <f t="shared" si="49"/>
        <v>2010</v>
      </c>
      <c r="H785" s="30">
        <f t="shared" si="50"/>
        <v>13000000</v>
      </c>
      <c r="I785" s="39">
        <v>4</v>
      </c>
      <c r="J785">
        <f t="shared" si="51"/>
        <v>3</v>
      </c>
    </row>
    <row r="786" spans="1:10" x14ac:dyDescent="0.25">
      <c r="A786" s="16" t="s">
        <v>809</v>
      </c>
      <c r="B786" s="14">
        <v>37553</v>
      </c>
      <c r="C786" s="31">
        <f>YEAR(Table1[[#This Row],[Tanggal Lahir]])</f>
        <v>2002</v>
      </c>
      <c r="D786" s="15">
        <f t="shared" si="48"/>
        <v>19.922222222222221</v>
      </c>
      <c r="E786" s="12" t="s">
        <v>14</v>
      </c>
      <c r="F786" s="14">
        <v>42028</v>
      </c>
      <c r="G786" s="13">
        <f t="shared" si="49"/>
        <v>2015</v>
      </c>
      <c r="H786" s="30">
        <f t="shared" si="50"/>
        <v>9000000</v>
      </c>
      <c r="I786" s="39">
        <v>5</v>
      </c>
      <c r="J786">
        <f t="shared" si="51"/>
        <v>2</v>
      </c>
    </row>
    <row r="787" spans="1:10" x14ac:dyDescent="0.25">
      <c r="A787" s="16" t="s">
        <v>810</v>
      </c>
      <c r="B787" s="14">
        <v>35541</v>
      </c>
      <c r="C787" s="31">
        <f>YEAR(Table1[[#This Row],[Tanggal Lahir]])</f>
        <v>1997</v>
      </c>
      <c r="D787" s="15">
        <f t="shared" si="48"/>
        <v>25.430555555555557</v>
      </c>
      <c r="E787" s="12" t="s">
        <v>10</v>
      </c>
      <c r="F787" s="14">
        <v>40711</v>
      </c>
      <c r="G787" s="13">
        <f t="shared" si="49"/>
        <v>2011</v>
      </c>
      <c r="H787" s="30">
        <f t="shared" si="50"/>
        <v>13000000</v>
      </c>
      <c r="I787" s="39">
        <v>2</v>
      </c>
      <c r="J787">
        <f t="shared" si="51"/>
        <v>2</v>
      </c>
    </row>
    <row r="788" spans="1:10" x14ac:dyDescent="0.25">
      <c r="A788" s="16" t="s">
        <v>811</v>
      </c>
      <c r="B788" s="14">
        <v>35239</v>
      </c>
      <c r="C788" s="31">
        <f>YEAR(Table1[[#This Row],[Tanggal Lahir]])</f>
        <v>1996</v>
      </c>
      <c r="D788" s="15">
        <f t="shared" si="48"/>
        <v>26.258333333333333</v>
      </c>
      <c r="E788" s="12" t="s">
        <v>10</v>
      </c>
      <c r="F788" s="14">
        <v>38795</v>
      </c>
      <c r="G788" s="13">
        <f t="shared" si="49"/>
        <v>2006</v>
      </c>
      <c r="H788" s="30">
        <f t="shared" si="50"/>
        <v>18000000</v>
      </c>
      <c r="I788" s="39">
        <v>5</v>
      </c>
      <c r="J788">
        <f t="shared" si="51"/>
        <v>2</v>
      </c>
    </row>
    <row r="789" spans="1:10" x14ac:dyDescent="0.25">
      <c r="A789" s="16" t="s">
        <v>812</v>
      </c>
      <c r="B789" s="14">
        <v>36436</v>
      </c>
      <c r="C789" s="31">
        <f>YEAR(Table1[[#This Row],[Tanggal Lahir]])</f>
        <v>1999</v>
      </c>
      <c r="D789" s="15">
        <f t="shared" si="48"/>
        <v>22.980555555555554</v>
      </c>
      <c r="E789" s="12" t="s">
        <v>7</v>
      </c>
      <c r="F789" s="14">
        <v>44035</v>
      </c>
      <c r="G789" s="13">
        <f t="shared" si="49"/>
        <v>2020</v>
      </c>
      <c r="H789" s="30">
        <f t="shared" si="50"/>
        <v>6800000</v>
      </c>
      <c r="I789" s="39">
        <v>6</v>
      </c>
      <c r="J789">
        <f t="shared" si="51"/>
        <v>2</v>
      </c>
    </row>
    <row r="790" spans="1:10" x14ac:dyDescent="0.25">
      <c r="A790" s="16" t="s">
        <v>813</v>
      </c>
      <c r="B790" s="14">
        <v>35407</v>
      </c>
      <c r="C790" s="31">
        <f>YEAR(Table1[[#This Row],[Tanggal Lahir]])</f>
        <v>1996</v>
      </c>
      <c r="D790" s="15">
        <f t="shared" si="48"/>
        <v>25.8</v>
      </c>
      <c r="E790" s="12" t="s">
        <v>10</v>
      </c>
      <c r="F790" s="14">
        <v>39741</v>
      </c>
      <c r="G790" s="13">
        <f t="shared" si="49"/>
        <v>2008</v>
      </c>
      <c r="H790" s="30">
        <f t="shared" si="50"/>
        <v>18000000</v>
      </c>
      <c r="I790" s="39">
        <v>2</v>
      </c>
      <c r="J790">
        <f t="shared" si="51"/>
        <v>2</v>
      </c>
    </row>
    <row r="791" spans="1:10" x14ac:dyDescent="0.25">
      <c r="A791" s="16" t="s">
        <v>814</v>
      </c>
      <c r="B791" s="14">
        <v>35768</v>
      </c>
      <c r="C791" s="31">
        <f>YEAR(Table1[[#This Row],[Tanggal Lahir]])</f>
        <v>1997</v>
      </c>
      <c r="D791" s="15">
        <f t="shared" si="48"/>
        <v>24.81111111111111</v>
      </c>
      <c r="E791" s="12" t="s">
        <v>10</v>
      </c>
      <c r="F791" s="14">
        <v>40490</v>
      </c>
      <c r="G791" s="13">
        <f t="shared" si="49"/>
        <v>2010</v>
      </c>
      <c r="H791" s="30">
        <f t="shared" si="50"/>
        <v>13000000</v>
      </c>
      <c r="I791" s="39">
        <v>5</v>
      </c>
      <c r="J791">
        <f t="shared" si="51"/>
        <v>2</v>
      </c>
    </row>
    <row r="792" spans="1:10" x14ac:dyDescent="0.25">
      <c r="A792" s="16" t="s">
        <v>815</v>
      </c>
      <c r="B792" s="14">
        <v>37432</v>
      </c>
      <c r="C792" s="31">
        <f>YEAR(Table1[[#This Row],[Tanggal Lahir]])</f>
        <v>2002</v>
      </c>
      <c r="D792" s="15">
        <f t="shared" si="48"/>
        <v>20.252777777777776</v>
      </c>
      <c r="E792" s="12" t="s">
        <v>10</v>
      </c>
      <c r="F792" s="14">
        <v>40405</v>
      </c>
      <c r="G792" s="13">
        <f t="shared" si="49"/>
        <v>2010</v>
      </c>
      <c r="H792" s="30">
        <f t="shared" si="50"/>
        <v>13000000</v>
      </c>
      <c r="I792" s="39">
        <v>2</v>
      </c>
      <c r="J792">
        <f t="shared" si="51"/>
        <v>2</v>
      </c>
    </row>
    <row r="793" spans="1:10" x14ac:dyDescent="0.25">
      <c r="A793" s="16" t="s">
        <v>816</v>
      </c>
      <c r="B793" s="14">
        <v>34611</v>
      </c>
      <c r="C793" s="31">
        <f>YEAR(Table1[[#This Row],[Tanggal Lahir]])</f>
        <v>1994</v>
      </c>
      <c r="D793" s="15">
        <f t="shared" si="48"/>
        <v>27.977777777777778</v>
      </c>
      <c r="E793" s="12" t="s">
        <v>7</v>
      </c>
      <c r="F793" s="14">
        <v>38418</v>
      </c>
      <c r="G793" s="13">
        <f t="shared" si="49"/>
        <v>2005</v>
      </c>
      <c r="H793" s="30">
        <f t="shared" si="50"/>
        <v>18000000</v>
      </c>
      <c r="I793" s="39">
        <v>1</v>
      </c>
      <c r="J793">
        <f t="shared" si="51"/>
        <v>2</v>
      </c>
    </row>
    <row r="794" spans="1:10" x14ac:dyDescent="0.25">
      <c r="A794" s="16" t="s">
        <v>817</v>
      </c>
      <c r="B794" s="14">
        <v>37060</v>
      </c>
      <c r="C794" s="31">
        <f>YEAR(Table1[[#This Row],[Tanggal Lahir]])</f>
        <v>2001</v>
      </c>
      <c r="D794" s="15">
        <f t="shared" si="48"/>
        <v>21.272222222222222</v>
      </c>
      <c r="E794" s="12" t="s">
        <v>14</v>
      </c>
      <c r="F794" s="14">
        <v>43988</v>
      </c>
      <c r="G794" s="13">
        <f t="shared" si="49"/>
        <v>2020</v>
      </c>
      <c r="H794" s="30">
        <f t="shared" si="50"/>
        <v>6800000</v>
      </c>
      <c r="I794" s="39">
        <v>6</v>
      </c>
      <c r="J794">
        <f t="shared" si="51"/>
        <v>2</v>
      </c>
    </row>
    <row r="795" spans="1:10" x14ac:dyDescent="0.25">
      <c r="A795" s="16" t="s">
        <v>818</v>
      </c>
      <c r="B795" s="14">
        <v>37260</v>
      </c>
      <c r="C795" s="31">
        <f>YEAR(Table1[[#This Row],[Tanggal Lahir]])</f>
        <v>2002</v>
      </c>
      <c r="D795" s="15">
        <f t="shared" si="48"/>
        <v>20.727777777777778</v>
      </c>
      <c r="E795" s="12" t="s">
        <v>10</v>
      </c>
      <c r="F795" s="14">
        <v>41586</v>
      </c>
      <c r="G795" s="13">
        <f t="shared" si="49"/>
        <v>2013</v>
      </c>
      <c r="H795" s="30">
        <f t="shared" si="50"/>
        <v>13000000</v>
      </c>
      <c r="I795" s="39">
        <v>1</v>
      </c>
      <c r="J795">
        <f t="shared" si="51"/>
        <v>2</v>
      </c>
    </row>
    <row r="796" spans="1:10" x14ac:dyDescent="0.25">
      <c r="A796" s="16" t="s">
        <v>819</v>
      </c>
      <c r="B796" s="14">
        <v>34821</v>
      </c>
      <c r="C796" s="31">
        <f>YEAR(Table1[[#This Row],[Tanggal Lahir]])</f>
        <v>1995</v>
      </c>
      <c r="D796" s="15">
        <f t="shared" si="48"/>
        <v>27.4</v>
      </c>
      <c r="E796" s="12" t="s">
        <v>10</v>
      </c>
      <c r="F796" s="14">
        <v>40247</v>
      </c>
      <c r="G796" s="13">
        <f t="shared" si="49"/>
        <v>2010</v>
      </c>
      <c r="H796" s="30">
        <f t="shared" si="50"/>
        <v>13000000</v>
      </c>
      <c r="I796" s="39">
        <v>2</v>
      </c>
      <c r="J796">
        <f t="shared" si="51"/>
        <v>2</v>
      </c>
    </row>
    <row r="797" spans="1:10" x14ac:dyDescent="0.25">
      <c r="A797" s="16" t="s">
        <v>820</v>
      </c>
      <c r="B797" s="14">
        <v>36867</v>
      </c>
      <c r="C797" s="31">
        <f>YEAR(Table1[[#This Row],[Tanggal Lahir]])</f>
        <v>2000</v>
      </c>
      <c r="D797" s="15">
        <f t="shared" si="48"/>
        <v>21.802777777777777</v>
      </c>
      <c r="E797" s="12" t="s">
        <v>10</v>
      </c>
      <c r="F797" s="14">
        <v>43482</v>
      </c>
      <c r="G797" s="13">
        <f t="shared" si="49"/>
        <v>2019</v>
      </c>
      <c r="H797" s="30">
        <f t="shared" si="50"/>
        <v>9000000</v>
      </c>
      <c r="I797" s="39">
        <v>6</v>
      </c>
      <c r="J797">
        <f t="shared" si="51"/>
        <v>2</v>
      </c>
    </row>
    <row r="798" spans="1:10" x14ac:dyDescent="0.25">
      <c r="A798" s="16" t="s">
        <v>821</v>
      </c>
      <c r="B798" s="14">
        <v>36780</v>
      </c>
      <c r="C798" s="31">
        <f>YEAR(Table1[[#This Row],[Tanggal Lahir]])</f>
        <v>2000</v>
      </c>
      <c r="D798" s="15">
        <f t="shared" si="48"/>
        <v>22.041666666666668</v>
      </c>
      <c r="E798" s="12" t="s">
        <v>10</v>
      </c>
      <c r="F798" s="14">
        <v>43350</v>
      </c>
      <c r="G798" s="13">
        <f t="shared" si="49"/>
        <v>2018</v>
      </c>
      <c r="H798" s="30">
        <f t="shared" si="50"/>
        <v>9000000</v>
      </c>
      <c r="I798" s="39">
        <v>5</v>
      </c>
      <c r="J798">
        <f t="shared" si="51"/>
        <v>2</v>
      </c>
    </row>
    <row r="799" spans="1:10" x14ac:dyDescent="0.25">
      <c r="A799" s="16" t="s">
        <v>822</v>
      </c>
      <c r="B799" s="14">
        <v>35523</v>
      </c>
      <c r="C799" s="31">
        <f>YEAR(Table1[[#This Row],[Tanggal Lahir]])</f>
        <v>1997</v>
      </c>
      <c r="D799" s="15">
        <f t="shared" si="48"/>
        <v>25.480555555555554</v>
      </c>
      <c r="E799" s="12" t="s">
        <v>10</v>
      </c>
      <c r="F799" s="14">
        <v>40544</v>
      </c>
      <c r="G799" s="13">
        <f t="shared" si="49"/>
        <v>2011</v>
      </c>
      <c r="H799" s="30">
        <f t="shared" si="50"/>
        <v>13000000</v>
      </c>
      <c r="I799" s="39">
        <v>5</v>
      </c>
      <c r="J799">
        <f t="shared" si="51"/>
        <v>2</v>
      </c>
    </row>
    <row r="800" spans="1:10" x14ac:dyDescent="0.25">
      <c r="A800" s="16" t="s">
        <v>823</v>
      </c>
      <c r="B800" s="14">
        <v>37011</v>
      </c>
      <c r="C800" s="31">
        <f>YEAR(Table1[[#This Row],[Tanggal Lahir]])</f>
        <v>2001</v>
      </c>
      <c r="D800" s="15">
        <f t="shared" si="48"/>
        <v>21.405555555555555</v>
      </c>
      <c r="E800" s="12" t="s">
        <v>10</v>
      </c>
      <c r="F800" s="14">
        <v>42299</v>
      </c>
      <c r="G800" s="13">
        <f t="shared" si="49"/>
        <v>2015</v>
      </c>
      <c r="H800" s="30">
        <f t="shared" si="50"/>
        <v>9000000</v>
      </c>
      <c r="I800" s="39">
        <v>1</v>
      </c>
      <c r="J800">
        <f t="shared" si="51"/>
        <v>3</v>
      </c>
    </row>
    <row r="801" spans="1:10" x14ac:dyDescent="0.25">
      <c r="A801" s="16" t="s">
        <v>824</v>
      </c>
      <c r="B801" s="14">
        <v>37888</v>
      </c>
      <c r="C801" s="31">
        <f>YEAR(Table1[[#This Row],[Tanggal Lahir]])</f>
        <v>2003</v>
      </c>
      <c r="D801" s="15">
        <f t="shared" si="48"/>
        <v>19.005555555555556</v>
      </c>
      <c r="E801" s="12" t="s">
        <v>7</v>
      </c>
      <c r="F801" s="14">
        <v>42272</v>
      </c>
      <c r="G801" s="13">
        <f t="shared" si="49"/>
        <v>2015</v>
      </c>
      <c r="H801" s="30">
        <f t="shared" si="50"/>
        <v>9000000</v>
      </c>
      <c r="I801" s="39">
        <v>6</v>
      </c>
      <c r="J801">
        <f t="shared" si="51"/>
        <v>2</v>
      </c>
    </row>
    <row r="802" spans="1:10" x14ac:dyDescent="0.25">
      <c r="A802" s="16" t="s">
        <v>825</v>
      </c>
      <c r="B802" s="14">
        <v>34533</v>
      </c>
      <c r="C802" s="31">
        <f>YEAR(Table1[[#This Row],[Tanggal Lahir]])</f>
        <v>1994</v>
      </c>
      <c r="D802" s="15">
        <f t="shared" si="48"/>
        <v>28.18888888888889</v>
      </c>
      <c r="E802" s="12" t="s">
        <v>7</v>
      </c>
      <c r="F802" s="14">
        <v>41133</v>
      </c>
      <c r="G802" s="13">
        <f t="shared" si="49"/>
        <v>2012</v>
      </c>
      <c r="H802" s="30">
        <f t="shared" si="50"/>
        <v>13000000</v>
      </c>
      <c r="I802" s="39">
        <v>5</v>
      </c>
      <c r="J802">
        <f t="shared" si="51"/>
        <v>2</v>
      </c>
    </row>
    <row r="803" spans="1:10" x14ac:dyDescent="0.25">
      <c r="A803" s="16" t="s">
        <v>826</v>
      </c>
      <c r="B803" s="14">
        <v>35887</v>
      </c>
      <c r="C803" s="31">
        <f>YEAR(Table1[[#This Row],[Tanggal Lahir]])</f>
        <v>1998</v>
      </c>
      <c r="D803" s="15">
        <f t="shared" si="48"/>
        <v>24.483333333333334</v>
      </c>
      <c r="E803" s="12" t="s">
        <v>14</v>
      </c>
      <c r="F803" s="14">
        <v>42710</v>
      </c>
      <c r="G803" s="13">
        <f t="shared" si="49"/>
        <v>2016</v>
      </c>
      <c r="H803" s="30">
        <f t="shared" si="50"/>
        <v>9000000</v>
      </c>
      <c r="I803" s="39">
        <v>4</v>
      </c>
      <c r="J803">
        <f t="shared" si="51"/>
        <v>2</v>
      </c>
    </row>
    <row r="804" spans="1:10" x14ac:dyDescent="0.25">
      <c r="A804" s="16" t="s">
        <v>827</v>
      </c>
      <c r="B804" s="14">
        <v>36852</v>
      </c>
      <c r="C804" s="31">
        <f>YEAR(Table1[[#This Row],[Tanggal Lahir]])</f>
        <v>2000</v>
      </c>
      <c r="D804" s="15">
        <f t="shared" si="48"/>
        <v>21.844444444444445</v>
      </c>
      <c r="E804" s="12" t="s">
        <v>10</v>
      </c>
      <c r="F804" s="14">
        <v>40195</v>
      </c>
      <c r="G804" s="13">
        <f t="shared" si="49"/>
        <v>2010</v>
      </c>
      <c r="H804" s="30">
        <f t="shared" si="50"/>
        <v>13000000</v>
      </c>
      <c r="I804" s="39">
        <v>1</v>
      </c>
      <c r="J804">
        <f t="shared" si="51"/>
        <v>2</v>
      </c>
    </row>
    <row r="805" spans="1:10" x14ac:dyDescent="0.25">
      <c r="A805" s="16" t="s">
        <v>828</v>
      </c>
      <c r="B805" s="14">
        <v>34503</v>
      </c>
      <c r="C805" s="31">
        <f>YEAR(Table1[[#This Row],[Tanggal Lahir]])</f>
        <v>1994</v>
      </c>
      <c r="D805" s="15">
        <f t="shared" si="48"/>
        <v>28.272222222222222</v>
      </c>
      <c r="E805" s="12" t="s">
        <v>10</v>
      </c>
      <c r="F805" s="14">
        <v>43305</v>
      </c>
      <c r="G805" s="13">
        <f t="shared" si="49"/>
        <v>2018</v>
      </c>
      <c r="H805" s="30">
        <f t="shared" si="50"/>
        <v>9000000</v>
      </c>
      <c r="I805" s="39">
        <v>5</v>
      </c>
      <c r="J805">
        <f t="shared" si="51"/>
        <v>2</v>
      </c>
    </row>
    <row r="806" spans="1:10" x14ac:dyDescent="0.25">
      <c r="A806" s="16" t="s">
        <v>829</v>
      </c>
      <c r="B806" s="14">
        <v>37949</v>
      </c>
      <c r="C806" s="31">
        <f>YEAR(Table1[[#This Row],[Tanggal Lahir]])</f>
        <v>2003</v>
      </c>
      <c r="D806" s="15">
        <f t="shared" si="48"/>
        <v>18.838888888888889</v>
      </c>
      <c r="E806" s="12" t="s">
        <v>7</v>
      </c>
      <c r="F806" s="14">
        <v>41324</v>
      </c>
      <c r="G806" s="13">
        <f t="shared" si="49"/>
        <v>2013</v>
      </c>
      <c r="H806" s="30">
        <f t="shared" si="50"/>
        <v>13000000</v>
      </c>
      <c r="I806" s="39">
        <v>6</v>
      </c>
      <c r="J806">
        <f t="shared" si="51"/>
        <v>2</v>
      </c>
    </row>
    <row r="807" spans="1:10" x14ac:dyDescent="0.25">
      <c r="A807" s="16" t="s">
        <v>830</v>
      </c>
      <c r="B807" s="14">
        <v>35112</v>
      </c>
      <c r="C807" s="31">
        <f>YEAR(Table1[[#This Row],[Tanggal Lahir]])</f>
        <v>1996</v>
      </c>
      <c r="D807" s="15">
        <f t="shared" si="48"/>
        <v>26.608333333333334</v>
      </c>
      <c r="E807" s="12" t="s">
        <v>10</v>
      </c>
      <c r="F807" s="14">
        <v>38736</v>
      </c>
      <c r="G807" s="13">
        <f t="shared" si="49"/>
        <v>2006</v>
      </c>
      <c r="H807" s="30">
        <f t="shared" si="50"/>
        <v>18000000</v>
      </c>
      <c r="I807" s="39">
        <v>2</v>
      </c>
      <c r="J807">
        <f t="shared" si="51"/>
        <v>2</v>
      </c>
    </row>
    <row r="808" spans="1:10" x14ac:dyDescent="0.25">
      <c r="A808" s="16" t="s">
        <v>831</v>
      </c>
      <c r="B808" s="14">
        <v>37640</v>
      </c>
      <c r="C808" s="31">
        <f>YEAR(Table1[[#This Row],[Tanggal Lahir]])</f>
        <v>2003</v>
      </c>
      <c r="D808" s="15">
        <f t="shared" si="48"/>
        <v>19.68611111111111</v>
      </c>
      <c r="E808" s="12" t="s">
        <v>14</v>
      </c>
      <c r="F808" s="14">
        <v>42258</v>
      </c>
      <c r="G808" s="13">
        <f t="shared" si="49"/>
        <v>2015</v>
      </c>
      <c r="H808" s="30">
        <f t="shared" si="50"/>
        <v>9000000</v>
      </c>
      <c r="I808" s="39">
        <v>6</v>
      </c>
      <c r="J808">
        <f t="shared" si="51"/>
        <v>3</v>
      </c>
    </row>
    <row r="809" spans="1:10" x14ac:dyDescent="0.25">
      <c r="A809" s="16" t="s">
        <v>832</v>
      </c>
      <c r="B809" s="14">
        <v>34718</v>
      </c>
      <c r="C809" s="31">
        <f>YEAR(Table1[[#This Row],[Tanggal Lahir]])</f>
        <v>1995</v>
      </c>
      <c r="D809" s="15">
        <f t="shared" si="48"/>
        <v>27.68611111111111</v>
      </c>
      <c r="E809" s="12" t="s">
        <v>7</v>
      </c>
      <c r="F809" s="14">
        <v>43684</v>
      </c>
      <c r="G809" s="13">
        <f t="shared" si="49"/>
        <v>2019</v>
      </c>
      <c r="H809" s="30">
        <f t="shared" si="50"/>
        <v>9000000</v>
      </c>
      <c r="I809" s="39">
        <v>2</v>
      </c>
      <c r="J809">
        <f t="shared" si="51"/>
        <v>2</v>
      </c>
    </row>
    <row r="810" spans="1:10" x14ac:dyDescent="0.25">
      <c r="A810" s="16" t="s">
        <v>833</v>
      </c>
      <c r="B810" s="14">
        <v>34745</v>
      </c>
      <c r="C810" s="31">
        <f>YEAR(Table1[[#This Row],[Tanggal Lahir]])</f>
        <v>1995</v>
      </c>
      <c r="D810" s="15">
        <f t="shared" si="48"/>
        <v>27.613888888888887</v>
      </c>
      <c r="E810" s="12" t="s">
        <v>14</v>
      </c>
      <c r="F810" s="14">
        <v>44409</v>
      </c>
      <c r="G810" s="13">
        <f t="shared" si="49"/>
        <v>2021</v>
      </c>
      <c r="H810" s="30">
        <f t="shared" si="50"/>
        <v>6800000</v>
      </c>
      <c r="I810" s="39">
        <v>1</v>
      </c>
      <c r="J810">
        <f t="shared" si="51"/>
        <v>2</v>
      </c>
    </row>
    <row r="811" spans="1:10" x14ac:dyDescent="0.25">
      <c r="A811" s="16" t="s">
        <v>834</v>
      </c>
      <c r="B811" s="14">
        <v>36464</v>
      </c>
      <c r="C811" s="31">
        <f>YEAR(Table1[[#This Row],[Tanggal Lahir]])</f>
        <v>1999</v>
      </c>
      <c r="D811" s="15">
        <f t="shared" si="48"/>
        <v>22.905555555555555</v>
      </c>
      <c r="E811" s="12" t="s">
        <v>10</v>
      </c>
      <c r="F811" s="14">
        <v>41892</v>
      </c>
      <c r="G811" s="13">
        <f t="shared" si="49"/>
        <v>2014</v>
      </c>
      <c r="H811" s="30">
        <f t="shared" si="50"/>
        <v>9000000</v>
      </c>
      <c r="I811" s="39">
        <v>5</v>
      </c>
      <c r="J811">
        <f t="shared" si="51"/>
        <v>2</v>
      </c>
    </row>
    <row r="812" spans="1:10" x14ac:dyDescent="0.25">
      <c r="A812" s="16" t="s">
        <v>835</v>
      </c>
      <c r="B812" s="14">
        <v>36543</v>
      </c>
      <c r="C812" s="31">
        <f>YEAR(Table1[[#This Row],[Tanggal Lahir]])</f>
        <v>2000</v>
      </c>
      <c r="D812" s="15">
        <f t="shared" si="48"/>
        <v>22.68888888888889</v>
      </c>
      <c r="E812" s="12" t="s">
        <v>7</v>
      </c>
      <c r="F812" s="14">
        <v>43868</v>
      </c>
      <c r="G812" s="13">
        <f t="shared" si="49"/>
        <v>2020</v>
      </c>
      <c r="H812" s="30">
        <f t="shared" si="50"/>
        <v>6800000</v>
      </c>
      <c r="I812" s="39">
        <v>4</v>
      </c>
      <c r="J812">
        <f t="shared" si="51"/>
        <v>2</v>
      </c>
    </row>
    <row r="813" spans="1:10" x14ac:dyDescent="0.25">
      <c r="A813" s="16" t="s">
        <v>836</v>
      </c>
      <c r="B813" s="14">
        <v>37347</v>
      </c>
      <c r="C813" s="31">
        <f>YEAR(Table1[[#This Row],[Tanggal Lahir]])</f>
        <v>2002</v>
      </c>
      <c r="D813" s="15">
        <f t="shared" si="48"/>
        <v>20.486111111111111</v>
      </c>
      <c r="E813" s="12" t="s">
        <v>10</v>
      </c>
      <c r="F813" s="14">
        <v>42373</v>
      </c>
      <c r="G813" s="13">
        <f t="shared" si="49"/>
        <v>2016</v>
      </c>
      <c r="H813" s="30">
        <f t="shared" si="50"/>
        <v>9000000</v>
      </c>
      <c r="I813" s="39">
        <v>1</v>
      </c>
      <c r="J813">
        <f t="shared" si="51"/>
        <v>2</v>
      </c>
    </row>
    <row r="814" spans="1:10" x14ac:dyDescent="0.25">
      <c r="A814" s="16" t="s">
        <v>837</v>
      </c>
      <c r="B814" s="14">
        <v>34575</v>
      </c>
      <c r="C814" s="31">
        <f>YEAR(Table1[[#This Row],[Tanggal Lahir]])</f>
        <v>1994</v>
      </c>
      <c r="D814" s="15">
        <f t="shared" si="48"/>
        <v>28.074999999999999</v>
      </c>
      <c r="E814" s="12" t="s">
        <v>14</v>
      </c>
      <c r="F814" s="14">
        <v>40048</v>
      </c>
      <c r="G814" s="13">
        <f t="shared" si="49"/>
        <v>2009</v>
      </c>
      <c r="H814" s="30">
        <f t="shared" si="50"/>
        <v>13000000</v>
      </c>
      <c r="I814" s="39">
        <v>2</v>
      </c>
      <c r="J814">
        <f t="shared" si="51"/>
        <v>2</v>
      </c>
    </row>
    <row r="815" spans="1:10" x14ac:dyDescent="0.25">
      <c r="A815" s="16" t="s">
        <v>838</v>
      </c>
      <c r="B815" s="14">
        <v>35465</v>
      </c>
      <c r="C815" s="31">
        <f>YEAR(Table1[[#This Row],[Tanggal Lahir]])</f>
        <v>1997</v>
      </c>
      <c r="D815" s="15">
        <f t="shared" si="48"/>
        <v>25.644444444444446</v>
      </c>
      <c r="E815" s="12" t="s">
        <v>7</v>
      </c>
      <c r="F815" s="14">
        <v>41141</v>
      </c>
      <c r="G815" s="13">
        <f t="shared" si="49"/>
        <v>2012</v>
      </c>
      <c r="H815" s="30">
        <f t="shared" si="50"/>
        <v>13000000</v>
      </c>
      <c r="I815" s="39">
        <v>6</v>
      </c>
      <c r="J815">
        <f t="shared" si="51"/>
        <v>2</v>
      </c>
    </row>
    <row r="816" spans="1:10" x14ac:dyDescent="0.25">
      <c r="A816" s="16" t="s">
        <v>839</v>
      </c>
      <c r="B816" s="14">
        <v>37050</v>
      </c>
      <c r="C816" s="31">
        <f>YEAR(Table1[[#This Row],[Tanggal Lahir]])</f>
        <v>2001</v>
      </c>
      <c r="D816" s="15">
        <f t="shared" si="48"/>
        <v>21.3</v>
      </c>
      <c r="E816" s="12" t="s">
        <v>14</v>
      </c>
      <c r="F816" s="14">
        <v>40438</v>
      </c>
      <c r="G816" s="13">
        <f t="shared" si="49"/>
        <v>2010</v>
      </c>
      <c r="H816" s="30">
        <f t="shared" si="50"/>
        <v>13000000</v>
      </c>
      <c r="I816" s="39">
        <v>2</v>
      </c>
      <c r="J816">
        <f t="shared" si="51"/>
        <v>2</v>
      </c>
    </row>
    <row r="817" spans="1:10" x14ac:dyDescent="0.25">
      <c r="A817" s="16" t="s">
        <v>840</v>
      </c>
      <c r="B817" s="14">
        <v>35876</v>
      </c>
      <c r="C817" s="31">
        <f>YEAR(Table1[[#This Row],[Tanggal Lahir]])</f>
        <v>1998</v>
      </c>
      <c r="D817" s="15">
        <f t="shared" si="48"/>
        <v>24.511111111111113</v>
      </c>
      <c r="E817" s="12" t="s">
        <v>10</v>
      </c>
      <c r="F817" s="14">
        <v>41850</v>
      </c>
      <c r="G817" s="13">
        <f t="shared" si="49"/>
        <v>2014</v>
      </c>
      <c r="H817" s="30">
        <f t="shared" si="50"/>
        <v>9000000</v>
      </c>
      <c r="I817" s="39">
        <v>6</v>
      </c>
      <c r="J817">
        <f t="shared" si="51"/>
        <v>2</v>
      </c>
    </row>
    <row r="818" spans="1:10" x14ac:dyDescent="0.25">
      <c r="A818" s="16" t="s">
        <v>841</v>
      </c>
      <c r="B818" s="14">
        <v>37888</v>
      </c>
      <c r="C818" s="31">
        <f>YEAR(Table1[[#This Row],[Tanggal Lahir]])</f>
        <v>2003</v>
      </c>
      <c r="D818" s="15">
        <f t="shared" si="48"/>
        <v>19.005555555555556</v>
      </c>
      <c r="E818" s="12" t="s">
        <v>10</v>
      </c>
      <c r="F818" s="14">
        <v>40285</v>
      </c>
      <c r="G818" s="13">
        <f t="shared" si="49"/>
        <v>2010</v>
      </c>
      <c r="H818" s="30">
        <f t="shared" si="50"/>
        <v>13000000</v>
      </c>
      <c r="I818" s="39">
        <v>6</v>
      </c>
      <c r="J818">
        <f t="shared" si="51"/>
        <v>3</v>
      </c>
    </row>
    <row r="819" spans="1:10" x14ac:dyDescent="0.25">
      <c r="A819" s="16" t="s">
        <v>842</v>
      </c>
      <c r="B819" s="14">
        <v>37234</v>
      </c>
      <c r="C819" s="31">
        <f>YEAR(Table1[[#This Row],[Tanggal Lahir]])</f>
        <v>2001</v>
      </c>
      <c r="D819" s="15">
        <f t="shared" si="48"/>
        <v>20.797222222222221</v>
      </c>
      <c r="E819" s="12" t="s">
        <v>10</v>
      </c>
      <c r="F819" s="14">
        <v>40364</v>
      </c>
      <c r="G819" s="13">
        <f t="shared" si="49"/>
        <v>2010</v>
      </c>
      <c r="H819" s="30">
        <f t="shared" si="50"/>
        <v>13000000</v>
      </c>
      <c r="I819" s="39">
        <v>5</v>
      </c>
      <c r="J819">
        <f t="shared" si="51"/>
        <v>2</v>
      </c>
    </row>
    <row r="820" spans="1:10" x14ac:dyDescent="0.25">
      <c r="A820" s="16" t="s">
        <v>843</v>
      </c>
      <c r="B820" s="14">
        <v>34815</v>
      </c>
      <c r="C820" s="31">
        <f>YEAR(Table1[[#This Row],[Tanggal Lahir]])</f>
        <v>1995</v>
      </c>
      <c r="D820" s="15">
        <f t="shared" si="48"/>
        <v>27.416666666666668</v>
      </c>
      <c r="E820" s="12" t="s">
        <v>10</v>
      </c>
      <c r="F820" s="14">
        <v>40645</v>
      </c>
      <c r="G820" s="13">
        <f t="shared" si="49"/>
        <v>2011</v>
      </c>
      <c r="H820" s="30">
        <f t="shared" si="50"/>
        <v>13000000</v>
      </c>
      <c r="I820" s="39">
        <v>3</v>
      </c>
      <c r="J820">
        <f t="shared" si="51"/>
        <v>3</v>
      </c>
    </row>
    <row r="821" spans="1:10" x14ac:dyDescent="0.25">
      <c r="A821" s="16" t="s">
        <v>844</v>
      </c>
      <c r="B821" s="14">
        <v>36344</v>
      </c>
      <c r="C821" s="31">
        <f>YEAR(Table1[[#This Row],[Tanggal Lahir]])</f>
        <v>1999</v>
      </c>
      <c r="D821" s="15">
        <f t="shared" si="48"/>
        <v>23.230555555555554</v>
      </c>
      <c r="E821" s="12" t="s">
        <v>7</v>
      </c>
      <c r="F821" s="14">
        <v>39434</v>
      </c>
      <c r="G821" s="13">
        <f t="shared" si="49"/>
        <v>2007</v>
      </c>
      <c r="H821" s="30">
        <f t="shared" si="50"/>
        <v>18000000</v>
      </c>
      <c r="I821" s="39">
        <v>6</v>
      </c>
      <c r="J821">
        <f t="shared" si="51"/>
        <v>2</v>
      </c>
    </row>
    <row r="822" spans="1:10" x14ac:dyDescent="0.25">
      <c r="A822" s="16" t="s">
        <v>845</v>
      </c>
      <c r="B822" s="14">
        <v>36837</v>
      </c>
      <c r="C822" s="31">
        <f>YEAR(Table1[[#This Row],[Tanggal Lahir]])</f>
        <v>2000</v>
      </c>
      <c r="D822" s="15">
        <f t="shared" si="48"/>
        <v>21.886111111111113</v>
      </c>
      <c r="E822" s="12" t="s">
        <v>10</v>
      </c>
      <c r="F822" s="14">
        <v>41424</v>
      </c>
      <c r="G822" s="13">
        <f t="shared" si="49"/>
        <v>2013</v>
      </c>
      <c r="H822" s="30">
        <f t="shared" si="50"/>
        <v>13000000</v>
      </c>
      <c r="I822" s="39">
        <v>1</v>
      </c>
      <c r="J822">
        <f t="shared" si="51"/>
        <v>3</v>
      </c>
    </row>
    <row r="823" spans="1:10" x14ac:dyDescent="0.25">
      <c r="A823" s="16" t="s">
        <v>846</v>
      </c>
      <c r="B823" s="14">
        <v>37527</v>
      </c>
      <c r="C823" s="31">
        <f>YEAR(Table1[[#This Row],[Tanggal Lahir]])</f>
        <v>2002</v>
      </c>
      <c r="D823" s="15">
        <f t="shared" si="48"/>
        <v>19.994444444444444</v>
      </c>
      <c r="E823" s="12" t="s">
        <v>10</v>
      </c>
      <c r="F823" s="14">
        <v>41106</v>
      </c>
      <c r="G823" s="13">
        <f t="shared" si="49"/>
        <v>2012</v>
      </c>
      <c r="H823" s="30">
        <f t="shared" si="50"/>
        <v>13000000</v>
      </c>
      <c r="I823" s="39">
        <v>1</v>
      </c>
      <c r="J823">
        <f t="shared" si="51"/>
        <v>2</v>
      </c>
    </row>
    <row r="824" spans="1:10" x14ac:dyDescent="0.25">
      <c r="A824" s="16" t="s">
        <v>847</v>
      </c>
      <c r="B824" s="14">
        <v>37702</v>
      </c>
      <c r="C824" s="31">
        <f>YEAR(Table1[[#This Row],[Tanggal Lahir]])</f>
        <v>2003</v>
      </c>
      <c r="D824" s="15">
        <f t="shared" si="48"/>
        <v>19.511111111111113</v>
      </c>
      <c r="E824" s="12" t="s">
        <v>14</v>
      </c>
      <c r="F824" s="14">
        <v>43749</v>
      </c>
      <c r="G824" s="13">
        <f t="shared" si="49"/>
        <v>2019</v>
      </c>
      <c r="H824" s="30">
        <f t="shared" si="50"/>
        <v>9000000</v>
      </c>
      <c r="I824" s="39">
        <v>6</v>
      </c>
      <c r="J824">
        <f t="shared" si="51"/>
        <v>2</v>
      </c>
    </row>
    <row r="825" spans="1:10" x14ac:dyDescent="0.25">
      <c r="A825" s="16" t="s">
        <v>848</v>
      </c>
      <c r="B825" s="14">
        <v>36057</v>
      </c>
      <c r="C825" s="31">
        <f>YEAR(Table1[[#This Row],[Tanggal Lahir]])</f>
        <v>1998</v>
      </c>
      <c r="D825" s="15">
        <f t="shared" si="48"/>
        <v>24.019444444444446</v>
      </c>
      <c r="E825" s="12" t="s">
        <v>10</v>
      </c>
      <c r="F825" s="14">
        <v>39752</v>
      </c>
      <c r="G825" s="13">
        <f t="shared" si="49"/>
        <v>2008</v>
      </c>
      <c r="H825" s="30">
        <f t="shared" si="50"/>
        <v>18000000</v>
      </c>
      <c r="I825" s="39">
        <v>6</v>
      </c>
      <c r="J825">
        <f t="shared" si="51"/>
        <v>2</v>
      </c>
    </row>
    <row r="826" spans="1:10" x14ac:dyDescent="0.25">
      <c r="A826" s="16" t="s">
        <v>849</v>
      </c>
      <c r="B826" s="14">
        <v>36744</v>
      </c>
      <c r="C826" s="31">
        <f>YEAR(Table1[[#This Row],[Tanggal Lahir]])</f>
        <v>2000</v>
      </c>
      <c r="D826" s="15">
        <f t="shared" si="48"/>
        <v>22.138888888888889</v>
      </c>
      <c r="E826" s="12" t="s">
        <v>14</v>
      </c>
      <c r="F826" s="14">
        <v>44332</v>
      </c>
      <c r="G826" s="13">
        <f t="shared" si="49"/>
        <v>2021</v>
      </c>
      <c r="H826" s="30">
        <f t="shared" si="50"/>
        <v>6800000</v>
      </c>
      <c r="I826" s="39">
        <v>1</v>
      </c>
      <c r="J826">
        <f t="shared" si="51"/>
        <v>2</v>
      </c>
    </row>
    <row r="827" spans="1:10" x14ac:dyDescent="0.25">
      <c r="A827" s="16" t="s">
        <v>850</v>
      </c>
      <c r="B827" s="14">
        <v>35610</v>
      </c>
      <c r="C827" s="31">
        <f>YEAR(Table1[[#This Row],[Tanggal Lahir]])</f>
        <v>1997</v>
      </c>
      <c r="D827" s="15">
        <f t="shared" si="48"/>
        <v>25.241666666666667</v>
      </c>
      <c r="E827" s="12" t="s">
        <v>14</v>
      </c>
      <c r="F827" s="14">
        <v>40383</v>
      </c>
      <c r="G827" s="13">
        <f t="shared" si="49"/>
        <v>2010</v>
      </c>
      <c r="H827" s="30">
        <f t="shared" si="50"/>
        <v>13000000</v>
      </c>
      <c r="I827" s="39">
        <v>1</v>
      </c>
      <c r="J827">
        <f t="shared" si="51"/>
        <v>2</v>
      </c>
    </row>
    <row r="828" spans="1:10" x14ac:dyDescent="0.25">
      <c r="A828" s="16" t="s">
        <v>851</v>
      </c>
      <c r="B828" s="14">
        <v>35835</v>
      </c>
      <c r="C828" s="31">
        <f>YEAR(Table1[[#This Row],[Tanggal Lahir]])</f>
        <v>1998</v>
      </c>
      <c r="D828" s="15">
        <f t="shared" si="48"/>
        <v>24.630555555555556</v>
      </c>
      <c r="E828" s="12" t="s">
        <v>10</v>
      </c>
      <c r="F828" s="14">
        <v>42224</v>
      </c>
      <c r="G828" s="13">
        <f t="shared" si="49"/>
        <v>2015</v>
      </c>
      <c r="H828" s="30">
        <f t="shared" si="50"/>
        <v>9000000</v>
      </c>
      <c r="I828" s="39">
        <v>2</v>
      </c>
      <c r="J828">
        <f t="shared" si="51"/>
        <v>2</v>
      </c>
    </row>
    <row r="829" spans="1:10" x14ac:dyDescent="0.25">
      <c r="A829" s="16" t="s">
        <v>852</v>
      </c>
      <c r="B829" s="14">
        <v>37193</v>
      </c>
      <c r="C829" s="31">
        <f>YEAR(Table1[[#This Row],[Tanggal Lahir]])</f>
        <v>2001</v>
      </c>
      <c r="D829" s="15">
        <f t="shared" si="48"/>
        <v>20.908333333333335</v>
      </c>
      <c r="E829" s="12" t="s">
        <v>10</v>
      </c>
      <c r="F829" s="14">
        <v>38282</v>
      </c>
      <c r="G829" s="13">
        <f t="shared" si="49"/>
        <v>2004</v>
      </c>
      <c r="H829" s="30">
        <f t="shared" si="50"/>
        <v>18000000</v>
      </c>
      <c r="I829" s="39">
        <v>2</v>
      </c>
      <c r="J829">
        <f t="shared" si="51"/>
        <v>2</v>
      </c>
    </row>
    <row r="830" spans="1:10" x14ac:dyDescent="0.25">
      <c r="A830" s="16" t="s">
        <v>853</v>
      </c>
      <c r="B830" s="14">
        <v>35661</v>
      </c>
      <c r="C830" s="31">
        <f>YEAR(Table1[[#This Row],[Tanggal Lahir]])</f>
        <v>1997</v>
      </c>
      <c r="D830" s="15">
        <f t="shared" si="48"/>
        <v>25.102777777777778</v>
      </c>
      <c r="E830" s="12" t="s">
        <v>10</v>
      </c>
      <c r="F830" s="14">
        <v>44257</v>
      </c>
      <c r="G830" s="13">
        <f t="shared" si="49"/>
        <v>2021</v>
      </c>
      <c r="H830" s="30">
        <f t="shared" si="50"/>
        <v>6800000</v>
      </c>
      <c r="I830" s="39">
        <v>3</v>
      </c>
      <c r="J830">
        <f t="shared" si="51"/>
        <v>2</v>
      </c>
    </row>
    <row r="831" spans="1:10" x14ac:dyDescent="0.25">
      <c r="A831" s="16" t="s">
        <v>854</v>
      </c>
      <c r="B831" s="14">
        <v>36059</v>
      </c>
      <c r="C831" s="31">
        <f>YEAR(Table1[[#This Row],[Tanggal Lahir]])</f>
        <v>1998</v>
      </c>
      <c r="D831" s="15">
        <f t="shared" si="48"/>
        <v>24.013888888888889</v>
      </c>
      <c r="E831" s="12" t="s">
        <v>7</v>
      </c>
      <c r="F831" s="14">
        <v>43856</v>
      </c>
      <c r="G831" s="13">
        <f t="shared" si="49"/>
        <v>2020</v>
      </c>
      <c r="H831" s="30">
        <f t="shared" si="50"/>
        <v>6800000</v>
      </c>
      <c r="I831" s="39">
        <v>6</v>
      </c>
      <c r="J831">
        <f t="shared" si="51"/>
        <v>2</v>
      </c>
    </row>
    <row r="832" spans="1:10" x14ac:dyDescent="0.25">
      <c r="A832" s="16" t="s">
        <v>855</v>
      </c>
      <c r="B832" s="14">
        <v>34494</v>
      </c>
      <c r="C832" s="31">
        <f>YEAR(Table1[[#This Row],[Tanggal Lahir]])</f>
        <v>1994</v>
      </c>
      <c r="D832" s="15">
        <f t="shared" si="48"/>
        <v>28.297222222222221</v>
      </c>
      <c r="E832" s="12" t="s">
        <v>10</v>
      </c>
      <c r="F832" s="14">
        <v>44442</v>
      </c>
      <c r="G832" s="13">
        <f t="shared" si="49"/>
        <v>2021</v>
      </c>
      <c r="H832" s="30">
        <f t="shared" si="50"/>
        <v>6800000</v>
      </c>
      <c r="I832" s="39">
        <v>3</v>
      </c>
      <c r="J832">
        <f t="shared" si="51"/>
        <v>2</v>
      </c>
    </row>
    <row r="833" spans="1:10" x14ac:dyDescent="0.25">
      <c r="A833" s="16" t="s">
        <v>856</v>
      </c>
      <c r="B833" s="14">
        <v>34590</v>
      </c>
      <c r="C833" s="31">
        <f>YEAR(Table1[[#This Row],[Tanggal Lahir]])</f>
        <v>1994</v>
      </c>
      <c r="D833" s="15">
        <f t="shared" si="48"/>
        <v>28.036111111111111</v>
      </c>
      <c r="E833" s="12" t="s">
        <v>14</v>
      </c>
      <c r="F833" s="14">
        <v>43666</v>
      </c>
      <c r="G833" s="13">
        <f t="shared" si="49"/>
        <v>2019</v>
      </c>
      <c r="H833" s="30">
        <f t="shared" si="50"/>
        <v>9000000</v>
      </c>
      <c r="I833" s="39">
        <v>2</v>
      </c>
      <c r="J833">
        <f t="shared" si="51"/>
        <v>2</v>
      </c>
    </row>
    <row r="834" spans="1:10" x14ac:dyDescent="0.25">
      <c r="A834" s="16" t="s">
        <v>857</v>
      </c>
      <c r="B834" s="14">
        <v>35399</v>
      </c>
      <c r="C834" s="31">
        <f>YEAR(Table1[[#This Row],[Tanggal Lahir]])</f>
        <v>1996</v>
      </c>
      <c r="D834" s="15">
        <f t="shared" ref="D834:D897" si="52">YEARFRAC(B834,$L$2)</f>
        <v>25.822222222222223</v>
      </c>
      <c r="E834" s="12" t="s">
        <v>14</v>
      </c>
      <c r="F834" s="14">
        <v>42626</v>
      </c>
      <c r="G834" s="13">
        <f t="shared" ref="G834:G897" si="53">YEAR(F834)</f>
        <v>2016</v>
      </c>
      <c r="H834" s="30">
        <f t="shared" ref="H834:H897" si="54">IF(G834&lt;= 2008,18000000,IF(AND(G834&gt;=2009,G834&lt;=2013),13000000,IF(AND(G834&gt;=2014,G834&lt;=2019),9000000,6800000)))</f>
        <v>9000000</v>
      </c>
      <c r="I834" s="39">
        <v>5</v>
      </c>
      <c r="J834">
        <f t="shared" ref="J834:J897" si="55">SUM(LEN(A834)-LEN(SUBSTITUTE(A834," ",""))+1)</f>
        <v>2</v>
      </c>
    </row>
    <row r="835" spans="1:10" x14ac:dyDescent="0.25">
      <c r="A835" s="16" t="s">
        <v>858</v>
      </c>
      <c r="B835" s="14">
        <v>36933</v>
      </c>
      <c r="C835" s="31">
        <f>YEAR(Table1[[#This Row],[Tanggal Lahir]])</f>
        <v>2001</v>
      </c>
      <c r="D835" s="15">
        <f t="shared" si="52"/>
        <v>21.625</v>
      </c>
      <c r="E835" s="12" t="s">
        <v>10</v>
      </c>
      <c r="F835" s="14">
        <v>39251</v>
      </c>
      <c r="G835" s="13">
        <f t="shared" si="53"/>
        <v>2007</v>
      </c>
      <c r="H835" s="30">
        <f t="shared" si="54"/>
        <v>18000000</v>
      </c>
      <c r="I835" s="39">
        <v>5</v>
      </c>
      <c r="J835">
        <f t="shared" si="55"/>
        <v>2</v>
      </c>
    </row>
    <row r="836" spans="1:10" x14ac:dyDescent="0.25">
      <c r="A836" s="16" t="s">
        <v>859</v>
      </c>
      <c r="B836" s="14">
        <v>35806</v>
      </c>
      <c r="C836" s="31">
        <f>YEAR(Table1[[#This Row],[Tanggal Lahir]])</f>
        <v>1998</v>
      </c>
      <c r="D836" s="15">
        <f t="shared" si="52"/>
        <v>24.708333333333332</v>
      </c>
      <c r="E836" s="12" t="s">
        <v>10</v>
      </c>
      <c r="F836" s="14">
        <v>38350</v>
      </c>
      <c r="G836" s="13">
        <f t="shared" si="53"/>
        <v>2004</v>
      </c>
      <c r="H836" s="30">
        <f t="shared" si="54"/>
        <v>18000000</v>
      </c>
      <c r="I836" s="39">
        <v>4</v>
      </c>
      <c r="J836">
        <f t="shared" si="55"/>
        <v>2</v>
      </c>
    </row>
    <row r="837" spans="1:10" x14ac:dyDescent="0.25">
      <c r="A837" s="16" t="s">
        <v>860</v>
      </c>
      <c r="B837" s="14">
        <v>35830</v>
      </c>
      <c r="C837" s="31">
        <f>YEAR(Table1[[#This Row],[Tanggal Lahir]])</f>
        <v>1998</v>
      </c>
      <c r="D837" s="15">
        <f t="shared" si="52"/>
        <v>24.644444444444446</v>
      </c>
      <c r="E837" s="12" t="s">
        <v>14</v>
      </c>
      <c r="F837" s="14">
        <v>41525</v>
      </c>
      <c r="G837" s="13">
        <f t="shared" si="53"/>
        <v>2013</v>
      </c>
      <c r="H837" s="30">
        <f t="shared" si="54"/>
        <v>13000000</v>
      </c>
      <c r="I837" s="39">
        <v>4</v>
      </c>
      <c r="J837">
        <f t="shared" si="55"/>
        <v>2</v>
      </c>
    </row>
    <row r="838" spans="1:10" x14ac:dyDescent="0.25">
      <c r="A838" s="16" t="s">
        <v>861</v>
      </c>
      <c r="B838" s="14">
        <v>35486</v>
      </c>
      <c r="C838" s="31">
        <f>YEAR(Table1[[#This Row],[Tanggal Lahir]])</f>
        <v>1997</v>
      </c>
      <c r="D838" s="15">
        <f t="shared" si="52"/>
        <v>25.586111111111112</v>
      </c>
      <c r="E838" s="12" t="s">
        <v>10</v>
      </c>
      <c r="F838" s="14">
        <v>40264</v>
      </c>
      <c r="G838" s="13">
        <f t="shared" si="53"/>
        <v>2010</v>
      </c>
      <c r="H838" s="30">
        <f t="shared" si="54"/>
        <v>13000000</v>
      </c>
      <c r="I838" s="39">
        <v>2</v>
      </c>
      <c r="J838">
        <f t="shared" si="55"/>
        <v>3</v>
      </c>
    </row>
    <row r="839" spans="1:10" x14ac:dyDescent="0.25">
      <c r="A839" s="16" t="s">
        <v>862</v>
      </c>
      <c r="B839" s="14">
        <v>37922</v>
      </c>
      <c r="C839" s="31">
        <f>YEAR(Table1[[#This Row],[Tanggal Lahir]])</f>
        <v>2003</v>
      </c>
      <c r="D839" s="15">
        <f t="shared" si="52"/>
        <v>18.911111111111111</v>
      </c>
      <c r="E839" s="12" t="s">
        <v>10</v>
      </c>
      <c r="F839" s="14">
        <v>42791</v>
      </c>
      <c r="G839" s="13">
        <f t="shared" si="53"/>
        <v>2017</v>
      </c>
      <c r="H839" s="30">
        <f t="shared" si="54"/>
        <v>9000000</v>
      </c>
      <c r="I839" s="39">
        <v>2</v>
      </c>
      <c r="J839">
        <f t="shared" si="55"/>
        <v>2</v>
      </c>
    </row>
    <row r="840" spans="1:10" x14ac:dyDescent="0.25">
      <c r="A840" s="16" t="s">
        <v>863</v>
      </c>
      <c r="B840" s="14">
        <v>37595</v>
      </c>
      <c r="C840" s="31">
        <f>YEAR(Table1[[#This Row],[Tanggal Lahir]])</f>
        <v>2002</v>
      </c>
      <c r="D840" s="15">
        <f t="shared" si="52"/>
        <v>19.808333333333334</v>
      </c>
      <c r="E840" s="12" t="s">
        <v>14</v>
      </c>
      <c r="F840" s="14">
        <v>42822</v>
      </c>
      <c r="G840" s="13">
        <f t="shared" si="53"/>
        <v>2017</v>
      </c>
      <c r="H840" s="30">
        <f t="shared" si="54"/>
        <v>9000000</v>
      </c>
      <c r="I840" s="39">
        <v>5</v>
      </c>
      <c r="J840">
        <f t="shared" si="55"/>
        <v>2</v>
      </c>
    </row>
    <row r="841" spans="1:10" x14ac:dyDescent="0.25">
      <c r="A841" s="16" t="s">
        <v>864</v>
      </c>
      <c r="B841" s="14">
        <v>34702</v>
      </c>
      <c r="C841" s="31">
        <f>YEAR(Table1[[#This Row],[Tanggal Lahir]])</f>
        <v>1995</v>
      </c>
      <c r="D841" s="15">
        <f t="shared" si="52"/>
        <v>27.730555555555554</v>
      </c>
      <c r="E841" s="12" t="s">
        <v>10</v>
      </c>
      <c r="F841" s="14">
        <v>39227</v>
      </c>
      <c r="G841" s="13">
        <f t="shared" si="53"/>
        <v>2007</v>
      </c>
      <c r="H841" s="30">
        <f t="shared" si="54"/>
        <v>18000000</v>
      </c>
      <c r="I841" s="39">
        <v>4</v>
      </c>
      <c r="J841">
        <f t="shared" si="55"/>
        <v>2</v>
      </c>
    </row>
    <row r="842" spans="1:10" x14ac:dyDescent="0.25">
      <c r="A842" s="16" t="s">
        <v>865</v>
      </c>
      <c r="B842" s="14">
        <v>35729</v>
      </c>
      <c r="C842" s="31">
        <f>YEAR(Table1[[#This Row],[Tanggal Lahir]])</f>
        <v>1997</v>
      </c>
      <c r="D842" s="15">
        <f t="shared" si="52"/>
        <v>24.916666666666668</v>
      </c>
      <c r="E842" s="12" t="s">
        <v>10</v>
      </c>
      <c r="F842" s="14">
        <v>43968</v>
      </c>
      <c r="G842" s="13">
        <f t="shared" si="53"/>
        <v>2020</v>
      </c>
      <c r="H842" s="30">
        <f t="shared" si="54"/>
        <v>6800000</v>
      </c>
      <c r="I842" s="39">
        <v>4</v>
      </c>
      <c r="J842">
        <f t="shared" si="55"/>
        <v>2</v>
      </c>
    </row>
    <row r="843" spans="1:10" x14ac:dyDescent="0.25">
      <c r="A843" s="16" t="s">
        <v>866</v>
      </c>
      <c r="B843" s="14">
        <v>35534</v>
      </c>
      <c r="C843" s="31">
        <f>YEAR(Table1[[#This Row],[Tanggal Lahir]])</f>
        <v>1997</v>
      </c>
      <c r="D843" s="15">
        <f t="shared" si="52"/>
        <v>25.45</v>
      </c>
      <c r="E843" s="12" t="s">
        <v>7</v>
      </c>
      <c r="F843" s="14">
        <v>44353</v>
      </c>
      <c r="G843" s="13">
        <f t="shared" si="53"/>
        <v>2021</v>
      </c>
      <c r="H843" s="30">
        <f t="shared" si="54"/>
        <v>6800000</v>
      </c>
      <c r="I843" s="39">
        <v>4</v>
      </c>
      <c r="J843">
        <f t="shared" si="55"/>
        <v>2</v>
      </c>
    </row>
    <row r="844" spans="1:10" x14ac:dyDescent="0.25">
      <c r="A844" s="16" t="s">
        <v>867</v>
      </c>
      <c r="B844" s="14">
        <v>34640</v>
      </c>
      <c r="C844" s="31">
        <f>YEAR(Table1[[#This Row],[Tanggal Lahir]])</f>
        <v>1994</v>
      </c>
      <c r="D844" s="15">
        <f t="shared" si="52"/>
        <v>27.9</v>
      </c>
      <c r="E844" s="12" t="s">
        <v>10</v>
      </c>
      <c r="F844" s="14">
        <v>39089</v>
      </c>
      <c r="G844" s="13">
        <f t="shared" si="53"/>
        <v>2007</v>
      </c>
      <c r="H844" s="30">
        <f t="shared" si="54"/>
        <v>18000000</v>
      </c>
      <c r="I844" s="39">
        <v>5</v>
      </c>
      <c r="J844">
        <f t="shared" si="55"/>
        <v>2</v>
      </c>
    </row>
    <row r="845" spans="1:10" x14ac:dyDescent="0.25">
      <c r="A845" s="16" t="s">
        <v>868</v>
      </c>
      <c r="B845" s="14">
        <v>35943</v>
      </c>
      <c r="C845" s="31">
        <f>YEAR(Table1[[#This Row],[Tanggal Lahir]])</f>
        <v>1998</v>
      </c>
      <c r="D845" s="15">
        <f t="shared" si="52"/>
        <v>24.327777777777779</v>
      </c>
      <c r="E845" s="12" t="s">
        <v>10</v>
      </c>
      <c r="F845" s="14">
        <v>41174</v>
      </c>
      <c r="G845" s="13">
        <f t="shared" si="53"/>
        <v>2012</v>
      </c>
      <c r="H845" s="30">
        <f t="shared" si="54"/>
        <v>13000000</v>
      </c>
      <c r="I845" s="39">
        <v>1</v>
      </c>
      <c r="J845">
        <f t="shared" si="55"/>
        <v>2</v>
      </c>
    </row>
    <row r="846" spans="1:10" x14ac:dyDescent="0.25">
      <c r="A846" s="16" t="s">
        <v>869</v>
      </c>
      <c r="B846" s="14">
        <v>36249</v>
      </c>
      <c r="C846" s="31">
        <f>YEAR(Table1[[#This Row],[Tanggal Lahir]])</f>
        <v>1999</v>
      </c>
      <c r="D846" s="15">
        <f t="shared" si="52"/>
        <v>23.488888888888887</v>
      </c>
      <c r="E846" s="12" t="s">
        <v>10</v>
      </c>
      <c r="F846" s="14">
        <v>38570</v>
      </c>
      <c r="G846" s="13">
        <f t="shared" si="53"/>
        <v>2005</v>
      </c>
      <c r="H846" s="30">
        <f t="shared" si="54"/>
        <v>18000000</v>
      </c>
      <c r="I846" s="39">
        <v>6</v>
      </c>
      <c r="J846">
        <f t="shared" si="55"/>
        <v>3</v>
      </c>
    </row>
    <row r="847" spans="1:10" x14ac:dyDescent="0.25">
      <c r="A847" s="16" t="s">
        <v>870</v>
      </c>
      <c r="B847" s="14">
        <v>34720</v>
      </c>
      <c r="C847" s="31">
        <f>YEAR(Table1[[#This Row],[Tanggal Lahir]])</f>
        <v>1995</v>
      </c>
      <c r="D847" s="15">
        <f t="shared" si="52"/>
        <v>27.680555555555557</v>
      </c>
      <c r="E847" s="12" t="s">
        <v>10</v>
      </c>
      <c r="F847" s="14">
        <v>40675</v>
      </c>
      <c r="G847" s="13">
        <f t="shared" si="53"/>
        <v>2011</v>
      </c>
      <c r="H847" s="30">
        <f t="shared" si="54"/>
        <v>13000000</v>
      </c>
      <c r="I847" s="39">
        <v>1</v>
      </c>
      <c r="J847">
        <f t="shared" si="55"/>
        <v>3</v>
      </c>
    </row>
    <row r="848" spans="1:10" x14ac:dyDescent="0.25">
      <c r="A848" s="16" t="s">
        <v>871</v>
      </c>
      <c r="B848" s="14">
        <v>36259</v>
      </c>
      <c r="C848" s="31">
        <f>YEAR(Table1[[#This Row],[Tanggal Lahir]])</f>
        <v>1999</v>
      </c>
      <c r="D848" s="15">
        <f t="shared" si="52"/>
        <v>23.463888888888889</v>
      </c>
      <c r="E848" s="12" t="s">
        <v>14</v>
      </c>
      <c r="F848" s="14">
        <v>40696</v>
      </c>
      <c r="G848" s="13">
        <f t="shared" si="53"/>
        <v>2011</v>
      </c>
      <c r="H848" s="30">
        <f t="shared" si="54"/>
        <v>13000000</v>
      </c>
      <c r="I848" s="39">
        <v>4</v>
      </c>
      <c r="J848">
        <f t="shared" si="55"/>
        <v>2</v>
      </c>
    </row>
    <row r="849" spans="1:10" x14ac:dyDescent="0.25">
      <c r="A849" s="16" t="s">
        <v>872</v>
      </c>
      <c r="B849" s="14">
        <v>34556</v>
      </c>
      <c r="C849" s="31">
        <f>YEAR(Table1[[#This Row],[Tanggal Lahir]])</f>
        <v>1994</v>
      </c>
      <c r="D849" s="15">
        <f t="shared" si="52"/>
        <v>28.127777777777776</v>
      </c>
      <c r="E849" s="12" t="s">
        <v>7</v>
      </c>
      <c r="F849" s="14">
        <v>42439</v>
      </c>
      <c r="G849" s="13">
        <f t="shared" si="53"/>
        <v>2016</v>
      </c>
      <c r="H849" s="30">
        <f t="shared" si="54"/>
        <v>9000000</v>
      </c>
      <c r="I849" s="39">
        <v>5</v>
      </c>
      <c r="J849">
        <f t="shared" si="55"/>
        <v>2</v>
      </c>
    </row>
    <row r="850" spans="1:10" x14ac:dyDescent="0.25">
      <c r="A850" s="16" t="s">
        <v>873</v>
      </c>
      <c r="B850" s="14">
        <v>35821</v>
      </c>
      <c r="C850" s="31">
        <f>YEAR(Table1[[#This Row],[Tanggal Lahir]])</f>
        <v>1998</v>
      </c>
      <c r="D850" s="15">
        <f t="shared" si="52"/>
        <v>24.666666666666668</v>
      </c>
      <c r="E850" s="12" t="s">
        <v>7</v>
      </c>
      <c r="F850" s="14">
        <v>38426</v>
      </c>
      <c r="G850" s="13">
        <f t="shared" si="53"/>
        <v>2005</v>
      </c>
      <c r="H850" s="30">
        <f t="shared" si="54"/>
        <v>18000000</v>
      </c>
      <c r="I850" s="39">
        <v>4</v>
      </c>
      <c r="J850">
        <f t="shared" si="55"/>
        <v>2</v>
      </c>
    </row>
    <row r="851" spans="1:10" x14ac:dyDescent="0.25">
      <c r="A851" s="16" t="s">
        <v>874</v>
      </c>
      <c r="B851" s="14">
        <v>34614</v>
      </c>
      <c r="C851" s="31">
        <f>YEAR(Table1[[#This Row],[Tanggal Lahir]])</f>
        <v>1994</v>
      </c>
      <c r="D851" s="15">
        <f t="shared" si="52"/>
        <v>27.969444444444445</v>
      </c>
      <c r="E851" s="12" t="s">
        <v>14</v>
      </c>
      <c r="F851" s="14">
        <v>40795</v>
      </c>
      <c r="G851" s="13">
        <f t="shared" si="53"/>
        <v>2011</v>
      </c>
      <c r="H851" s="30">
        <f t="shared" si="54"/>
        <v>13000000</v>
      </c>
      <c r="I851" s="39">
        <v>5</v>
      </c>
      <c r="J851">
        <f t="shared" si="55"/>
        <v>2</v>
      </c>
    </row>
    <row r="852" spans="1:10" x14ac:dyDescent="0.25">
      <c r="A852" s="16" t="s">
        <v>875</v>
      </c>
      <c r="B852" s="14">
        <v>36527</v>
      </c>
      <c r="C852" s="31">
        <f>YEAR(Table1[[#This Row],[Tanggal Lahir]])</f>
        <v>2000</v>
      </c>
      <c r="D852" s="15">
        <f t="shared" si="52"/>
        <v>22.733333333333334</v>
      </c>
      <c r="E852" s="12" t="s">
        <v>10</v>
      </c>
      <c r="F852" s="14">
        <v>41784</v>
      </c>
      <c r="G852" s="13">
        <f t="shared" si="53"/>
        <v>2014</v>
      </c>
      <c r="H852" s="30">
        <f t="shared" si="54"/>
        <v>9000000</v>
      </c>
      <c r="I852" s="39">
        <v>1</v>
      </c>
      <c r="J852">
        <f t="shared" si="55"/>
        <v>2</v>
      </c>
    </row>
    <row r="853" spans="1:10" x14ac:dyDescent="0.25">
      <c r="A853" s="16" t="s">
        <v>876</v>
      </c>
      <c r="B853" s="14">
        <v>36042</v>
      </c>
      <c r="C853" s="31">
        <f>YEAR(Table1[[#This Row],[Tanggal Lahir]])</f>
        <v>1998</v>
      </c>
      <c r="D853" s="15">
        <f t="shared" si="52"/>
        <v>24.06111111111111</v>
      </c>
      <c r="E853" s="12" t="s">
        <v>10</v>
      </c>
      <c r="F853" s="14">
        <v>43871</v>
      </c>
      <c r="G853" s="13">
        <f t="shared" si="53"/>
        <v>2020</v>
      </c>
      <c r="H853" s="30">
        <f t="shared" si="54"/>
        <v>6800000</v>
      </c>
      <c r="I853" s="39">
        <v>5</v>
      </c>
      <c r="J853">
        <f t="shared" si="55"/>
        <v>2</v>
      </c>
    </row>
    <row r="854" spans="1:10" x14ac:dyDescent="0.25">
      <c r="A854" s="16" t="s">
        <v>877</v>
      </c>
      <c r="B854" s="14">
        <v>34634</v>
      </c>
      <c r="C854" s="31">
        <f>YEAR(Table1[[#This Row],[Tanggal Lahir]])</f>
        <v>1994</v>
      </c>
      <c r="D854" s="15">
        <f t="shared" si="52"/>
        <v>27.913888888888888</v>
      </c>
      <c r="E854" s="12" t="s">
        <v>10</v>
      </c>
      <c r="F854" s="14">
        <v>39380</v>
      </c>
      <c r="G854" s="13">
        <f t="shared" si="53"/>
        <v>2007</v>
      </c>
      <c r="H854" s="30">
        <f t="shared" si="54"/>
        <v>18000000</v>
      </c>
      <c r="I854" s="39">
        <v>6</v>
      </c>
      <c r="J854">
        <f t="shared" si="55"/>
        <v>2</v>
      </c>
    </row>
    <row r="855" spans="1:10" x14ac:dyDescent="0.25">
      <c r="A855" s="16" t="s">
        <v>878</v>
      </c>
      <c r="B855" s="14">
        <v>34547</v>
      </c>
      <c r="C855" s="31">
        <f>YEAR(Table1[[#This Row],[Tanggal Lahir]])</f>
        <v>1994</v>
      </c>
      <c r="D855" s="15">
        <f t="shared" si="52"/>
        <v>28.152777777777779</v>
      </c>
      <c r="E855" s="12" t="s">
        <v>7</v>
      </c>
      <c r="F855" s="14">
        <v>43361</v>
      </c>
      <c r="G855" s="13">
        <f t="shared" si="53"/>
        <v>2018</v>
      </c>
      <c r="H855" s="30">
        <f t="shared" si="54"/>
        <v>9000000</v>
      </c>
      <c r="I855" s="39">
        <v>2</v>
      </c>
      <c r="J855">
        <f t="shared" si="55"/>
        <v>2</v>
      </c>
    </row>
    <row r="856" spans="1:10" x14ac:dyDescent="0.25">
      <c r="A856" s="16" t="s">
        <v>879</v>
      </c>
      <c r="B856" s="14">
        <v>35674</v>
      </c>
      <c r="C856" s="31">
        <f>YEAR(Table1[[#This Row],[Tanggal Lahir]])</f>
        <v>1997</v>
      </c>
      <c r="D856" s="15">
        <f t="shared" si="52"/>
        <v>25.069444444444443</v>
      </c>
      <c r="E856" s="12" t="s">
        <v>10</v>
      </c>
      <c r="F856" s="14">
        <v>41982</v>
      </c>
      <c r="G856" s="13">
        <f t="shared" si="53"/>
        <v>2014</v>
      </c>
      <c r="H856" s="30">
        <f t="shared" si="54"/>
        <v>9000000</v>
      </c>
      <c r="I856" s="39">
        <v>3</v>
      </c>
      <c r="J856">
        <f t="shared" si="55"/>
        <v>2</v>
      </c>
    </row>
    <row r="857" spans="1:10" x14ac:dyDescent="0.25">
      <c r="A857" s="16" t="s">
        <v>880</v>
      </c>
      <c r="B857" s="14">
        <v>37493</v>
      </c>
      <c r="C857" s="31">
        <f>YEAR(Table1[[#This Row],[Tanggal Lahir]])</f>
        <v>2002</v>
      </c>
      <c r="D857" s="15">
        <f t="shared" si="52"/>
        <v>20.086111111111112</v>
      </c>
      <c r="E857" s="12" t="s">
        <v>10</v>
      </c>
      <c r="F857" s="14">
        <v>43761</v>
      </c>
      <c r="G857" s="13">
        <f t="shared" si="53"/>
        <v>2019</v>
      </c>
      <c r="H857" s="30">
        <f t="shared" si="54"/>
        <v>9000000</v>
      </c>
      <c r="I857" s="39">
        <v>5</v>
      </c>
      <c r="J857">
        <f t="shared" si="55"/>
        <v>3</v>
      </c>
    </row>
    <row r="858" spans="1:10" x14ac:dyDescent="0.25">
      <c r="A858" s="16" t="s">
        <v>881</v>
      </c>
      <c r="B858" s="14">
        <v>36779</v>
      </c>
      <c r="C858" s="31">
        <f>YEAR(Table1[[#This Row],[Tanggal Lahir]])</f>
        <v>2000</v>
      </c>
      <c r="D858" s="15">
        <f t="shared" si="52"/>
        <v>22.044444444444444</v>
      </c>
      <c r="E858" s="12" t="s">
        <v>10</v>
      </c>
      <c r="F858" s="14">
        <v>41647</v>
      </c>
      <c r="G858" s="13">
        <f t="shared" si="53"/>
        <v>2014</v>
      </c>
      <c r="H858" s="30">
        <f t="shared" si="54"/>
        <v>9000000</v>
      </c>
      <c r="I858" s="39">
        <v>3</v>
      </c>
      <c r="J858">
        <f t="shared" si="55"/>
        <v>2</v>
      </c>
    </row>
    <row r="859" spans="1:10" x14ac:dyDescent="0.25">
      <c r="A859" s="16" t="s">
        <v>882</v>
      </c>
      <c r="B859" s="14">
        <v>35675</v>
      </c>
      <c r="C859" s="31">
        <f>YEAR(Table1[[#This Row],[Tanggal Lahir]])</f>
        <v>1997</v>
      </c>
      <c r="D859" s="15">
        <f t="shared" si="52"/>
        <v>25.066666666666666</v>
      </c>
      <c r="E859" s="12" t="s">
        <v>10</v>
      </c>
      <c r="F859" s="14">
        <v>44401</v>
      </c>
      <c r="G859" s="13">
        <f t="shared" si="53"/>
        <v>2021</v>
      </c>
      <c r="H859" s="30">
        <f t="shared" si="54"/>
        <v>6800000</v>
      </c>
      <c r="I859" s="39">
        <v>1</v>
      </c>
      <c r="J859">
        <f t="shared" si="55"/>
        <v>3</v>
      </c>
    </row>
    <row r="860" spans="1:10" x14ac:dyDescent="0.25">
      <c r="A860" s="16" t="s">
        <v>883</v>
      </c>
      <c r="B860" s="14">
        <v>35914</v>
      </c>
      <c r="C860" s="31">
        <f>YEAR(Table1[[#This Row],[Tanggal Lahir]])</f>
        <v>1998</v>
      </c>
      <c r="D860" s="15">
        <f t="shared" si="52"/>
        <v>24.408333333333335</v>
      </c>
      <c r="E860" s="12" t="s">
        <v>10</v>
      </c>
      <c r="F860" s="14">
        <v>39279</v>
      </c>
      <c r="G860" s="13">
        <f t="shared" si="53"/>
        <v>2007</v>
      </c>
      <c r="H860" s="30">
        <f t="shared" si="54"/>
        <v>18000000</v>
      </c>
      <c r="I860" s="39">
        <v>5</v>
      </c>
      <c r="J860">
        <f t="shared" si="55"/>
        <v>3</v>
      </c>
    </row>
    <row r="861" spans="1:10" x14ac:dyDescent="0.25">
      <c r="A861" s="16" t="s">
        <v>884</v>
      </c>
      <c r="B861" s="14">
        <v>37173</v>
      </c>
      <c r="C861" s="31">
        <f>YEAR(Table1[[#This Row],[Tanggal Lahir]])</f>
        <v>2001</v>
      </c>
      <c r="D861" s="15">
        <f t="shared" si="52"/>
        <v>20.963888888888889</v>
      </c>
      <c r="E861" s="12" t="s">
        <v>10</v>
      </c>
      <c r="F861" s="14">
        <v>40637</v>
      </c>
      <c r="G861" s="13">
        <f t="shared" si="53"/>
        <v>2011</v>
      </c>
      <c r="H861" s="30">
        <f t="shared" si="54"/>
        <v>13000000</v>
      </c>
      <c r="I861" s="39">
        <v>3</v>
      </c>
      <c r="J861">
        <f t="shared" si="55"/>
        <v>2</v>
      </c>
    </row>
    <row r="862" spans="1:10" x14ac:dyDescent="0.25">
      <c r="A862" s="16" t="s">
        <v>885</v>
      </c>
      <c r="B862" s="14">
        <v>37383</v>
      </c>
      <c r="C862" s="31">
        <f>YEAR(Table1[[#This Row],[Tanggal Lahir]])</f>
        <v>2002</v>
      </c>
      <c r="D862" s="15">
        <f t="shared" si="52"/>
        <v>20.386111111111113</v>
      </c>
      <c r="E862" s="12" t="s">
        <v>10</v>
      </c>
      <c r="F862" s="14">
        <v>39382</v>
      </c>
      <c r="G862" s="13">
        <f t="shared" si="53"/>
        <v>2007</v>
      </c>
      <c r="H862" s="30">
        <f t="shared" si="54"/>
        <v>18000000</v>
      </c>
      <c r="I862" s="39">
        <v>2</v>
      </c>
      <c r="J862">
        <f t="shared" si="55"/>
        <v>2</v>
      </c>
    </row>
    <row r="863" spans="1:10" x14ac:dyDescent="0.25">
      <c r="A863" s="16" t="s">
        <v>886</v>
      </c>
      <c r="B863" s="14">
        <v>35352</v>
      </c>
      <c r="C863" s="31">
        <f>YEAR(Table1[[#This Row],[Tanggal Lahir]])</f>
        <v>1996</v>
      </c>
      <c r="D863" s="15">
        <f t="shared" si="52"/>
        <v>25.95</v>
      </c>
      <c r="E863" s="12" t="s">
        <v>10</v>
      </c>
      <c r="F863" s="14">
        <v>40452</v>
      </c>
      <c r="G863" s="13">
        <f t="shared" si="53"/>
        <v>2010</v>
      </c>
      <c r="H863" s="30">
        <f t="shared" si="54"/>
        <v>13000000</v>
      </c>
      <c r="I863" s="39">
        <v>6</v>
      </c>
      <c r="J863">
        <f t="shared" si="55"/>
        <v>3</v>
      </c>
    </row>
    <row r="864" spans="1:10" x14ac:dyDescent="0.25">
      <c r="A864" s="16" t="s">
        <v>887</v>
      </c>
      <c r="B864" s="14">
        <v>36914</v>
      </c>
      <c r="C864" s="31">
        <f>YEAR(Table1[[#This Row],[Tanggal Lahir]])</f>
        <v>2001</v>
      </c>
      <c r="D864" s="15">
        <f t="shared" si="52"/>
        <v>21.675000000000001</v>
      </c>
      <c r="E864" s="12" t="s">
        <v>14</v>
      </c>
      <c r="F864" s="14">
        <v>38473</v>
      </c>
      <c r="G864" s="13">
        <f t="shared" si="53"/>
        <v>2005</v>
      </c>
      <c r="H864" s="30">
        <f t="shared" si="54"/>
        <v>18000000</v>
      </c>
      <c r="I864" s="39">
        <v>6</v>
      </c>
      <c r="J864">
        <f t="shared" si="55"/>
        <v>2</v>
      </c>
    </row>
    <row r="865" spans="1:10" x14ac:dyDescent="0.25">
      <c r="A865" s="16" t="s">
        <v>888</v>
      </c>
      <c r="B865" s="14">
        <v>37833</v>
      </c>
      <c r="C865" s="31">
        <f>YEAR(Table1[[#This Row],[Tanggal Lahir]])</f>
        <v>2003</v>
      </c>
      <c r="D865" s="15">
        <f t="shared" si="52"/>
        <v>19.155555555555555</v>
      </c>
      <c r="E865" s="12" t="s">
        <v>10</v>
      </c>
      <c r="F865" s="14">
        <v>43985</v>
      </c>
      <c r="G865" s="13">
        <f t="shared" si="53"/>
        <v>2020</v>
      </c>
      <c r="H865" s="30">
        <f t="shared" si="54"/>
        <v>6800000</v>
      </c>
      <c r="I865" s="39">
        <v>6</v>
      </c>
      <c r="J865">
        <f t="shared" si="55"/>
        <v>3</v>
      </c>
    </row>
    <row r="866" spans="1:10" x14ac:dyDescent="0.25">
      <c r="A866" s="16" t="s">
        <v>889</v>
      </c>
      <c r="B866" s="14">
        <v>36249</v>
      </c>
      <c r="C866" s="31">
        <f>YEAR(Table1[[#This Row],[Tanggal Lahir]])</f>
        <v>1999</v>
      </c>
      <c r="D866" s="15">
        <f t="shared" si="52"/>
        <v>23.488888888888887</v>
      </c>
      <c r="E866" s="12" t="s">
        <v>14</v>
      </c>
      <c r="F866" s="14">
        <v>38699</v>
      </c>
      <c r="G866" s="13">
        <f t="shared" si="53"/>
        <v>2005</v>
      </c>
      <c r="H866" s="30">
        <f t="shared" si="54"/>
        <v>18000000</v>
      </c>
      <c r="I866" s="39">
        <v>1</v>
      </c>
      <c r="J866">
        <f t="shared" si="55"/>
        <v>2</v>
      </c>
    </row>
    <row r="867" spans="1:10" x14ac:dyDescent="0.25">
      <c r="A867" s="16" t="s">
        <v>890</v>
      </c>
      <c r="B867" s="14">
        <v>35517</v>
      </c>
      <c r="C867" s="31">
        <f>YEAR(Table1[[#This Row],[Tanggal Lahir]])</f>
        <v>1997</v>
      </c>
      <c r="D867" s="15">
        <f t="shared" si="52"/>
        <v>25.494444444444444</v>
      </c>
      <c r="E867" s="12" t="s">
        <v>10</v>
      </c>
      <c r="F867" s="14">
        <v>41765</v>
      </c>
      <c r="G867" s="13">
        <f t="shared" si="53"/>
        <v>2014</v>
      </c>
      <c r="H867" s="30">
        <f t="shared" si="54"/>
        <v>9000000</v>
      </c>
      <c r="I867" s="39">
        <v>4</v>
      </c>
      <c r="J867">
        <f t="shared" si="55"/>
        <v>3</v>
      </c>
    </row>
    <row r="868" spans="1:10" x14ac:dyDescent="0.25">
      <c r="A868" s="16" t="s">
        <v>891</v>
      </c>
      <c r="B868" s="14">
        <v>35764</v>
      </c>
      <c r="C868" s="31">
        <f>YEAR(Table1[[#This Row],[Tanggal Lahir]])</f>
        <v>1997</v>
      </c>
      <c r="D868" s="15">
        <f t="shared" si="52"/>
        <v>24.822222222222223</v>
      </c>
      <c r="E868" s="12" t="s">
        <v>7</v>
      </c>
      <c r="F868" s="14">
        <v>40146</v>
      </c>
      <c r="G868" s="13">
        <f t="shared" si="53"/>
        <v>2009</v>
      </c>
      <c r="H868" s="30">
        <f t="shared" si="54"/>
        <v>13000000</v>
      </c>
      <c r="I868" s="39">
        <v>1</v>
      </c>
      <c r="J868">
        <f t="shared" si="55"/>
        <v>3</v>
      </c>
    </row>
    <row r="869" spans="1:10" x14ac:dyDescent="0.25">
      <c r="A869" s="16" t="s">
        <v>892</v>
      </c>
      <c r="B869" s="14">
        <v>35858</v>
      </c>
      <c r="C869" s="31">
        <f>YEAR(Table1[[#This Row],[Tanggal Lahir]])</f>
        <v>1998</v>
      </c>
      <c r="D869" s="15">
        <f t="shared" si="52"/>
        <v>24.56111111111111</v>
      </c>
      <c r="E869" s="12" t="s">
        <v>10</v>
      </c>
      <c r="F869" s="14">
        <v>44585</v>
      </c>
      <c r="G869" s="13">
        <f t="shared" si="53"/>
        <v>2022</v>
      </c>
      <c r="H869" s="30">
        <f t="shared" si="54"/>
        <v>6800000</v>
      </c>
      <c r="I869" s="39">
        <v>3</v>
      </c>
      <c r="J869">
        <f t="shared" si="55"/>
        <v>2</v>
      </c>
    </row>
    <row r="870" spans="1:10" x14ac:dyDescent="0.25">
      <c r="A870" s="16" t="s">
        <v>893</v>
      </c>
      <c r="B870" s="14">
        <v>34964</v>
      </c>
      <c r="C870" s="31">
        <f>YEAR(Table1[[#This Row],[Tanggal Lahir]])</f>
        <v>1995</v>
      </c>
      <c r="D870" s="15">
        <f t="shared" si="52"/>
        <v>27.011111111111113</v>
      </c>
      <c r="E870" s="12" t="s">
        <v>10</v>
      </c>
      <c r="F870" s="14">
        <v>39566</v>
      </c>
      <c r="G870" s="13">
        <f t="shared" si="53"/>
        <v>2008</v>
      </c>
      <c r="H870" s="30">
        <f t="shared" si="54"/>
        <v>18000000</v>
      </c>
      <c r="I870" s="39">
        <v>5</v>
      </c>
      <c r="J870">
        <f t="shared" si="55"/>
        <v>2</v>
      </c>
    </row>
    <row r="871" spans="1:10" x14ac:dyDescent="0.25">
      <c r="A871" s="16" t="s">
        <v>894</v>
      </c>
      <c r="B871" s="14">
        <v>37140</v>
      </c>
      <c r="C871" s="31">
        <f>YEAR(Table1[[#This Row],[Tanggal Lahir]])</f>
        <v>2001</v>
      </c>
      <c r="D871" s="15">
        <f t="shared" si="52"/>
        <v>21.055555555555557</v>
      </c>
      <c r="E871" s="12" t="s">
        <v>10</v>
      </c>
      <c r="F871" s="14">
        <v>38846</v>
      </c>
      <c r="G871" s="13">
        <f t="shared" si="53"/>
        <v>2006</v>
      </c>
      <c r="H871" s="30">
        <f t="shared" si="54"/>
        <v>18000000</v>
      </c>
      <c r="I871" s="39">
        <v>2</v>
      </c>
      <c r="J871">
        <f t="shared" si="55"/>
        <v>2</v>
      </c>
    </row>
    <row r="872" spans="1:10" x14ac:dyDescent="0.25">
      <c r="A872" s="16" t="s">
        <v>895</v>
      </c>
      <c r="B872" s="14">
        <v>36406</v>
      </c>
      <c r="C872" s="31">
        <f>YEAR(Table1[[#This Row],[Tanggal Lahir]])</f>
        <v>1999</v>
      </c>
      <c r="D872" s="15">
        <f t="shared" si="52"/>
        <v>23.06388888888889</v>
      </c>
      <c r="E872" s="12" t="s">
        <v>14</v>
      </c>
      <c r="F872" s="14">
        <v>40795</v>
      </c>
      <c r="G872" s="13">
        <f t="shared" si="53"/>
        <v>2011</v>
      </c>
      <c r="H872" s="30">
        <f t="shared" si="54"/>
        <v>13000000</v>
      </c>
      <c r="I872" s="39">
        <v>6</v>
      </c>
      <c r="J872">
        <f t="shared" si="55"/>
        <v>2</v>
      </c>
    </row>
    <row r="873" spans="1:10" x14ac:dyDescent="0.25">
      <c r="A873" s="16" t="s">
        <v>896</v>
      </c>
      <c r="B873" s="14">
        <v>35007</v>
      </c>
      <c r="C873" s="31">
        <f>YEAR(Table1[[#This Row],[Tanggal Lahir]])</f>
        <v>1995</v>
      </c>
      <c r="D873" s="15">
        <f t="shared" si="52"/>
        <v>26.894444444444446</v>
      </c>
      <c r="E873" s="12" t="s">
        <v>10</v>
      </c>
      <c r="F873" s="14">
        <v>42970</v>
      </c>
      <c r="G873" s="13">
        <f t="shared" si="53"/>
        <v>2017</v>
      </c>
      <c r="H873" s="30">
        <f t="shared" si="54"/>
        <v>9000000</v>
      </c>
      <c r="I873" s="39">
        <v>5</v>
      </c>
      <c r="J873">
        <f t="shared" si="55"/>
        <v>2</v>
      </c>
    </row>
    <row r="874" spans="1:10" x14ac:dyDescent="0.25">
      <c r="A874" s="16" t="s">
        <v>897</v>
      </c>
      <c r="B874" s="14">
        <v>37505</v>
      </c>
      <c r="C874" s="31">
        <f>YEAR(Table1[[#This Row],[Tanggal Lahir]])</f>
        <v>2002</v>
      </c>
      <c r="D874" s="15">
        <f t="shared" si="52"/>
        <v>20.055555555555557</v>
      </c>
      <c r="E874" s="12" t="s">
        <v>10</v>
      </c>
      <c r="F874" s="14">
        <v>43010</v>
      </c>
      <c r="G874" s="13">
        <f t="shared" si="53"/>
        <v>2017</v>
      </c>
      <c r="H874" s="30">
        <f t="shared" si="54"/>
        <v>9000000</v>
      </c>
      <c r="I874" s="39">
        <v>6</v>
      </c>
      <c r="J874">
        <f t="shared" si="55"/>
        <v>2</v>
      </c>
    </row>
    <row r="875" spans="1:10" x14ac:dyDescent="0.25">
      <c r="A875" s="16" t="s">
        <v>898</v>
      </c>
      <c r="B875" s="14">
        <v>36677</v>
      </c>
      <c r="C875" s="31">
        <f>YEAR(Table1[[#This Row],[Tanggal Lahir]])</f>
        <v>2000</v>
      </c>
      <c r="D875" s="15">
        <f t="shared" si="52"/>
        <v>22.322222222222223</v>
      </c>
      <c r="E875" s="12" t="s">
        <v>299</v>
      </c>
      <c r="F875" s="14">
        <v>42135</v>
      </c>
      <c r="G875" s="13">
        <f t="shared" si="53"/>
        <v>2015</v>
      </c>
      <c r="H875" s="30">
        <f t="shared" si="54"/>
        <v>9000000</v>
      </c>
      <c r="I875" s="39">
        <v>2</v>
      </c>
      <c r="J875">
        <f t="shared" si="55"/>
        <v>3</v>
      </c>
    </row>
    <row r="876" spans="1:10" x14ac:dyDescent="0.25">
      <c r="A876" s="16" t="s">
        <v>899</v>
      </c>
      <c r="B876" s="14">
        <v>35522</v>
      </c>
      <c r="C876" s="31">
        <f>YEAR(Table1[[#This Row],[Tanggal Lahir]])</f>
        <v>1997</v>
      </c>
      <c r="D876" s="15">
        <f t="shared" si="52"/>
        <v>25.483333333333334</v>
      </c>
      <c r="E876" s="12" t="s">
        <v>10</v>
      </c>
      <c r="F876" s="14">
        <v>44189</v>
      </c>
      <c r="G876" s="13">
        <f t="shared" si="53"/>
        <v>2020</v>
      </c>
      <c r="H876" s="30">
        <f t="shared" si="54"/>
        <v>6800000</v>
      </c>
      <c r="I876" s="39">
        <v>2</v>
      </c>
      <c r="J876">
        <f t="shared" si="55"/>
        <v>2</v>
      </c>
    </row>
    <row r="877" spans="1:10" x14ac:dyDescent="0.25">
      <c r="A877" s="16" t="s">
        <v>900</v>
      </c>
      <c r="B877" s="14">
        <v>36650</v>
      </c>
      <c r="C877" s="31">
        <f>YEAR(Table1[[#This Row],[Tanggal Lahir]])</f>
        <v>2000</v>
      </c>
      <c r="D877" s="15">
        <f t="shared" si="52"/>
        <v>22.394444444444446</v>
      </c>
      <c r="E877" s="12" t="s">
        <v>7</v>
      </c>
      <c r="F877" s="14">
        <v>41253</v>
      </c>
      <c r="G877" s="13">
        <f t="shared" si="53"/>
        <v>2012</v>
      </c>
      <c r="H877" s="30">
        <f t="shared" si="54"/>
        <v>13000000</v>
      </c>
      <c r="I877" s="39">
        <v>6</v>
      </c>
      <c r="J877">
        <f t="shared" si="55"/>
        <v>2</v>
      </c>
    </row>
    <row r="878" spans="1:10" x14ac:dyDescent="0.25">
      <c r="A878" s="16" t="s">
        <v>901</v>
      </c>
      <c r="B878" s="14">
        <v>34610</v>
      </c>
      <c r="C878" s="31">
        <f>YEAR(Table1[[#This Row],[Tanggal Lahir]])</f>
        <v>1994</v>
      </c>
      <c r="D878" s="15">
        <f t="shared" si="52"/>
        <v>27.980555555555554</v>
      </c>
      <c r="E878" s="12" t="s">
        <v>14</v>
      </c>
      <c r="F878" s="14">
        <v>39931</v>
      </c>
      <c r="G878" s="13">
        <f t="shared" si="53"/>
        <v>2009</v>
      </c>
      <c r="H878" s="30">
        <f t="shared" si="54"/>
        <v>13000000</v>
      </c>
      <c r="I878" s="39">
        <v>6</v>
      </c>
      <c r="J878">
        <f t="shared" si="55"/>
        <v>2</v>
      </c>
    </row>
    <row r="879" spans="1:10" x14ac:dyDescent="0.25">
      <c r="A879" s="16" t="s">
        <v>902</v>
      </c>
      <c r="B879" s="14">
        <v>34748</v>
      </c>
      <c r="C879" s="31">
        <f>YEAR(Table1[[#This Row],[Tanggal Lahir]])</f>
        <v>1995</v>
      </c>
      <c r="D879" s="15">
        <f t="shared" si="52"/>
        <v>27.605555555555554</v>
      </c>
      <c r="E879" s="12" t="s">
        <v>14</v>
      </c>
      <c r="F879" s="14">
        <v>42172</v>
      </c>
      <c r="G879" s="13">
        <f t="shared" si="53"/>
        <v>2015</v>
      </c>
      <c r="H879" s="30">
        <f t="shared" si="54"/>
        <v>9000000</v>
      </c>
      <c r="I879" s="39">
        <v>3</v>
      </c>
      <c r="J879">
        <f t="shared" si="55"/>
        <v>2</v>
      </c>
    </row>
    <row r="880" spans="1:10" x14ac:dyDescent="0.25">
      <c r="A880" s="16" t="s">
        <v>903</v>
      </c>
      <c r="B880" s="14">
        <v>35223</v>
      </c>
      <c r="C880" s="31">
        <f>YEAR(Table1[[#This Row],[Tanggal Lahir]])</f>
        <v>1996</v>
      </c>
      <c r="D880" s="15">
        <f t="shared" si="52"/>
        <v>26.302777777777777</v>
      </c>
      <c r="E880" s="12" t="s">
        <v>10</v>
      </c>
      <c r="F880" s="14">
        <v>44366</v>
      </c>
      <c r="G880" s="13">
        <f t="shared" si="53"/>
        <v>2021</v>
      </c>
      <c r="H880" s="30">
        <f t="shared" si="54"/>
        <v>6800000</v>
      </c>
      <c r="I880" s="39">
        <v>6</v>
      </c>
      <c r="J880">
        <f t="shared" si="55"/>
        <v>2</v>
      </c>
    </row>
    <row r="881" spans="1:10" x14ac:dyDescent="0.25">
      <c r="A881" s="16" t="s">
        <v>904</v>
      </c>
      <c r="B881" s="14">
        <v>36159</v>
      </c>
      <c r="C881" s="31">
        <f>YEAR(Table1[[#This Row],[Tanggal Lahir]])</f>
        <v>1998</v>
      </c>
      <c r="D881" s="15">
        <f t="shared" si="52"/>
        <v>23.738888888888887</v>
      </c>
      <c r="E881" s="12" t="s">
        <v>10</v>
      </c>
      <c r="F881" s="14">
        <v>39333</v>
      </c>
      <c r="G881" s="13">
        <f t="shared" si="53"/>
        <v>2007</v>
      </c>
      <c r="H881" s="30">
        <f t="shared" si="54"/>
        <v>18000000</v>
      </c>
      <c r="I881" s="39">
        <v>3</v>
      </c>
      <c r="J881">
        <f t="shared" si="55"/>
        <v>2</v>
      </c>
    </row>
    <row r="882" spans="1:10" x14ac:dyDescent="0.25">
      <c r="A882" s="16" t="s">
        <v>905</v>
      </c>
      <c r="B882" s="14">
        <v>36813</v>
      </c>
      <c r="C882" s="31">
        <f>YEAR(Table1[[#This Row],[Tanggal Lahir]])</f>
        <v>2000</v>
      </c>
      <c r="D882" s="15">
        <f t="shared" si="52"/>
        <v>21.95</v>
      </c>
      <c r="E882" s="12" t="s">
        <v>7</v>
      </c>
      <c r="F882" s="14">
        <v>38797</v>
      </c>
      <c r="G882" s="13">
        <f t="shared" si="53"/>
        <v>2006</v>
      </c>
      <c r="H882" s="30">
        <f t="shared" si="54"/>
        <v>18000000</v>
      </c>
      <c r="I882" s="39">
        <v>2</v>
      </c>
      <c r="J882">
        <f t="shared" si="55"/>
        <v>2</v>
      </c>
    </row>
    <row r="883" spans="1:10" x14ac:dyDescent="0.25">
      <c r="A883" s="16" t="s">
        <v>906</v>
      </c>
      <c r="B883" s="14">
        <v>35677</v>
      </c>
      <c r="C883" s="31">
        <f>YEAR(Table1[[#This Row],[Tanggal Lahir]])</f>
        <v>1997</v>
      </c>
      <c r="D883" s="15">
        <f t="shared" si="52"/>
        <v>25.06111111111111</v>
      </c>
      <c r="E883" s="12" t="s">
        <v>10</v>
      </c>
      <c r="F883" s="14">
        <v>40046</v>
      </c>
      <c r="G883" s="13">
        <f t="shared" si="53"/>
        <v>2009</v>
      </c>
      <c r="H883" s="30">
        <f t="shared" si="54"/>
        <v>13000000</v>
      </c>
      <c r="I883" s="39">
        <v>3</v>
      </c>
      <c r="J883">
        <f t="shared" si="55"/>
        <v>2</v>
      </c>
    </row>
    <row r="884" spans="1:10" x14ac:dyDescent="0.25">
      <c r="A884" s="16" t="s">
        <v>907</v>
      </c>
      <c r="B884" s="14">
        <v>34858</v>
      </c>
      <c r="C884" s="31">
        <f>YEAR(Table1[[#This Row],[Tanggal Lahir]])</f>
        <v>1995</v>
      </c>
      <c r="D884" s="15">
        <f t="shared" si="52"/>
        <v>27.3</v>
      </c>
      <c r="E884" s="12" t="s">
        <v>10</v>
      </c>
      <c r="F884" s="14">
        <v>38502</v>
      </c>
      <c r="G884" s="13">
        <f t="shared" si="53"/>
        <v>2005</v>
      </c>
      <c r="H884" s="30">
        <f t="shared" si="54"/>
        <v>18000000</v>
      </c>
      <c r="I884" s="39">
        <v>4</v>
      </c>
      <c r="J884">
        <f t="shared" si="55"/>
        <v>2</v>
      </c>
    </row>
    <row r="885" spans="1:10" x14ac:dyDescent="0.25">
      <c r="A885" s="16" t="s">
        <v>908</v>
      </c>
      <c r="B885" s="14">
        <v>37890</v>
      </c>
      <c r="C885" s="31">
        <f>YEAR(Table1[[#This Row],[Tanggal Lahir]])</f>
        <v>2003</v>
      </c>
      <c r="D885" s="15">
        <f t="shared" si="52"/>
        <v>19</v>
      </c>
      <c r="E885" s="12" t="s">
        <v>7</v>
      </c>
      <c r="F885" s="14">
        <v>39685</v>
      </c>
      <c r="G885" s="13">
        <f t="shared" si="53"/>
        <v>2008</v>
      </c>
      <c r="H885" s="30">
        <f t="shared" si="54"/>
        <v>18000000</v>
      </c>
      <c r="I885" s="39">
        <v>3</v>
      </c>
      <c r="J885">
        <f t="shared" si="55"/>
        <v>2</v>
      </c>
    </row>
    <row r="886" spans="1:10" x14ac:dyDescent="0.25">
      <c r="A886" s="16" t="s">
        <v>909</v>
      </c>
      <c r="B886" s="14">
        <v>35245</v>
      </c>
      <c r="C886" s="31">
        <f>YEAR(Table1[[#This Row],[Tanggal Lahir]])</f>
        <v>1996</v>
      </c>
      <c r="D886" s="15">
        <f t="shared" si="52"/>
        <v>26.241666666666667</v>
      </c>
      <c r="E886" s="12" t="s">
        <v>7</v>
      </c>
      <c r="F886" s="14">
        <v>39734</v>
      </c>
      <c r="G886" s="13">
        <f t="shared" si="53"/>
        <v>2008</v>
      </c>
      <c r="H886" s="30">
        <f t="shared" si="54"/>
        <v>18000000</v>
      </c>
      <c r="I886" s="39">
        <v>1</v>
      </c>
      <c r="J886">
        <f t="shared" si="55"/>
        <v>2</v>
      </c>
    </row>
    <row r="887" spans="1:10" x14ac:dyDescent="0.25">
      <c r="A887" s="16" t="s">
        <v>910</v>
      </c>
      <c r="B887" s="14">
        <v>37912</v>
      </c>
      <c r="C887" s="31">
        <f>YEAR(Table1[[#This Row],[Tanggal Lahir]])</f>
        <v>2003</v>
      </c>
      <c r="D887" s="15">
        <f t="shared" si="52"/>
        <v>18.93888888888889</v>
      </c>
      <c r="E887" s="12" t="s">
        <v>10</v>
      </c>
      <c r="F887" s="14">
        <v>41680</v>
      </c>
      <c r="G887" s="13">
        <f t="shared" si="53"/>
        <v>2014</v>
      </c>
      <c r="H887" s="30">
        <f t="shared" si="54"/>
        <v>9000000</v>
      </c>
      <c r="I887" s="39">
        <v>6</v>
      </c>
      <c r="J887">
        <f t="shared" si="55"/>
        <v>2</v>
      </c>
    </row>
    <row r="888" spans="1:10" x14ac:dyDescent="0.25">
      <c r="A888" s="16" t="s">
        <v>911</v>
      </c>
      <c r="B888" s="14">
        <v>34683</v>
      </c>
      <c r="C888" s="31">
        <f>YEAR(Table1[[#This Row],[Tanggal Lahir]])</f>
        <v>1994</v>
      </c>
      <c r="D888" s="15">
        <f t="shared" si="52"/>
        <v>27.780555555555555</v>
      </c>
      <c r="E888" s="12" t="s">
        <v>10</v>
      </c>
      <c r="F888" s="14">
        <v>43688</v>
      </c>
      <c r="G888" s="13">
        <f t="shared" si="53"/>
        <v>2019</v>
      </c>
      <c r="H888" s="30">
        <f t="shared" si="54"/>
        <v>9000000</v>
      </c>
      <c r="I888" s="39">
        <v>5</v>
      </c>
      <c r="J888">
        <f t="shared" si="55"/>
        <v>2</v>
      </c>
    </row>
    <row r="889" spans="1:10" x14ac:dyDescent="0.25">
      <c r="A889" s="16" t="s">
        <v>912</v>
      </c>
      <c r="B889" s="14">
        <v>36517</v>
      </c>
      <c r="C889" s="31">
        <f>YEAR(Table1[[#This Row],[Tanggal Lahir]])</f>
        <v>1999</v>
      </c>
      <c r="D889" s="15">
        <f t="shared" si="52"/>
        <v>22.758333333333333</v>
      </c>
      <c r="E889" s="12" t="s">
        <v>10</v>
      </c>
      <c r="F889" s="14">
        <v>42782</v>
      </c>
      <c r="G889" s="13">
        <f t="shared" si="53"/>
        <v>2017</v>
      </c>
      <c r="H889" s="30">
        <f t="shared" si="54"/>
        <v>9000000</v>
      </c>
      <c r="I889" s="39">
        <v>4</v>
      </c>
      <c r="J889">
        <f t="shared" si="55"/>
        <v>3</v>
      </c>
    </row>
    <row r="890" spans="1:10" x14ac:dyDescent="0.25">
      <c r="A890" s="16" t="s">
        <v>913</v>
      </c>
      <c r="B890" s="14">
        <v>36651</v>
      </c>
      <c r="C890" s="31">
        <f>YEAR(Table1[[#This Row],[Tanggal Lahir]])</f>
        <v>2000</v>
      </c>
      <c r="D890" s="15">
        <f t="shared" si="52"/>
        <v>22.391666666666666</v>
      </c>
      <c r="E890" s="12" t="s">
        <v>10</v>
      </c>
      <c r="F890" s="14">
        <v>40573</v>
      </c>
      <c r="G890" s="13">
        <f t="shared" si="53"/>
        <v>2011</v>
      </c>
      <c r="H890" s="30">
        <f t="shared" si="54"/>
        <v>13000000</v>
      </c>
      <c r="I890" s="39">
        <v>1</v>
      </c>
      <c r="J890">
        <f t="shared" si="55"/>
        <v>2</v>
      </c>
    </row>
    <row r="891" spans="1:10" x14ac:dyDescent="0.25">
      <c r="A891" s="16" t="s">
        <v>914</v>
      </c>
      <c r="B891" s="14">
        <v>35384</v>
      </c>
      <c r="C891" s="31">
        <f>YEAR(Table1[[#This Row],[Tanggal Lahir]])</f>
        <v>1996</v>
      </c>
      <c r="D891" s="15">
        <f t="shared" si="52"/>
        <v>25.863888888888887</v>
      </c>
      <c r="E891" s="12" t="s">
        <v>14</v>
      </c>
      <c r="F891" s="14">
        <v>43317</v>
      </c>
      <c r="G891" s="13">
        <f t="shared" si="53"/>
        <v>2018</v>
      </c>
      <c r="H891" s="30">
        <f t="shared" si="54"/>
        <v>9000000</v>
      </c>
      <c r="I891" s="39">
        <v>4</v>
      </c>
      <c r="J891">
        <f t="shared" si="55"/>
        <v>2</v>
      </c>
    </row>
    <row r="892" spans="1:10" x14ac:dyDescent="0.25">
      <c r="A892" s="16" t="s">
        <v>915</v>
      </c>
      <c r="B892" s="14">
        <v>36859</v>
      </c>
      <c r="C892" s="31">
        <f>YEAR(Table1[[#This Row],[Tanggal Lahir]])</f>
        <v>2000</v>
      </c>
      <c r="D892" s="15">
        <f t="shared" si="52"/>
        <v>21.824999999999999</v>
      </c>
      <c r="E892" s="12" t="s">
        <v>10</v>
      </c>
      <c r="F892" s="14">
        <v>38694</v>
      </c>
      <c r="G892" s="13">
        <f t="shared" si="53"/>
        <v>2005</v>
      </c>
      <c r="H892" s="30">
        <f t="shared" si="54"/>
        <v>18000000</v>
      </c>
      <c r="I892" s="39">
        <v>2</v>
      </c>
      <c r="J892">
        <f t="shared" si="55"/>
        <v>2</v>
      </c>
    </row>
    <row r="893" spans="1:10" x14ac:dyDescent="0.25">
      <c r="A893" s="16" t="s">
        <v>916</v>
      </c>
      <c r="B893" s="14">
        <v>35493</v>
      </c>
      <c r="C893" s="31">
        <f>YEAR(Table1[[#This Row],[Tanggal Lahir]])</f>
        <v>1997</v>
      </c>
      <c r="D893" s="15">
        <f t="shared" si="52"/>
        <v>25.56111111111111</v>
      </c>
      <c r="E893" s="12" t="s">
        <v>10</v>
      </c>
      <c r="F893" s="14">
        <v>43647</v>
      </c>
      <c r="G893" s="13">
        <f t="shared" si="53"/>
        <v>2019</v>
      </c>
      <c r="H893" s="30">
        <f t="shared" si="54"/>
        <v>9000000</v>
      </c>
      <c r="I893" s="39">
        <v>2</v>
      </c>
      <c r="J893">
        <f t="shared" si="55"/>
        <v>2</v>
      </c>
    </row>
    <row r="894" spans="1:10" x14ac:dyDescent="0.25">
      <c r="A894" s="16" t="s">
        <v>917</v>
      </c>
      <c r="B894" s="14">
        <v>36326</v>
      </c>
      <c r="C894" s="31">
        <f>YEAR(Table1[[#This Row],[Tanggal Lahir]])</f>
        <v>1999</v>
      </c>
      <c r="D894" s="15">
        <f t="shared" si="52"/>
        <v>23.280555555555555</v>
      </c>
      <c r="E894" s="12" t="s">
        <v>10</v>
      </c>
      <c r="F894" s="14">
        <v>43132</v>
      </c>
      <c r="G894" s="13">
        <f t="shared" si="53"/>
        <v>2018</v>
      </c>
      <c r="H894" s="30">
        <f t="shared" si="54"/>
        <v>9000000</v>
      </c>
      <c r="I894" s="39">
        <v>1</v>
      </c>
      <c r="J894">
        <f t="shared" si="55"/>
        <v>2</v>
      </c>
    </row>
    <row r="895" spans="1:10" x14ac:dyDescent="0.25">
      <c r="A895" s="16" t="s">
        <v>918</v>
      </c>
      <c r="B895" s="14">
        <v>36486</v>
      </c>
      <c r="C895" s="31">
        <f>YEAR(Table1[[#This Row],[Tanggal Lahir]])</f>
        <v>1999</v>
      </c>
      <c r="D895" s="15">
        <f t="shared" si="52"/>
        <v>22.844444444444445</v>
      </c>
      <c r="E895" s="12" t="s">
        <v>14</v>
      </c>
      <c r="F895" s="14">
        <v>40532</v>
      </c>
      <c r="G895" s="13">
        <f t="shared" si="53"/>
        <v>2010</v>
      </c>
      <c r="H895" s="30">
        <f t="shared" si="54"/>
        <v>13000000</v>
      </c>
      <c r="I895" s="39">
        <v>5</v>
      </c>
      <c r="J895">
        <f t="shared" si="55"/>
        <v>2</v>
      </c>
    </row>
    <row r="896" spans="1:10" x14ac:dyDescent="0.25">
      <c r="A896" s="16" t="s">
        <v>919</v>
      </c>
      <c r="B896" s="14">
        <v>36819</v>
      </c>
      <c r="C896" s="31">
        <f>YEAR(Table1[[#This Row],[Tanggal Lahir]])</f>
        <v>2000</v>
      </c>
      <c r="D896" s="15">
        <f t="shared" si="52"/>
        <v>21.933333333333334</v>
      </c>
      <c r="E896" s="12" t="s">
        <v>10</v>
      </c>
      <c r="F896" s="14">
        <v>43073</v>
      </c>
      <c r="G896" s="13">
        <f t="shared" si="53"/>
        <v>2017</v>
      </c>
      <c r="H896" s="30">
        <f t="shared" si="54"/>
        <v>9000000</v>
      </c>
      <c r="I896" s="39">
        <v>6</v>
      </c>
      <c r="J896">
        <f t="shared" si="55"/>
        <v>2</v>
      </c>
    </row>
    <row r="897" spans="1:10" x14ac:dyDescent="0.25">
      <c r="A897" s="16" t="s">
        <v>920</v>
      </c>
      <c r="B897" s="14">
        <v>35203</v>
      </c>
      <c r="C897" s="31">
        <f>YEAR(Table1[[#This Row],[Tanggal Lahir]])</f>
        <v>1996</v>
      </c>
      <c r="D897" s="15">
        <f t="shared" si="52"/>
        <v>26.355555555555554</v>
      </c>
      <c r="E897" s="12" t="s">
        <v>921</v>
      </c>
      <c r="F897" s="14">
        <v>43135</v>
      </c>
      <c r="G897" s="13">
        <f t="shared" si="53"/>
        <v>2018</v>
      </c>
      <c r="H897" s="30">
        <f t="shared" si="54"/>
        <v>9000000</v>
      </c>
      <c r="I897" s="39">
        <v>5</v>
      </c>
      <c r="J897">
        <f t="shared" si="55"/>
        <v>2</v>
      </c>
    </row>
    <row r="898" spans="1:10" x14ac:dyDescent="0.25">
      <c r="A898" s="16" t="s">
        <v>922</v>
      </c>
      <c r="B898" s="14">
        <v>36717</v>
      </c>
      <c r="C898" s="31">
        <f>YEAR(Table1[[#This Row],[Tanggal Lahir]])</f>
        <v>2000</v>
      </c>
      <c r="D898" s="15">
        <f t="shared" ref="D898:D961" si="56">YEARFRAC(B898,$L$2)</f>
        <v>22.211111111111112</v>
      </c>
      <c r="E898" s="12" t="s">
        <v>10</v>
      </c>
      <c r="F898" s="14">
        <v>40400</v>
      </c>
      <c r="G898" s="13">
        <f t="shared" ref="G898:G961" si="57">YEAR(F898)</f>
        <v>2010</v>
      </c>
      <c r="H898" s="30">
        <f t="shared" ref="H898:H961" si="58">IF(G898&lt;= 2008,18000000,IF(AND(G898&gt;=2009,G898&lt;=2013),13000000,IF(AND(G898&gt;=2014,G898&lt;=2019),9000000,6800000)))</f>
        <v>13000000</v>
      </c>
      <c r="I898" s="39">
        <v>2</v>
      </c>
      <c r="J898">
        <f t="shared" ref="J898:J961" si="59">SUM(LEN(A898)-LEN(SUBSTITUTE(A898," ",""))+1)</f>
        <v>2</v>
      </c>
    </row>
    <row r="899" spans="1:10" x14ac:dyDescent="0.25">
      <c r="A899" s="16" t="s">
        <v>923</v>
      </c>
      <c r="B899" s="14">
        <v>37279</v>
      </c>
      <c r="C899" s="31">
        <f>YEAR(Table1[[#This Row],[Tanggal Lahir]])</f>
        <v>2002</v>
      </c>
      <c r="D899" s="15">
        <f t="shared" si="56"/>
        <v>20.675000000000001</v>
      </c>
      <c r="E899" s="12" t="s">
        <v>10</v>
      </c>
      <c r="F899" s="14">
        <v>38865</v>
      </c>
      <c r="G899" s="13">
        <f t="shared" si="57"/>
        <v>2006</v>
      </c>
      <c r="H899" s="30">
        <f t="shared" si="58"/>
        <v>18000000</v>
      </c>
      <c r="I899" s="39">
        <v>6</v>
      </c>
      <c r="J899">
        <f t="shared" si="59"/>
        <v>3</v>
      </c>
    </row>
    <row r="900" spans="1:10" x14ac:dyDescent="0.25">
      <c r="A900" s="16" t="s">
        <v>924</v>
      </c>
      <c r="B900" s="14">
        <v>36410</v>
      </c>
      <c r="C900" s="31">
        <f>YEAR(Table1[[#This Row],[Tanggal Lahir]])</f>
        <v>1999</v>
      </c>
      <c r="D900" s="15">
        <f t="shared" si="56"/>
        <v>23.052777777777777</v>
      </c>
      <c r="E900" s="12" t="s">
        <v>10</v>
      </c>
      <c r="F900" s="14">
        <v>44657</v>
      </c>
      <c r="G900" s="13">
        <f t="shared" si="57"/>
        <v>2022</v>
      </c>
      <c r="H900" s="30">
        <f t="shared" si="58"/>
        <v>6800000</v>
      </c>
      <c r="I900" s="39">
        <v>3</v>
      </c>
      <c r="J900">
        <f t="shared" si="59"/>
        <v>3</v>
      </c>
    </row>
    <row r="901" spans="1:10" x14ac:dyDescent="0.25">
      <c r="A901" s="16" t="s">
        <v>925</v>
      </c>
      <c r="B901" s="14">
        <v>37845</v>
      </c>
      <c r="C901" s="31">
        <f>YEAR(Table1[[#This Row],[Tanggal Lahir]])</f>
        <v>2003</v>
      </c>
      <c r="D901" s="15">
        <f t="shared" si="56"/>
        <v>19.122222222222224</v>
      </c>
      <c r="E901" s="12" t="s">
        <v>10</v>
      </c>
      <c r="F901" s="14">
        <v>43990</v>
      </c>
      <c r="G901" s="13">
        <f t="shared" si="57"/>
        <v>2020</v>
      </c>
      <c r="H901" s="30">
        <f t="shared" si="58"/>
        <v>6800000</v>
      </c>
      <c r="I901" s="39">
        <v>5</v>
      </c>
      <c r="J901">
        <f t="shared" si="59"/>
        <v>3</v>
      </c>
    </row>
    <row r="902" spans="1:10" x14ac:dyDescent="0.25">
      <c r="A902" s="16" t="s">
        <v>926</v>
      </c>
      <c r="B902" s="14">
        <v>37660</v>
      </c>
      <c r="C902" s="31">
        <f>YEAR(Table1[[#This Row],[Tanggal Lahir]])</f>
        <v>2003</v>
      </c>
      <c r="D902" s="15">
        <f t="shared" si="56"/>
        <v>19.633333333333333</v>
      </c>
      <c r="E902" s="12" t="s">
        <v>10</v>
      </c>
      <c r="F902" s="14">
        <v>44497</v>
      </c>
      <c r="G902" s="13">
        <f t="shared" si="57"/>
        <v>2021</v>
      </c>
      <c r="H902" s="30">
        <f t="shared" si="58"/>
        <v>6800000</v>
      </c>
      <c r="I902" s="39">
        <v>2</v>
      </c>
      <c r="J902">
        <f t="shared" si="59"/>
        <v>3</v>
      </c>
    </row>
    <row r="903" spans="1:10" x14ac:dyDescent="0.25">
      <c r="A903" s="16" t="s">
        <v>927</v>
      </c>
      <c r="B903" s="14">
        <v>37496</v>
      </c>
      <c r="C903" s="31">
        <f>YEAR(Table1[[#This Row],[Tanggal Lahir]])</f>
        <v>2002</v>
      </c>
      <c r="D903" s="15">
        <f t="shared" si="56"/>
        <v>20.077777777777779</v>
      </c>
      <c r="E903" s="12" t="s">
        <v>10</v>
      </c>
      <c r="F903" s="14">
        <v>39984</v>
      </c>
      <c r="G903" s="13">
        <f t="shared" si="57"/>
        <v>2009</v>
      </c>
      <c r="H903" s="30">
        <f t="shared" si="58"/>
        <v>13000000</v>
      </c>
      <c r="I903" s="39">
        <v>4</v>
      </c>
      <c r="J903">
        <f t="shared" si="59"/>
        <v>2</v>
      </c>
    </row>
    <row r="904" spans="1:10" x14ac:dyDescent="0.25">
      <c r="A904" s="16" t="s">
        <v>928</v>
      </c>
      <c r="B904" s="14">
        <v>37785</v>
      </c>
      <c r="C904" s="31">
        <f>YEAR(Table1[[#This Row],[Tanggal Lahir]])</f>
        <v>2003</v>
      </c>
      <c r="D904" s="15">
        <f t="shared" si="56"/>
        <v>19.286111111111111</v>
      </c>
      <c r="E904" s="12" t="s">
        <v>14</v>
      </c>
      <c r="F904" s="14">
        <v>42364</v>
      </c>
      <c r="G904" s="13">
        <f t="shared" si="57"/>
        <v>2015</v>
      </c>
      <c r="H904" s="30">
        <f t="shared" si="58"/>
        <v>9000000</v>
      </c>
      <c r="I904" s="39">
        <v>6</v>
      </c>
      <c r="J904">
        <f t="shared" si="59"/>
        <v>2</v>
      </c>
    </row>
    <row r="905" spans="1:10" x14ac:dyDescent="0.25">
      <c r="A905" s="16" t="s">
        <v>929</v>
      </c>
      <c r="B905" s="14">
        <v>37871</v>
      </c>
      <c r="C905" s="31">
        <f>YEAR(Table1[[#This Row],[Tanggal Lahir]])</f>
        <v>2003</v>
      </c>
      <c r="D905" s="15">
        <f t="shared" si="56"/>
        <v>19.052777777777777</v>
      </c>
      <c r="E905" s="12" t="s">
        <v>10</v>
      </c>
      <c r="F905" s="14">
        <v>44717</v>
      </c>
      <c r="G905" s="13">
        <f t="shared" si="57"/>
        <v>2022</v>
      </c>
      <c r="H905" s="30">
        <f t="shared" si="58"/>
        <v>6800000</v>
      </c>
      <c r="I905" s="39">
        <v>4</v>
      </c>
      <c r="J905">
        <f t="shared" si="59"/>
        <v>2</v>
      </c>
    </row>
    <row r="906" spans="1:10" x14ac:dyDescent="0.25">
      <c r="A906" s="16" t="s">
        <v>930</v>
      </c>
      <c r="B906" s="14">
        <v>35246</v>
      </c>
      <c r="C906" s="31">
        <f>YEAR(Table1[[#This Row],[Tanggal Lahir]])</f>
        <v>1996</v>
      </c>
      <c r="D906" s="15">
        <f t="shared" si="56"/>
        <v>26.238888888888887</v>
      </c>
      <c r="E906" s="12" t="s">
        <v>10</v>
      </c>
      <c r="F906" s="14">
        <v>40663</v>
      </c>
      <c r="G906" s="13">
        <f t="shared" si="57"/>
        <v>2011</v>
      </c>
      <c r="H906" s="30">
        <f t="shared" si="58"/>
        <v>13000000</v>
      </c>
      <c r="I906" s="39">
        <v>4</v>
      </c>
      <c r="J906">
        <f t="shared" si="59"/>
        <v>2</v>
      </c>
    </row>
    <row r="907" spans="1:10" x14ac:dyDescent="0.25">
      <c r="A907" s="16" t="s">
        <v>931</v>
      </c>
      <c r="B907" s="14">
        <v>34897</v>
      </c>
      <c r="C907" s="31">
        <f>YEAR(Table1[[#This Row],[Tanggal Lahir]])</f>
        <v>1995</v>
      </c>
      <c r="D907" s="15">
        <f t="shared" si="56"/>
        <v>27.191666666666666</v>
      </c>
      <c r="E907" s="12" t="s">
        <v>10</v>
      </c>
      <c r="F907" s="14">
        <v>43014</v>
      </c>
      <c r="G907" s="13">
        <f t="shared" si="57"/>
        <v>2017</v>
      </c>
      <c r="H907" s="30">
        <f t="shared" si="58"/>
        <v>9000000</v>
      </c>
      <c r="I907" s="39">
        <v>3</v>
      </c>
      <c r="J907">
        <f t="shared" si="59"/>
        <v>2</v>
      </c>
    </row>
    <row r="908" spans="1:10" x14ac:dyDescent="0.25">
      <c r="A908" s="16" t="s">
        <v>932</v>
      </c>
      <c r="B908" s="14">
        <v>36180</v>
      </c>
      <c r="C908" s="31">
        <f>YEAR(Table1[[#This Row],[Tanggal Lahir]])</f>
        <v>1999</v>
      </c>
      <c r="D908" s="15">
        <f t="shared" si="56"/>
        <v>23.683333333333334</v>
      </c>
      <c r="E908" s="12" t="s">
        <v>7</v>
      </c>
      <c r="F908" s="14">
        <v>40446</v>
      </c>
      <c r="G908" s="13">
        <f t="shared" si="57"/>
        <v>2010</v>
      </c>
      <c r="H908" s="30">
        <f t="shared" si="58"/>
        <v>13000000</v>
      </c>
      <c r="I908" s="39">
        <v>5</v>
      </c>
      <c r="J908">
        <f t="shared" si="59"/>
        <v>2</v>
      </c>
    </row>
    <row r="909" spans="1:10" x14ac:dyDescent="0.25">
      <c r="A909" s="16" t="s">
        <v>933</v>
      </c>
      <c r="B909" s="14">
        <v>35381</v>
      </c>
      <c r="C909" s="31">
        <f>YEAR(Table1[[#This Row],[Tanggal Lahir]])</f>
        <v>1996</v>
      </c>
      <c r="D909" s="15">
        <f t="shared" si="56"/>
        <v>25.872222222222224</v>
      </c>
      <c r="E909" s="12" t="s">
        <v>14</v>
      </c>
      <c r="F909" s="14">
        <v>41164</v>
      </c>
      <c r="G909" s="13">
        <f t="shared" si="57"/>
        <v>2012</v>
      </c>
      <c r="H909" s="30">
        <f t="shared" si="58"/>
        <v>13000000</v>
      </c>
      <c r="I909" s="39">
        <v>3</v>
      </c>
      <c r="J909">
        <f t="shared" si="59"/>
        <v>2</v>
      </c>
    </row>
    <row r="910" spans="1:10" x14ac:dyDescent="0.25">
      <c r="A910" s="16" t="s">
        <v>934</v>
      </c>
      <c r="B910" s="14">
        <v>34873</v>
      </c>
      <c r="C910" s="31">
        <f>YEAR(Table1[[#This Row],[Tanggal Lahir]])</f>
        <v>1995</v>
      </c>
      <c r="D910" s="15">
        <f t="shared" si="56"/>
        <v>27.258333333333333</v>
      </c>
      <c r="E910" s="12" t="s">
        <v>10</v>
      </c>
      <c r="F910" s="14">
        <v>41534</v>
      </c>
      <c r="G910" s="13">
        <f t="shared" si="57"/>
        <v>2013</v>
      </c>
      <c r="H910" s="30">
        <f t="shared" si="58"/>
        <v>13000000</v>
      </c>
      <c r="I910" s="39">
        <v>4</v>
      </c>
      <c r="J910">
        <f t="shared" si="59"/>
        <v>2</v>
      </c>
    </row>
    <row r="911" spans="1:10" x14ac:dyDescent="0.25">
      <c r="A911" s="16" t="s">
        <v>935</v>
      </c>
      <c r="B911" s="14">
        <v>35207</v>
      </c>
      <c r="C911" s="31">
        <f>YEAR(Table1[[#This Row],[Tanggal Lahir]])</f>
        <v>1996</v>
      </c>
      <c r="D911" s="15">
        <f t="shared" si="56"/>
        <v>26.344444444444445</v>
      </c>
      <c r="E911" s="12" t="s">
        <v>14</v>
      </c>
      <c r="F911" s="14">
        <v>40177</v>
      </c>
      <c r="G911" s="13">
        <f t="shared" si="57"/>
        <v>2009</v>
      </c>
      <c r="H911" s="30">
        <f t="shared" si="58"/>
        <v>13000000</v>
      </c>
      <c r="I911" s="39">
        <v>6</v>
      </c>
      <c r="J911">
        <f t="shared" si="59"/>
        <v>2</v>
      </c>
    </row>
    <row r="912" spans="1:10" x14ac:dyDescent="0.25">
      <c r="A912" s="16" t="s">
        <v>936</v>
      </c>
      <c r="B912" s="14">
        <v>35984</v>
      </c>
      <c r="C912" s="31">
        <f>YEAR(Table1[[#This Row],[Tanggal Lahir]])</f>
        <v>1998</v>
      </c>
      <c r="D912" s="15">
        <f t="shared" si="56"/>
        <v>24.216666666666665</v>
      </c>
      <c r="E912" s="12" t="s">
        <v>14</v>
      </c>
      <c r="F912" s="14">
        <v>38961</v>
      </c>
      <c r="G912" s="13">
        <f t="shared" si="57"/>
        <v>2006</v>
      </c>
      <c r="H912" s="30">
        <f t="shared" si="58"/>
        <v>18000000</v>
      </c>
      <c r="I912" s="39">
        <v>4</v>
      </c>
      <c r="J912">
        <f t="shared" si="59"/>
        <v>2</v>
      </c>
    </row>
    <row r="913" spans="1:10" x14ac:dyDescent="0.25">
      <c r="A913" s="16" t="s">
        <v>937</v>
      </c>
      <c r="B913" s="14">
        <v>36045</v>
      </c>
      <c r="C913" s="31">
        <f>YEAR(Table1[[#This Row],[Tanggal Lahir]])</f>
        <v>1998</v>
      </c>
      <c r="D913" s="15">
        <f t="shared" si="56"/>
        <v>24.052777777777777</v>
      </c>
      <c r="E913" s="12" t="s">
        <v>10</v>
      </c>
      <c r="F913" s="14">
        <v>41959</v>
      </c>
      <c r="G913" s="13">
        <f t="shared" si="57"/>
        <v>2014</v>
      </c>
      <c r="H913" s="30">
        <f t="shared" si="58"/>
        <v>9000000</v>
      </c>
      <c r="I913" s="39">
        <v>1</v>
      </c>
      <c r="J913">
        <f t="shared" si="59"/>
        <v>2</v>
      </c>
    </row>
    <row r="914" spans="1:10" x14ac:dyDescent="0.25">
      <c r="A914" s="16" t="s">
        <v>938</v>
      </c>
      <c r="B914" s="14">
        <v>35741</v>
      </c>
      <c r="C914" s="31">
        <f>YEAR(Table1[[#This Row],[Tanggal Lahir]])</f>
        <v>1997</v>
      </c>
      <c r="D914" s="15">
        <f t="shared" si="56"/>
        <v>24.886111111111113</v>
      </c>
      <c r="E914" s="12" t="s">
        <v>7</v>
      </c>
      <c r="F914" s="14">
        <v>42029</v>
      </c>
      <c r="G914" s="13">
        <f t="shared" si="57"/>
        <v>2015</v>
      </c>
      <c r="H914" s="30">
        <f t="shared" si="58"/>
        <v>9000000</v>
      </c>
      <c r="I914" s="39">
        <v>4</v>
      </c>
      <c r="J914">
        <f t="shared" si="59"/>
        <v>2</v>
      </c>
    </row>
    <row r="915" spans="1:10" x14ac:dyDescent="0.25">
      <c r="A915" s="16" t="s">
        <v>939</v>
      </c>
      <c r="B915" s="14">
        <v>37511</v>
      </c>
      <c r="C915" s="31">
        <f>YEAR(Table1[[#This Row],[Tanggal Lahir]])</f>
        <v>2002</v>
      </c>
      <c r="D915" s="15">
        <f t="shared" si="56"/>
        <v>20.038888888888888</v>
      </c>
      <c r="E915" s="12" t="s">
        <v>7</v>
      </c>
      <c r="F915" s="14">
        <v>43581</v>
      </c>
      <c r="G915" s="13">
        <f t="shared" si="57"/>
        <v>2019</v>
      </c>
      <c r="H915" s="30">
        <f t="shared" si="58"/>
        <v>9000000</v>
      </c>
      <c r="I915" s="39">
        <v>5</v>
      </c>
      <c r="J915">
        <f t="shared" si="59"/>
        <v>2</v>
      </c>
    </row>
    <row r="916" spans="1:10" x14ac:dyDescent="0.25">
      <c r="A916" s="16" t="s">
        <v>940</v>
      </c>
      <c r="B916" s="14">
        <v>37318</v>
      </c>
      <c r="C916" s="31">
        <f>YEAR(Table1[[#This Row],[Tanggal Lahir]])</f>
        <v>2002</v>
      </c>
      <c r="D916" s="15">
        <f t="shared" si="56"/>
        <v>20.56388888888889</v>
      </c>
      <c r="E916" s="12" t="s">
        <v>14</v>
      </c>
      <c r="F916" s="14">
        <v>40354</v>
      </c>
      <c r="G916" s="13">
        <f t="shared" si="57"/>
        <v>2010</v>
      </c>
      <c r="H916" s="30">
        <f t="shared" si="58"/>
        <v>13000000</v>
      </c>
      <c r="I916" s="39">
        <v>2</v>
      </c>
      <c r="J916">
        <f t="shared" si="59"/>
        <v>2</v>
      </c>
    </row>
    <row r="917" spans="1:10" x14ac:dyDescent="0.25">
      <c r="A917" s="16" t="s">
        <v>941</v>
      </c>
      <c r="B917" s="14">
        <v>37091</v>
      </c>
      <c r="C917" s="31">
        <f>YEAR(Table1[[#This Row],[Tanggal Lahir]])</f>
        <v>2001</v>
      </c>
      <c r="D917" s="15">
        <f t="shared" si="56"/>
        <v>21.18611111111111</v>
      </c>
      <c r="E917" s="12" t="s">
        <v>7</v>
      </c>
      <c r="F917" s="14">
        <v>39831</v>
      </c>
      <c r="G917" s="13">
        <f t="shared" si="57"/>
        <v>2009</v>
      </c>
      <c r="H917" s="30">
        <f t="shared" si="58"/>
        <v>13000000</v>
      </c>
      <c r="I917" s="39">
        <v>2</v>
      </c>
      <c r="J917">
        <f t="shared" si="59"/>
        <v>2</v>
      </c>
    </row>
    <row r="918" spans="1:10" x14ac:dyDescent="0.25">
      <c r="A918" s="16" t="s">
        <v>942</v>
      </c>
      <c r="B918" s="14">
        <v>37128</v>
      </c>
      <c r="C918" s="31">
        <f>YEAR(Table1[[#This Row],[Tanggal Lahir]])</f>
        <v>2001</v>
      </c>
      <c r="D918" s="15">
        <f t="shared" si="56"/>
        <v>21.086111111111112</v>
      </c>
      <c r="E918" s="12" t="s">
        <v>7</v>
      </c>
      <c r="F918" s="14">
        <v>38839</v>
      </c>
      <c r="G918" s="13">
        <f t="shared" si="57"/>
        <v>2006</v>
      </c>
      <c r="H918" s="30">
        <f t="shared" si="58"/>
        <v>18000000</v>
      </c>
      <c r="I918" s="39">
        <v>2</v>
      </c>
      <c r="J918">
        <f t="shared" si="59"/>
        <v>2</v>
      </c>
    </row>
    <row r="919" spans="1:10" x14ac:dyDescent="0.25">
      <c r="A919" s="16" t="s">
        <v>943</v>
      </c>
      <c r="B919" s="14">
        <v>36644</v>
      </c>
      <c r="C919" s="31">
        <f>YEAR(Table1[[#This Row],[Tanggal Lahir]])</f>
        <v>2000</v>
      </c>
      <c r="D919" s="15">
        <f t="shared" si="56"/>
        <v>22.411111111111111</v>
      </c>
      <c r="E919" s="12" t="s">
        <v>10</v>
      </c>
      <c r="F919" s="14">
        <v>39888</v>
      </c>
      <c r="G919" s="13">
        <f t="shared" si="57"/>
        <v>2009</v>
      </c>
      <c r="H919" s="30">
        <f t="shared" si="58"/>
        <v>13000000</v>
      </c>
      <c r="I919" s="39">
        <v>6</v>
      </c>
      <c r="J919">
        <f t="shared" si="59"/>
        <v>2</v>
      </c>
    </row>
    <row r="920" spans="1:10" x14ac:dyDescent="0.25">
      <c r="A920" s="16" t="s">
        <v>944</v>
      </c>
      <c r="B920" s="14">
        <v>35045</v>
      </c>
      <c r="C920" s="31">
        <f>YEAR(Table1[[#This Row],[Tanggal Lahir]])</f>
        <v>1995</v>
      </c>
      <c r="D920" s="15">
        <f t="shared" si="56"/>
        <v>26.788888888888888</v>
      </c>
      <c r="E920" s="12" t="s">
        <v>10</v>
      </c>
      <c r="F920" s="14">
        <v>41495</v>
      </c>
      <c r="G920" s="13">
        <f t="shared" si="57"/>
        <v>2013</v>
      </c>
      <c r="H920" s="30">
        <f t="shared" si="58"/>
        <v>13000000</v>
      </c>
      <c r="I920" s="39">
        <v>4</v>
      </c>
      <c r="J920">
        <f t="shared" si="59"/>
        <v>2</v>
      </c>
    </row>
    <row r="921" spans="1:10" x14ac:dyDescent="0.25">
      <c r="A921" s="16" t="s">
        <v>945</v>
      </c>
      <c r="B921" s="14">
        <v>35402</v>
      </c>
      <c r="C921" s="31">
        <f>YEAR(Table1[[#This Row],[Tanggal Lahir]])</f>
        <v>1996</v>
      </c>
      <c r="D921" s="15">
        <f t="shared" si="56"/>
        <v>25.81388888888889</v>
      </c>
      <c r="E921" s="12" t="s">
        <v>10</v>
      </c>
      <c r="F921" s="14">
        <v>40393</v>
      </c>
      <c r="G921" s="13">
        <f t="shared" si="57"/>
        <v>2010</v>
      </c>
      <c r="H921" s="30">
        <f t="shared" si="58"/>
        <v>13000000</v>
      </c>
      <c r="I921" s="39">
        <v>6</v>
      </c>
      <c r="J921">
        <f t="shared" si="59"/>
        <v>2</v>
      </c>
    </row>
    <row r="922" spans="1:10" x14ac:dyDescent="0.25">
      <c r="A922" s="16" t="s">
        <v>946</v>
      </c>
      <c r="B922" s="14">
        <v>36807</v>
      </c>
      <c r="C922" s="31">
        <f>YEAR(Table1[[#This Row],[Tanggal Lahir]])</f>
        <v>2000</v>
      </c>
      <c r="D922" s="15">
        <f t="shared" si="56"/>
        <v>21.966666666666665</v>
      </c>
      <c r="E922" s="12" t="s">
        <v>10</v>
      </c>
      <c r="F922" s="14">
        <v>43418</v>
      </c>
      <c r="G922" s="13">
        <f t="shared" si="57"/>
        <v>2018</v>
      </c>
      <c r="H922" s="30">
        <f t="shared" si="58"/>
        <v>9000000</v>
      </c>
      <c r="I922" s="39">
        <v>3</v>
      </c>
      <c r="J922">
        <f t="shared" si="59"/>
        <v>2</v>
      </c>
    </row>
    <row r="923" spans="1:10" x14ac:dyDescent="0.25">
      <c r="A923" s="16" t="s">
        <v>947</v>
      </c>
      <c r="B923" s="14">
        <v>36281</v>
      </c>
      <c r="C923" s="31">
        <f>YEAR(Table1[[#This Row],[Tanggal Lahir]])</f>
        <v>1999</v>
      </c>
      <c r="D923" s="15">
        <f t="shared" si="56"/>
        <v>23.402777777777779</v>
      </c>
      <c r="E923" s="12" t="s">
        <v>14</v>
      </c>
      <c r="F923" s="14">
        <v>39296</v>
      </c>
      <c r="G923" s="13">
        <f t="shared" si="57"/>
        <v>2007</v>
      </c>
      <c r="H923" s="30">
        <f t="shared" si="58"/>
        <v>18000000</v>
      </c>
      <c r="I923" s="39">
        <v>2</v>
      </c>
      <c r="J923">
        <f t="shared" si="59"/>
        <v>2</v>
      </c>
    </row>
    <row r="924" spans="1:10" x14ac:dyDescent="0.25">
      <c r="A924" s="16" t="s">
        <v>948</v>
      </c>
      <c r="B924" s="14">
        <v>37877</v>
      </c>
      <c r="C924" s="31">
        <f>YEAR(Table1[[#This Row],[Tanggal Lahir]])</f>
        <v>2003</v>
      </c>
      <c r="D924" s="15">
        <f t="shared" si="56"/>
        <v>19.036111111111111</v>
      </c>
      <c r="E924" s="12" t="s">
        <v>14</v>
      </c>
      <c r="F924" s="14">
        <v>41014</v>
      </c>
      <c r="G924" s="13">
        <f t="shared" si="57"/>
        <v>2012</v>
      </c>
      <c r="H924" s="30">
        <f t="shared" si="58"/>
        <v>13000000</v>
      </c>
      <c r="I924" s="39">
        <v>6</v>
      </c>
      <c r="J924">
        <f t="shared" si="59"/>
        <v>2</v>
      </c>
    </row>
    <row r="925" spans="1:10" x14ac:dyDescent="0.25">
      <c r="A925" s="16" t="s">
        <v>949</v>
      </c>
      <c r="B925" s="14">
        <v>36311</v>
      </c>
      <c r="C925" s="31">
        <f>YEAR(Table1[[#This Row],[Tanggal Lahir]])</f>
        <v>1999</v>
      </c>
      <c r="D925" s="15">
        <f t="shared" si="56"/>
        <v>23.322222222222223</v>
      </c>
      <c r="E925" s="12" t="s">
        <v>10</v>
      </c>
      <c r="F925" s="14">
        <v>41993</v>
      </c>
      <c r="G925" s="13">
        <f t="shared" si="57"/>
        <v>2014</v>
      </c>
      <c r="H925" s="30">
        <f t="shared" si="58"/>
        <v>9000000</v>
      </c>
      <c r="I925" s="39">
        <v>5</v>
      </c>
      <c r="J925">
        <f t="shared" si="59"/>
        <v>3</v>
      </c>
    </row>
    <row r="926" spans="1:10" x14ac:dyDescent="0.25">
      <c r="A926" s="16" t="s">
        <v>950</v>
      </c>
      <c r="B926" s="14">
        <v>37837</v>
      </c>
      <c r="C926" s="31">
        <f>YEAR(Table1[[#This Row],[Tanggal Lahir]])</f>
        <v>2003</v>
      </c>
      <c r="D926" s="15">
        <f t="shared" si="56"/>
        <v>19.144444444444446</v>
      </c>
      <c r="E926" s="12" t="s">
        <v>10</v>
      </c>
      <c r="F926" s="14">
        <v>42334</v>
      </c>
      <c r="G926" s="13">
        <f t="shared" si="57"/>
        <v>2015</v>
      </c>
      <c r="H926" s="30">
        <f t="shared" si="58"/>
        <v>9000000</v>
      </c>
      <c r="I926" s="39">
        <v>5</v>
      </c>
      <c r="J926">
        <f t="shared" si="59"/>
        <v>2</v>
      </c>
    </row>
    <row r="927" spans="1:10" x14ac:dyDescent="0.25">
      <c r="A927" s="16" t="s">
        <v>951</v>
      </c>
      <c r="B927" s="14">
        <v>34662</v>
      </c>
      <c r="C927" s="31">
        <f>YEAR(Table1[[#This Row],[Tanggal Lahir]])</f>
        <v>1994</v>
      </c>
      <c r="D927" s="15">
        <f t="shared" si="56"/>
        <v>27.838888888888889</v>
      </c>
      <c r="E927" s="12" t="s">
        <v>10</v>
      </c>
      <c r="F927" s="14">
        <v>38832</v>
      </c>
      <c r="G927" s="13">
        <f t="shared" si="57"/>
        <v>2006</v>
      </c>
      <c r="H927" s="30">
        <f t="shared" si="58"/>
        <v>18000000</v>
      </c>
      <c r="I927" s="39">
        <v>6</v>
      </c>
      <c r="J927">
        <f t="shared" si="59"/>
        <v>3</v>
      </c>
    </row>
    <row r="928" spans="1:10" x14ac:dyDescent="0.25">
      <c r="A928" s="16" t="s">
        <v>952</v>
      </c>
      <c r="B928" s="14">
        <v>35182</v>
      </c>
      <c r="C928" s="31">
        <f>YEAR(Table1[[#This Row],[Tanggal Lahir]])</f>
        <v>1996</v>
      </c>
      <c r="D928" s="15">
        <f t="shared" si="56"/>
        <v>26.413888888888888</v>
      </c>
      <c r="E928" s="12" t="s">
        <v>14</v>
      </c>
      <c r="F928" s="14">
        <v>42850</v>
      </c>
      <c r="G928" s="13">
        <f t="shared" si="57"/>
        <v>2017</v>
      </c>
      <c r="H928" s="30">
        <f t="shared" si="58"/>
        <v>9000000</v>
      </c>
      <c r="I928" s="39">
        <v>2</v>
      </c>
      <c r="J928">
        <f t="shared" si="59"/>
        <v>2</v>
      </c>
    </row>
    <row r="929" spans="1:10" x14ac:dyDescent="0.25">
      <c r="A929" s="16" t="s">
        <v>953</v>
      </c>
      <c r="B929" s="14">
        <v>35197</v>
      </c>
      <c r="C929" s="31">
        <f>YEAR(Table1[[#This Row],[Tanggal Lahir]])</f>
        <v>1996</v>
      </c>
      <c r="D929" s="15">
        <f t="shared" si="56"/>
        <v>26.372222222222224</v>
      </c>
      <c r="E929" s="12" t="s">
        <v>10</v>
      </c>
      <c r="F929" s="14">
        <v>44080</v>
      </c>
      <c r="G929" s="13">
        <f t="shared" si="57"/>
        <v>2020</v>
      </c>
      <c r="H929" s="30">
        <f t="shared" si="58"/>
        <v>6800000</v>
      </c>
      <c r="I929" s="39">
        <v>1</v>
      </c>
      <c r="J929">
        <f t="shared" si="59"/>
        <v>2</v>
      </c>
    </row>
    <row r="930" spans="1:10" x14ac:dyDescent="0.25">
      <c r="A930" s="16" t="s">
        <v>954</v>
      </c>
      <c r="B930" s="14">
        <v>36220</v>
      </c>
      <c r="C930" s="31">
        <f>YEAR(Table1[[#This Row],[Tanggal Lahir]])</f>
        <v>1999</v>
      </c>
      <c r="D930" s="15">
        <f t="shared" si="56"/>
        <v>23.569444444444443</v>
      </c>
      <c r="E930" s="12" t="s">
        <v>10</v>
      </c>
      <c r="F930" s="14">
        <v>41472</v>
      </c>
      <c r="G930" s="13">
        <f t="shared" si="57"/>
        <v>2013</v>
      </c>
      <c r="H930" s="30">
        <f t="shared" si="58"/>
        <v>13000000</v>
      </c>
      <c r="I930" s="39">
        <v>3</v>
      </c>
      <c r="J930">
        <f t="shared" si="59"/>
        <v>2</v>
      </c>
    </row>
    <row r="931" spans="1:10" x14ac:dyDescent="0.25">
      <c r="A931" s="16" t="s">
        <v>955</v>
      </c>
      <c r="B931" s="14">
        <v>36146</v>
      </c>
      <c r="C931" s="31">
        <f>YEAR(Table1[[#This Row],[Tanggal Lahir]])</f>
        <v>1998</v>
      </c>
      <c r="D931" s="15">
        <f t="shared" si="56"/>
        <v>23.774999999999999</v>
      </c>
      <c r="E931" s="12" t="s">
        <v>10</v>
      </c>
      <c r="F931" s="14">
        <v>38757</v>
      </c>
      <c r="G931" s="13">
        <f t="shared" si="57"/>
        <v>2006</v>
      </c>
      <c r="H931" s="30">
        <f t="shared" si="58"/>
        <v>18000000</v>
      </c>
      <c r="I931" s="39">
        <v>2</v>
      </c>
      <c r="J931">
        <f t="shared" si="59"/>
        <v>3</v>
      </c>
    </row>
    <row r="932" spans="1:10" x14ac:dyDescent="0.25">
      <c r="A932" s="16" t="s">
        <v>956</v>
      </c>
      <c r="B932" s="14">
        <v>36653</v>
      </c>
      <c r="C932" s="31">
        <f>YEAR(Table1[[#This Row],[Tanggal Lahir]])</f>
        <v>2000</v>
      </c>
      <c r="D932" s="15">
        <f t="shared" si="56"/>
        <v>22.386111111111113</v>
      </c>
      <c r="E932" s="12" t="s">
        <v>10</v>
      </c>
      <c r="F932" s="14">
        <v>38687</v>
      </c>
      <c r="G932" s="13">
        <f t="shared" si="57"/>
        <v>2005</v>
      </c>
      <c r="H932" s="30">
        <f t="shared" si="58"/>
        <v>18000000</v>
      </c>
      <c r="I932" s="39">
        <v>4</v>
      </c>
      <c r="J932">
        <f t="shared" si="59"/>
        <v>2</v>
      </c>
    </row>
    <row r="933" spans="1:10" x14ac:dyDescent="0.25">
      <c r="A933" s="16" t="s">
        <v>957</v>
      </c>
      <c r="B933" s="14">
        <v>37397</v>
      </c>
      <c r="C933" s="31">
        <f>YEAR(Table1[[#This Row],[Tanggal Lahir]])</f>
        <v>2002</v>
      </c>
      <c r="D933" s="15">
        <f t="shared" si="56"/>
        <v>20.347222222222221</v>
      </c>
      <c r="E933" s="12" t="s">
        <v>10</v>
      </c>
      <c r="F933" s="14">
        <v>43917</v>
      </c>
      <c r="G933" s="13">
        <f t="shared" si="57"/>
        <v>2020</v>
      </c>
      <c r="H933" s="30">
        <f t="shared" si="58"/>
        <v>6800000</v>
      </c>
      <c r="I933" s="39">
        <v>6</v>
      </c>
      <c r="J933">
        <f t="shared" si="59"/>
        <v>2</v>
      </c>
    </row>
    <row r="934" spans="1:10" x14ac:dyDescent="0.25">
      <c r="A934" s="16" t="s">
        <v>958</v>
      </c>
      <c r="B934" s="14">
        <v>37845</v>
      </c>
      <c r="C934" s="31">
        <f>YEAR(Table1[[#This Row],[Tanggal Lahir]])</f>
        <v>2003</v>
      </c>
      <c r="D934" s="15">
        <f t="shared" si="56"/>
        <v>19.122222222222224</v>
      </c>
      <c r="E934" s="12" t="s">
        <v>10</v>
      </c>
      <c r="F934" s="14">
        <v>42272</v>
      </c>
      <c r="G934" s="13">
        <f t="shared" si="57"/>
        <v>2015</v>
      </c>
      <c r="H934" s="30">
        <f t="shared" si="58"/>
        <v>9000000</v>
      </c>
      <c r="I934" s="39">
        <v>2</v>
      </c>
      <c r="J934">
        <f t="shared" si="59"/>
        <v>3</v>
      </c>
    </row>
    <row r="935" spans="1:10" x14ac:dyDescent="0.25">
      <c r="A935" s="16" t="s">
        <v>959</v>
      </c>
      <c r="B935" s="14">
        <v>36607</v>
      </c>
      <c r="C935" s="31">
        <f>YEAR(Table1[[#This Row],[Tanggal Lahir]])</f>
        <v>2000</v>
      </c>
      <c r="D935" s="15">
        <f t="shared" si="56"/>
        <v>22.511111111111113</v>
      </c>
      <c r="E935" s="12" t="s">
        <v>10</v>
      </c>
      <c r="F935" s="14">
        <v>44331</v>
      </c>
      <c r="G935" s="13">
        <f t="shared" si="57"/>
        <v>2021</v>
      </c>
      <c r="H935" s="30">
        <f t="shared" si="58"/>
        <v>6800000</v>
      </c>
      <c r="I935" s="39">
        <v>2</v>
      </c>
      <c r="J935">
        <f t="shared" si="59"/>
        <v>2</v>
      </c>
    </row>
    <row r="936" spans="1:10" x14ac:dyDescent="0.25">
      <c r="A936" s="16" t="s">
        <v>960</v>
      </c>
      <c r="B936" s="14">
        <v>37513</v>
      </c>
      <c r="C936" s="31">
        <f>YEAR(Table1[[#This Row],[Tanggal Lahir]])</f>
        <v>2002</v>
      </c>
      <c r="D936" s="15">
        <f t="shared" si="56"/>
        <v>20.033333333333335</v>
      </c>
      <c r="E936" s="12" t="s">
        <v>10</v>
      </c>
      <c r="F936" s="14">
        <v>40767</v>
      </c>
      <c r="G936" s="13">
        <f t="shared" si="57"/>
        <v>2011</v>
      </c>
      <c r="H936" s="30">
        <f t="shared" si="58"/>
        <v>13000000</v>
      </c>
      <c r="I936" s="39">
        <v>3</v>
      </c>
      <c r="J936">
        <f t="shared" si="59"/>
        <v>2</v>
      </c>
    </row>
    <row r="937" spans="1:10" x14ac:dyDescent="0.25">
      <c r="A937" s="16" t="s">
        <v>961</v>
      </c>
      <c r="B937" s="14">
        <v>35508</v>
      </c>
      <c r="C937" s="31">
        <f>YEAR(Table1[[#This Row],[Tanggal Lahir]])</f>
        <v>1997</v>
      </c>
      <c r="D937" s="15">
        <f t="shared" si="56"/>
        <v>25.519444444444446</v>
      </c>
      <c r="E937" s="12" t="s">
        <v>10</v>
      </c>
      <c r="F937" s="14">
        <v>43320</v>
      </c>
      <c r="G937" s="13">
        <f t="shared" si="57"/>
        <v>2018</v>
      </c>
      <c r="H937" s="30">
        <f t="shared" si="58"/>
        <v>9000000</v>
      </c>
      <c r="I937" s="39">
        <v>5</v>
      </c>
      <c r="J937">
        <f t="shared" si="59"/>
        <v>2</v>
      </c>
    </row>
    <row r="938" spans="1:10" x14ac:dyDescent="0.25">
      <c r="A938" s="16" t="s">
        <v>962</v>
      </c>
      <c r="B938" s="14">
        <v>36726</v>
      </c>
      <c r="C938" s="31">
        <f>YEAR(Table1[[#This Row],[Tanggal Lahir]])</f>
        <v>2000</v>
      </c>
      <c r="D938" s="15">
        <f t="shared" si="56"/>
        <v>22.18611111111111</v>
      </c>
      <c r="E938" s="12" t="s">
        <v>10</v>
      </c>
      <c r="F938" s="14">
        <v>41789</v>
      </c>
      <c r="G938" s="13">
        <f t="shared" si="57"/>
        <v>2014</v>
      </c>
      <c r="H938" s="30">
        <f t="shared" si="58"/>
        <v>9000000</v>
      </c>
      <c r="I938" s="39">
        <v>6</v>
      </c>
      <c r="J938">
        <f t="shared" si="59"/>
        <v>2</v>
      </c>
    </row>
    <row r="939" spans="1:10" x14ac:dyDescent="0.25">
      <c r="A939" s="16" t="s">
        <v>963</v>
      </c>
      <c r="B939" s="14">
        <v>35745</v>
      </c>
      <c r="C939" s="31">
        <f>YEAR(Table1[[#This Row],[Tanggal Lahir]])</f>
        <v>1997</v>
      </c>
      <c r="D939" s="15">
        <f t="shared" si="56"/>
        <v>24.875</v>
      </c>
      <c r="E939" s="12" t="s">
        <v>14</v>
      </c>
      <c r="F939" s="14">
        <v>44019</v>
      </c>
      <c r="G939" s="13">
        <f t="shared" si="57"/>
        <v>2020</v>
      </c>
      <c r="H939" s="30">
        <f t="shared" si="58"/>
        <v>6800000</v>
      </c>
      <c r="I939" s="39">
        <v>6</v>
      </c>
      <c r="J939">
        <f t="shared" si="59"/>
        <v>3</v>
      </c>
    </row>
    <row r="940" spans="1:10" x14ac:dyDescent="0.25">
      <c r="A940" s="16" t="s">
        <v>964</v>
      </c>
      <c r="B940" s="14">
        <v>37148</v>
      </c>
      <c r="C940" s="31">
        <f>YEAR(Table1[[#This Row],[Tanggal Lahir]])</f>
        <v>2001</v>
      </c>
      <c r="D940" s="15">
        <f t="shared" si="56"/>
        <v>21.033333333333335</v>
      </c>
      <c r="E940" s="12" t="s">
        <v>10</v>
      </c>
      <c r="F940" s="14">
        <v>40493</v>
      </c>
      <c r="G940" s="13">
        <f t="shared" si="57"/>
        <v>2010</v>
      </c>
      <c r="H940" s="30">
        <f t="shared" si="58"/>
        <v>13000000</v>
      </c>
      <c r="I940" s="39">
        <v>4</v>
      </c>
      <c r="J940">
        <f t="shared" si="59"/>
        <v>3</v>
      </c>
    </row>
    <row r="941" spans="1:10" x14ac:dyDescent="0.25">
      <c r="A941" s="16" t="s">
        <v>965</v>
      </c>
      <c r="B941" s="14">
        <v>36085</v>
      </c>
      <c r="C941" s="31">
        <f>YEAR(Table1[[#This Row],[Tanggal Lahir]])</f>
        <v>1998</v>
      </c>
      <c r="D941" s="15">
        <f t="shared" si="56"/>
        <v>23.941666666666666</v>
      </c>
      <c r="E941" s="12" t="s">
        <v>10</v>
      </c>
      <c r="F941" s="14">
        <v>43538</v>
      </c>
      <c r="G941" s="13">
        <f t="shared" si="57"/>
        <v>2019</v>
      </c>
      <c r="H941" s="30">
        <f t="shared" si="58"/>
        <v>9000000</v>
      </c>
      <c r="I941" s="39">
        <v>4</v>
      </c>
      <c r="J941">
        <f t="shared" si="59"/>
        <v>2</v>
      </c>
    </row>
    <row r="942" spans="1:10" x14ac:dyDescent="0.25">
      <c r="A942" s="16" t="s">
        <v>966</v>
      </c>
      <c r="B942" s="14">
        <v>34989</v>
      </c>
      <c r="C942" s="31">
        <f>YEAR(Table1[[#This Row],[Tanggal Lahir]])</f>
        <v>1995</v>
      </c>
      <c r="D942" s="15">
        <f t="shared" si="56"/>
        <v>26.941666666666666</v>
      </c>
      <c r="E942" s="12" t="s">
        <v>10</v>
      </c>
      <c r="F942" s="14">
        <v>41661</v>
      </c>
      <c r="G942" s="13">
        <f t="shared" si="57"/>
        <v>2014</v>
      </c>
      <c r="H942" s="30">
        <f t="shared" si="58"/>
        <v>9000000</v>
      </c>
      <c r="I942" s="39">
        <v>6</v>
      </c>
      <c r="J942">
        <f t="shared" si="59"/>
        <v>2</v>
      </c>
    </row>
    <row r="943" spans="1:10" x14ac:dyDescent="0.25">
      <c r="A943" s="16" t="s">
        <v>967</v>
      </c>
      <c r="B943" s="14">
        <v>37166</v>
      </c>
      <c r="C943" s="31">
        <f>YEAR(Table1[[#This Row],[Tanggal Lahir]])</f>
        <v>2001</v>
      </c>
      <c r="D943" s="15">
        <f t="shared" si="56"/>
        <v>20.983333333333334</v>
      </c>
      <c r="E943" s="12" t="s">
        <v>10</v>
      </c>
      <c r="F943" s="14">
        <v>41669</v>
      </c>
      <c r="G943" s="13">
        <f t="shared" si="57"/>
        <v>2014</v>
      </c>
      <c r="H943" s="30">
        <f t="shared" si="58"/>
        <v>9000000</v>
      </c>
      <c r="I943" s="39">
        <v>5</v>
      </c>
      <c r="J943">
        <f t="shared" si="59"/>
        <v>2</v>
      </c>
    </row>
    <row r="944" spans="1:10" x14ac:dyDescent="0.25">
      <c r="A944" s="16" t="s">
        <v>968</v>
      </c>
      <c r="B944" s="14">
        <v>37535</v>
      </c>
      <c r="C944" s="31">
        <f>YEAR(Table1[[#This Row],[Tanggal Lahir]])</f>
        <v>2002</v>
      </c>
      <c r="D944" s="15">
        <f t="shared" si="56"/>
        <v>19.972222222222221</v>
      </c>
      <c r="E944" s="12" t="s">
        <v>7</v>
      </c>
      <c r="F944" s="14">
        <v>43379</v>
      </c>
      <c r="G944" s="13">
        <f t="shared" si="57"/>
        <v>2018</v>
      </c>
      <c r="H944" s="30">
        <f t="shared" si="58"/>
        <v>9000000</v>
      </c>
      <c r="I944" s="39">
        <v>1</v>
      </c>
      <c r="J944">
        <f t="shared" si="59"/>
        <v>3</v>
      </c>
    </row>
    <row r="945" spans="1:10" x14ac:dyDescent="0.25">
      <c r="A945" s="16" t="s">
        <v>969</v>
      </c>
      <c r="B945" s="14">
        <v>34843</v>
      </c>
      <c r="C945" s="31">
        <f>YEAR(Table1[[#This Row],[Tanggal Lahir]])</f>
        <v>1995</v>
      </c>
      <c r="D945" s="15">
        <f t="shared" si="56"/>
        <v>27.338888888888889</v>
      </c>
      <c r="E945" s="12" t="s">
        <v>10</v>
      </c>
      <c r="F945" s="14">
        <v>42075</v>
      </c>
      <c r="G945" s="13">
        <f t="shared" si="57"/>
        <v>2015</v>
      </c>
      <c r="H945" s="30">
        <f t="shared" si="58"/>
        <v>9000000</v>
      </c>
      <c r="I945" s="39">
        <v>4</v>
      </c>
      <c r="J945">
        <f t="shared" si="59"/>
        <v>2</v>
      </c>
    </row>
    <row r="946" spans="1:10" x14ac:dyDescent="0.25">
      <c r="A946" s="16" t="s">
        <v>970</v>
      </c>
      <c r="B946" s="14">
        <v>35869</v>
      </c>
      <c r="C946" s="31">
        <f>YEAR(Table1[[#This Row],[Tanggal Lahir]])</f>
        <v>1998</v>
      </c>
      <c r="D946" s="15">
        <f t="shared" si="56"/>
        <v>24.530555555555555</v>
      </c>
      <c r="E946" s="12" t="s">
        <v>10</v>
      </c>
      <c r="F946" s="14">
        <v>39662</v>
      </c>
      <c r="G946" s="13">
        <f t="shared" si="57"/>
        <v>2008</v>
      </c>
      <c r="H946" s="30">
        <f t="shared" si="58"/>
        <v>18000000</v>
      </c>
      <c r="I946" s="39">
        <v>2</v>
      </c>
      <c r="J946">
        <f t="shared" si="59"/>
        <v>2</v>
      </c>
    </row>
    <row r="947" spans="1:10" x14ac:dyDescent="0.25">
      <c r="A947" s="16" t="s">
        <v>971</v>
      </c>
      <c r="B947" s="14">
        <v>36245</v>
      </c>
      <c r="C947" s="31">
        <f>YEAR(Table1[[#This Row],[Tanggal Lahir]])</f>
        <v>1999</v>
      </c>
      <c r="D947" s="15">
        <f t="shared" si="56"/>
        <v>23.5</v>
      </c>
      <c r="E947" s="12" t="s">
        <v>10</v>
      </c>
      <c r="F947" s="14">
        <v>39944</v>
      </c>
      <c r="G947" s="13">
        <f t="shared" si="57"/>
        <v>2009</v>
      </c>
      <c r="H947" s="30">
        <f t="shared" si="58"/>
        <v>13000000</v>
      </c>
      <c r="I947" s="39">
        <v>1</v>
      </c>
      <c r="J947">
        <f t="shared" si="59"/>
        <v>2</v>
      </c>
    </row>
    <row r="948" spans="1:10" x14ac:dyDescent="0.25">
      <c r="A948" s="16" t="s">
        <v>972</v>
      </c>
      <c r="B948" s="14">
        <v>34614</v>
      </c>
      <c r="C948" s="31">
        <f>YEAR(Table1[[#This Row],[Tanggal Lahir]])</f>
        <v>1994</v>
      </c>
      <c r="D948" s="15">
        <f t="shared" si="56"/>
        <v>27.969444444444445</v>
      </c>
      <c r="E948" s="12" t="s">
        <v>7</v>
      </c>
      <c r="F948" s="14">
        <v>42343</v>
      </c>
      <c r="G948" s="13">
        <f t="shared" si="57"/>
        <v>2015</v>
      </c>
      <c r="H948" s="30">
        <f t="shared" si="58"/>
        <v>9000000</v>
      </c>
      <c r="I948" s="39">
        <v>5</v>
      </c>
      <c r="J948">
        <f t="shared" si="59"/>
        <v>2</v>
      </c>
    </row>
    <row r="949" spans="1:10" x14ac:dyDescent="0.25">
      <c r="A949" s="16" t="s">
        <v>973</v>
      </c>
      <c r="B949" s="14">
        <v>35105</v>
      </c>
      <c r="C949" s="31">
        <f>YEAR(Table1[[#This Row],[Tanggal Lahir]])</f>
        <v>1996</v>
      </c>
      <c r="D949" s="15">
        <f t="shared" si="56"/>
        <v>26.627777777777776</v>
      </c>
      <c r="E949" s="12" t="s">
        <v>7</v>
      </c>
      <c r="F949" s="14">
        <v>41510</v>
      </c>
      <c r="G949" s="13">
        <f t="shared" si="57"/>
        <v>2013</v>
      </c>
      <c r="H949" s="30">
        <f t="shared" si="58"/>
        <v>13000000</v>
      </c>
      <c r="I949" s="39">
        <v>2</v>
      </c>
      <c r="J949">
        <f t="shared" si="59"/>
        <v>2</v>
      </c>
    </row>
    <row r="950" spans="1:10" x14ac:dyDescent="0.25">
      <c r="A950" s="16" t="s">
        <v>974</v>
      </c>
      <c r="B950" s="14">
        <v>35083</v>
      </c>
      <c r="C950" s="31">
        <f>YEAR(Table1[[#This Row],[Tanggal Lahir]])</f>
        <v>1996</v>
      </c>
      <c r="D950" s="15">
        <f t="shared" si="56"/>
        <v>26.68611111111111</v>
      </c>
      <c r="E950" s="12" t="s">
        <v>7</v>
      </c>
      <c r="F950" s="14">
        <v>43762</v>
      </c>
      <c r="G950" s="13">
        <f t="shared" si="57"/>
        <v>2019</v>
      </c>
      <c r="H950" s="30">
        <f t="shared" si="58"/>
        <v>9000000</v>
      </c>
      <c r="I950" s="39">
        <v>3</v>
      </c>
      <c r="J950">
        <f t="shared" si="59"/>
        <v>2</v>
      </c>
    </row>
    <row r="951" spans="1:10" x14ac:dyDescent="0.25">
      <c r="A951" s="16" t="s">
        <v>975</v>
      </c>
      <c r="B951" s="14">
        <v>35379</v>
      </c>
      <c r="C951" s="31">
        <f>YEAR(Table1[[#This Row],[Tanggal Lahir]])</f>
        <v>1996</v>
      </c>
      <c r="D951" s="15">
        <f t="shared" si="56"/>
        <v>25.877777777777776</v>
      </c>
      <c r="E951" s="12" t="s">
        <v>7</v>
      </c>
      <c r="F951" s="14">
        <v>41965</v>
      </c>
      <c r="G951" s="13">
        <f t="shared" si="57"/>
        <v>2014</v>
      </c>
      <c r="H951" s="30">
        <f t="shared" si="58"/>
        <v>9000000</v>
      </c>
      <c r="I951" s="39">
        <v>6</v>
      </c>
      <c r="J951">
        <f t="shared" si="59"/>
        <v>2</v>
      </c>
    </row>
    <row r="952" spans="1:10" x14ac:dyDescent="0.25">
      <c r="A952" s="16" t="s">
        <v>976</v>
      </c>
      <c r="B952" s="14">
        <v>35967</v>
      </c>
      <c r="C952" s="31">
        <f>YEAR(Table1[[#This Row],[Tanggal Lahir]])</f>
        <v>1998</v>
      </c>
      <c r="D952" s="15">
        <f t="shared" si="56"/>
        <v>24.263888888888889</v>
      </c>
      <c r="E952" s="12" t="s">
        <v>10</v>
      </c>
      <c r="F952" s="14">
        <v>41986</v>
      </c>
      <c r="G952" s="13">
        <f t="shared" si="57"/>
        <v>2014</v>
      </c>
      <c r="H952" s="30">
        <f t="shared" si="58"/>
        <v>9000000</v>
      </c>
      <c r="I952" s="39">
        <v>5</v>
      </c>
      <c r="J952">
        <f t="shared" si="59"/>
        <v>2</v>
      </c>
    </row>
    <row r="953" spans="1:10" x14ac:dyDescent="0.25">
      <c r="A953" s="16" t="s">
        <v>977</v>
      </c>
      <c r="B953" s="14">
        <v>35893</v>
      </c>
      <c r="C953" s="31">
        <f>YEAR(Table1[[#This Row],[Tanggal Lahir]])</f>
        <v>1998</v>
      </c>
      <c r="D953" s="15">
        <f t="shared" si="56"/>
        <v>24.466666666666665</v>
      </c>
      <c r="E953" s="12" t="s">
        <v>10</v>
      </c>
      <c r="F953" s="14">
        <v>39336</v>
      </c>
      <c r="G953" s="13">
        <f t="shared" si="57"/>
        <v>2007</v>
      </c>
      <c r="H953" s="30">
        <f t="shared" si="58"/>
        <v>18000000</v>
      </c>
      <c r="I953" s="39">
        <v>6</v>
      </c>
      <c r="J953">
        <f t="shared" si="59"/>
        <v>2</v>
      </c>
    </row>
    <row r="954" spans="1:10" x14ac:dyDescent="0.25">
      <c r="A954" s="16" t="s">
        <v>978</v>
      </c>
      <c r="B954" s="14">
        <v>36128</v>
      </c>
      <c r="C954" s="31">
        <f>YEAR(Table1[[#This Row],[Tanggal Lahir]])</f>
        <v>1998</v>
      </c>
      <c r="D954" s="15">
        <f t="shared" si="56"/>
        <v>23.824999999999999</v>
      </c>
      <c r="E954" s="12" t="s">
        <v>7</v>
      </c>
      <c r="F954" s="14">
        <v>43678</v>
      </c>
      <c r="G954" s="13">
        <f t="shared" si="57"/>
        <v>2019</v>
      </c>
      <c r="H954" s="30">
        <f t="shared" si="58"/>
        <v>9000000</v>
      </c>
      <c r="I954" s="39">
        <v>3</v>
      </c>
      <c r="J954">
        <f t="shared" si="59"/>
        <v>2</v>
      </c>
    </row>
    <row r="955" spans="1:10" x14ac:dyDescent="0.25">
      <c r="A955" s="16" t="s">
        <v>979</v>
      </c>
      <c r="B955" s="14">
        <v>37286</v>
      </c>
      <c r="C955" s="31">
        <f>YEAR(Table1[[#This Row],[Tanggal Lahir]])</f>
        <v>2002</v>
      </c>
      <c r="D955" s="15">
        <f t="shared" si="56"/>
        <v>20.655555555555555</v>
      </c>
      <c r="E955" s="12" t="s">
        <v>10</v>
      </c>
      <c r="F955" s="14">
        <v>40739</v>
      </c>
      <c r="G955" s="13">
        <f t="shared" si="57"/>
        <v>2011</v>
      </c>
      <c r="H955" s="30">
        <f t="shared" si="58"/>
        <v>13000000</v>
      </c>
      <c r="I955" s="39">
        <v>3</v>
      </c>
      <c r="J955">
        <f t="shared" si="59"/>
        <v>2</v>
      </c>
    </row>
    <row r="956" spans="1:10" x14ac:dyDescent="0.25">
      <c r="A956" s="16" t="s">
        <v>980</v>
      </c>
      <c r="B956" s="14">
        <v>37064</v>
      </c>
      <c r="C956" s="31">
        <f>YEAR(Table1[[#This Row],[Tanggal Lahir]])</f>
        <v>2001</v>
      </c>
      <c r="D956" s="15">
        <f t="shared" si="56"/>
        <v>21.261111111111113</v>
      </c>
      <c r="E956" s="12" t="s">
        <v>7</v>
      </c>
      <c r="F956" s="14">
        <v>43668</v>
      </c>
      <c r="G956" s="13">
        <f t="shared" si="57"/>
        <v>2019</v>
      </c>
      <c r="H956" s="30">
        <f t="shared" si="58"/>
        <v>9000000</v>
      </c>
      <c r="I956" s="39">
        <v>6</v>
      </c>
      <c r="J956">
        <f t="shared" si="59"/>
        <v>2</v>
      </c>
    </row>
    <row r="957" spans="1:10" x14ac:dyDescent="0.25">
      <c r="A957" s="16" t="s">
        <v>981</v>
      </c>
      <c r="B957" s="14">
        <v>37891</v>
      </c>
      <c r="C957" s="31">
        <f>YEAR(Table1[[#This Row],[Tanggal Lahir]])</f>
        <v>2003</v>
      </c>
      <c r="D957" s="15">
        <f t="shared" si="56"/>
        <v>18.997222222222224</v>
      </c>
      <c r="E957" s="12" t="s">
        <v>10</v>
      </c>
      <c r="F957" s="14">
        <v>44727</v>
      </c>
      <c r="G957" s="13">
        <f t="shared" si="57"/>
        <v>2022</v>
      </c>
      <c r="H957" s="30">
        <f t="shared" si="58"/>
        <v>6800000</v>
      </c>
      <c r="I957" s="39">
        <v>3</v>
      </c>
      <c r="J957">
        <f t="shared" si="59"/>
        <v>2</v>
      </c>
    </row>
    <row r="958" spans="1:10" x14ac:dyDescent="0.25">
      <c r="A958" s="16" t="s">
        <v>982</v>
      </c>
      <c r="B958" s="14">
        <v>36009</v>
      </c>
      <c r="C958" s="31">
        <f>YEAR(Table1[[#This Row],[Tanggal Lahir]])</f>
        <v>1998</v>
      </c>
      <c r="D958" s="15">
        <f t="shared" si="56"/>
        <v>24.15</v>
      </c>
      <c r="E958" s="12" t="s">
        <v>14</v>
      </c>
      <c r="F958" s="14">
        <v>41004</v>
      </c>
      <c r="G958" s="13">
        <f t="shared" si="57"/>
        <v>2012</v>
      </c>
      <c r="H958" s="30">
        <f t="shared" si="58"/>
        <v>13000000</v>
      </c>
      <c r="I958" s="39">
        <v>2</v>
      </c>
      <c r="J958">
        <f t="shared" si="59"/>
        <v>2</v>
      </c>
    </row>
    <row r="959" spans="1:10" x14ac:dyDescent="0.25">
      <c r="A959" s="16" t="s">
        <v>983</v>
      </c>
      <c r="B959" s="14">
        <v>37110</v>
      </c>
      <c r="C959" s="31">
        <f>YEAR(Table1[[#This Row],[Tanggal Lahir]])</f>
        <v>2001</v>
      </c>
      <c r="D959" s="15">
        <f t="shared" si="56"/>
        <v>21.136111111111113</v>
      </c>
      <c r="E959" s="12" t="s">
        <v>10</v>
      </c>
      <c r="F959" s="14">
        <v>42088</v>
      </c>
      <c r="G959" s="13">
        <f t="shared" si="57"/>
        <v>2015</v>
      </c>
      <c r="H959" s="30">
        <f t="shared" si="58"/>
        <v>9000000</v>
      </c>
      <c r="I959" s="39">
        <v>4</v>
      </c>
      <c r="J959">
        <f t="shared" si="59"/>
        <v>2</v>
      </c>
    </row>
    <row r="960" spans="1:10" x14ac:dyDescent="0.25">
      <c r="A960" s="16" t="s">
        <v>984</v>
      </c>
      <c r="B960" s="14">
        <v>36006</v>
      </c>
      <c r="C960" s="31">
        <f>YEAR(Table1[[#This Row],[Tanggal Lahir]])</f>
        <v>1998</v>
      </c>
      <c r="D960" s="15">
        <f t="shared" si="56"/>
        <v>24.155555555555555</v>
      </c>
      <c r="E960" s="12" t="s">
        <v>10</v>
      </c>
      <c r="F960" s="14">
        <v>44746</v>
      </c>
      <c r="G960" s="13">
        <f t="shared" si="57"/>
        <v>2022</v>
      </c>
      <c r="H960" s="30">
        <f t="shared" si="58"/>
        <v>6800000</v>
      </c>
      <c r="I960" s="39">
        <v>5</v>
      </c>
      <c r="J960">
        <f t="shared" si="59"/>
        <v>2</v>
      </c>
    </row>
    <row r="961" spans="1:10" x14ac:dyDescent="0.25">
      <c r="A961" s="16" t="s">
        <v>985</v>
      </c>
      <c r="B961" s="14">
        <v>37667</v>
      </c>
      <c r="C961" s="31">
        <f>YEAR(Table1[[#This Row],[Tanggal Lahir]])</f>
        <v>2003</v>
      </c>
      <c r="D961" s="15">
        <f t="shared" si="56"/>
        <v>19.613888888888887</v>
      </c>
      <c r="E961" s="12" t="s">
        <v>7</v>
      </c>
      <c r="F961" s="14">
        <v>39777</v>
      </c>
      <c r="G961" s="13">
        <f t="shared" si="57"/>
        <v>2008</v>
      </c>
      <c r="H961" s="30">
        <f t="shared" si="58"/>
        <v>18000000</v>
      </c>
      <c r="I961" s="39">
        <v>4</v>
      </c>
      <c r="J961">
        <f t="shared" si="59"/>
        <v>2</v>
      </c>
    </row>
    <row r="962" spans="1:10" x14ac:dyDescent="0.25">
      <c r="A962" s="16" t="s">
        <v>986</v>
      </c>
      <c r="B962" s="14">
        <v>37880</v>
      </c>
      <c r="C962" s="31">
        <f>YEAR(Table1[[#This Row],[Tanggal Lahir]])</f>
        <v>2003</v>
      </c>
      <c r="D962" s="15">
        <f t="shared" ref="D962:D994" si="60">YEARFRAC(B962,$L$2)</f>
        <v>19.027777777777779</v>
      </c>
      <c r="E962" s="12" t="s">
        <v>7</v>
      </c>
      <c r="F962" s="14">
        <v>40220</v>
      </c>
      <c r="G962" s="13">
        <f t="shared" ref="G962:G994" si="61">YEAR(F962)</f>
        <v>2010</v>
      </c>
      <c r="H962" s="30">
        <f t="shared" ref="H962:H994" si="62">IF(G962&lt;= 2008,18000000,IF(AND(G962&gt;=2009,G962&lt;=2013),13000000,IF(AND(G962&gt;=2014,G962&lt;=2019),9000000,6800000)))</f>
        <v>13000000</v>
      </c>
      <c r="I962" s="39">
        <v>6</v>
      </c>
      <c r="J962">
        <f t="shared" ref="J962:J994" si="63">SUM(LEN(A962)-LEN(SUBSTITUTE(A962," ",""))+1)</f>
        <v>2</v>
      </c>
    </row>
    <row r="963" spans="1:10" x14ac:dyDescent="0.25">
      <c r="A963" s="16" t="s">
        <v>987</v>
      </c>
      <c r="B963" s="14">
        <v>36587</v>
      </c>
      <c r="C963" s="31">
        <f>YEAR(Table1[[#This Row],[Tanggal Lahir]])</f>
        <v>2000</v>
      </c>
      <c r="D963" s="15">
        <f t="shared" si="60"/>
        <v>22.566666666666666</v>
      </c>
      <c r="E963" s="12" t="s">
        <v>10</v>
      </c>
      <c r="F963" s="14">
        <v>38242</v>
      </c>
      <c r="G963" s="13">
        <f t="shared" si="61"/>
        <v>2004</v>
      </c>
      <c r="H963" s="30">
        <f t="shared" si="62"/>
        <v>18000000</v>
      </c>
      <c r="I963" s="39">
        <v>5</v>
      </c>
      <c r="J963">
        <f t="shared" si="63"/>
        <v>2</v>
      </c>
    </row>
    <row r="964" spans="1:10" x14ac:dyDescent="0.25">
      <c r="A964" s="16" t="s">
        <v>988</v>
      </c>
      <c r="B964" s="14">
        <v>35019</v>
      </c>
      <c r="C964" s="31">
        <f>YEAR(Table1[[#This Row],[Tanggal Lahir]])</f>
        <v>1995</v>
      </c>
      <c r="D964" s="15">
        <f t="shared" si="60"/>
        <v>26.861111111111111</v>
      </c>
      <c r="E964" s="12" t="s">
        <v>10</v>
      </c>
      <c r="F964" s="14">
        <v>40241</v>
      </c>
      <c r="G964" s="13">
        <f t="shared" si="61"/>
        <v>2010</v>
      </c>
      <c r="H964" s="30">
        <f t="shared" si="62"/>
        <v>13000000</v>
      </c>
      <c r="I964" s="39">
        <v>6</v>
      </c>
      <c r="J964">
        <f t="shared" si="63"/>
        <v>2</v>
      </c>
    </row>
    <row r="965" spans="1:10" x14ac:dyDescent="0.25">
      <c r="A965" s="16" t="s">
        <v>989</v>
      </c>
      <c r="B965" s="14">
        <v>35907</v>
      </c>
      <c r="C965" s="31">
        <f>YEAR(Table1[[#This Row],[Tanggal Lahir]])</f>
        <v>1998</v>
      </c>
      <c r="D965" s="15">
        <f t="shared" si="60"/>
        <v>24.427777777777777</v>
      </c>
      <c r="E965" s="12" t="s">
        <v>10</v>
      </c>
      <c r="F965" s="14">
        <v>44648</v>
      </c>
      <c r="G965" s="13">
        <f t="shared" si="61"/>
        <v>2022</v>
      </c>
      <c r="H965" s="30">
        <f t="shared" si="62"/>
        <v>6800000</v>
      </c>
      <c r="I965" s="39">
        <v>1</v>
      </c>
      <c r="J965">
        <f t="shared" si="63"/>
        <v>2</v>
      </c>
    </row>
    <row r="966" spans="1:10" x14ac:dyDescent="0.25">
      <c r="A966" s="16" t="s">
        <v>990</v>
      </c>
      <c r="B966" s="14">
        <v>36871</v>
      </c>
      <c r="C966" s="31">
        <f>YEAR(Table1[[#This Row],[Tanggal Lahir]])</f>
        <v>2000</v>
      </c>
      <c r="D966" s="15">
        <f t="shared" si="60"/>
        <v>21.791666666666668</v>
      </c>
      <c r="E966" s="12" t="s">
        <v>10</v>
      </c>
      <c r="F966" s="14">
        <v>39899</v>
      </c>
      <c r="G966" s="13">
        <f t="shared" si="61"/>
        <v>2009</v>
      </c>
      <c r="H966" s="30">
        <f t="shared" si="62"/>
        <v>13000000</v>
      </c>
      <c r="I966" s="39">
        <v>3</v>
      </c>
      <c r="J966">
        <f t="shared" si="63"/>
        <v>2</v>
      </c>
    </row>
    <row r="967" spans="1:10" x14ac:dyDescent="0.25">
      <c r="A967" s="16" t="s">
        <v>991</v>
      </c>
      <c r="B967" s="14">
        <v>35881</v>
      </c>
      <c r="C967" s="31">
        <f>YEAR(Table1[[#This Row],[Tanggal Lahir]])</f>
        <v>1998</v>
      </c>
      <c r="D967" s="15">
        <f t="shared" si="60"/>
        <v>24.497222222222224</v>
      </c>
      <c r="E967" s="12" t="s">
        <v>10</v>
      </c>
      <c r="F967" s="14">
        <v>41296</v>
      </c>
      <c r="G967" s="13">
        <f t="shared" si="61"/>
        <v>2013</v>
      </c>
      <c r="H967" s="30">
        <f t="shared" si="62"/>
        <v>13000000</v>
      </c>
      <c r="I967" s="39">
        <v>3</v>
      </c>
      <c r="J967">
        <f t="shared" si="63"/>
        <v>2</v>
      </c>
    </row>
    <row r="968" spans="1:10" x14ac:dyDescent="0.25">
      <c r="A968" s="16" t="s">
        <v>992</v>
      </c>
      <c r="B968" s="14">
        <v>35248</v>
      </c>
      <c r="C968" s="31">
        <f>YEAR(Table1[[#This Row],[Tanggal Lahir]])</f>
        <v>1996</v>
      </c>
      <c r="D968" s="15">
        <f t="shared" si="60"/>
        <v>26.233333333333334</v>
      </c>
      <c r="E968" s="12" t="s">
        <v>10</v>
      </c>
      <c r="F968" s="14">
        <v>38365</v>
      </c>
      <c r="G968" s="13">
        <f t="shared" si="61"/>
        <v>2005</v>
      </c>
      <c r="H968" s="30">
        <f t="shared" si="62"/>
        <v>18000000</v>
      </c>
      <c r="I968" s="39">
        <v>2</v>
      </c>
      <c r="J968">
        <f t="shared" si="63"/>
        <v>2</v>
      </c>
    </row>
    <row r="969" spans="1:10" x14ac:dyDescent="0.25">
      <c r="A969" s="16" t="s">
        <v>993</v>
      </c>
      <c r="B969" s="14">
        <v>35911</v>
      </c>
      <c r="C969" s="31">
        <f>YEAR(Table1[[#This Row],[Tanggal Lahir]])</f>
        <v>1998</v>
      </c>
      <c r="D969" s="15">
        <f t="shared" si="60"/>
        <v>24.416666666666668</v>
      </c>
      <c r="E969" s="12" t="s">
        <v>10</v>
      </c>
      <c r="F969" s="14">
        <v>38339</v>
      </c>
      <c r="G969" s="13">
        <f t="shared" si="61"/>
        <v>2004</v>
      </c>
      <c r="H969" s="30">
        <f t="shared" si="62"/>
        <v>18000000</v>
      </c>
      <c r="I969" s="39">
        <v>4</v>
      </c>
      <c r="J969">
        <f t="shared" si="63"/>
        <v>2</v>
      </c>
    </row>
    <row r="970" spans="1:10" x14ac:dyDescent="0.25">
      <c r="A970" s="16" t="s">
        <v>994</v>
      </c>
      <c r="B970" s="14">
        <v>36219</v>
      </c>
      <c r="C970" s="31">
        <f>YEAR(Table1[[#This Row],[Tanggal Lahir]])</f>
        <v>1999</v>
      </c>
      <c r="D970" s="15">
        <f t="shared" si="60"/>
        <v>23.572222222222223</v>
      </c>
      <c r="E970" s="12" t="s">
        <v>10</v>
      </c>
      <c r="F970" s="14">
        <v>44255</v>
      </c>
      <c r="G970" s="13">
        <f t="shared" si="61"/>
        <v>2021</v>
      </c>
      <c r="H970" s="30">
        <f t="shared" si="62"/>
        <v>6800000</v>
      </c>
      <c r="I970" s="39">
        <v>3</v>
      </c>
      <c r="J970">
        <f t="shared" si="63"/>
        <v>2</v>
      </c>
    </row>
    <row r="971" spans="1:10" x14ac:dyDescent="0.25">
      <c r="A971" s="16" t="s">
        <v>995</v>
      </c>
      <c r="B971" s="14">
        <v>34767</v>
      </c>
      <c r="C971" s="31">
        <f>YEAR(Table1[[#This Row],[Tanggal Lahir]])</f>
        <v>1995</v>
      </c>
      <c r="D971" s="15">
        <f t="shared" si="60"/>
        <v>27.547222222222221</v>
      </c>
      <c r="E971" s="12" t="s">
        <v>10</v>
      </c>
      <c r="F971" s="14">
        <v>42663</v>
      </c>
      <c r="G971" s="13">
        <f t="shared" si="61"/>
        <v>2016</v>
      </c>
      <c r="H971" s="30">
        <f t="shared" si="62"/>
        <v>9000000</v>
      </c>
      <c r="I971" s="39">
        <v>3</v>
      </c>
      <c r="J971">
        <f t="shared" si="63"/>
        <v>2</v>
      </c>
    </row>
    <row r="972" spans="1:10" x14ac:dyDescent="0.25">
      <c r="A972" s="16" t="s">
        <v>996</v>
      </c>
      <c r="B972" s="14">
        <v>34783</v>
      </c>
      <c r="C972" s="31">
        <f>YEAR(Table1[[#This Row],[Tanggal Lahir]])</f>
        <v>1995</v>
      </c>
      <c r="D972" s="15">
        <f t="shared" si="60"/>
        <v>27.502777777777776</v>
      </c>
      <c r="E972" s="12" t="s">
        <v>7</v>
      </c>
      <c r="F972" s="14">
        <v>41845</v>
      </c>
      <c r="G972" s="13">
        <f t="shared" si="61"/>
        <v>2014</v>
      </c>
      <c r="H972" s="30">
        <f t="shared" si="62"/>
        <v>9000000</v>
      </c>
      <c r="I972" s="39">
        <v>5</v>
      </c>
      <c r="J972">
        <f t="shared" si="63"/>
        <v>2</v>
      </c>
    </row>
    <row r="973" spans="1:10" x14ac:dyDescent="0.25">
      <c r="A973" s="16" t="s">
        <v>997</v>
      </c>
      <c r="B973" s="14">
        <v>37289</v>
      </c>
      <c r="C973" s="31">
        <f>YEAR(Table1[[#This Row],[Tanggal Lahir]])</f>
        <v>2002</v>
      </c>
      <c r="D973" s="15">
        <f t="shared" si="60"/>
        <v>20.65</v>
      </c>
      <c r="E973" s="12" t="s">
        <v>14</v>
      </c>
      <c r="F973" s="14">
        <v>38461</v>
      </c>
      <c r="G973" s="13">
        <f t="shared" si="61"/>
        <v>2005</v>
      </c>
      <c r="H973" s="30">
        <f t="shared" si="62"/>
        <v>18000000</v>
      </c>
      <c r="I973" s="39">
        <v>5</v>
      </c>
      <c r="J973">
        <f t="shared" si="63"/>
        <v>2</v>
      </c>
    </row>
    <row r="974" spans="1:10" x14ac:dyDescent="0.25">
      <c r="A974" s="16" t="s">
        <v>998</v>
      </c>
      <c r="B974" s="14">
        <v>35896</v>
      </c>
      <c r="C974" s="31">
        <f>YEAR(Table1[[#This Row],[Tanggal Lahir]])</f>
        <v>1998</v>
      </c>
      <c r="D974" s="15">
        <f t="shared" si="60"/>
        <v>24.458333333333332</v>
      </c>
      <c r="E974" s="12" t="s">
        <v>10</v>
      </c>
      <c r="F974" s="14">
        <v>44429</v>
      </c>
      <c r="G974" s="13">
        <f t="shared" si="61"/>
        <v>2021</v>
      </c>
      <c r="H974" s="30">
        <f t="shared" si="62"/>
        <v>6800000</v>
      </c>
      <c r="I974" s="39">
        <v>1</v>
      </c>
      <c r="J974">
        <f t="shared" si="63"/>
        <v>2</v>
      </c>
    </row>
    <row r="975" spans="1:10" x14ac:dyDescent="0.25">
      <c r="A975" s="16" t="s">
        <v>999</v>
      </c>
      <c r="B975" s="14">
        <v>34583</v>
      </c>
      <c r="C975" s="31">
        <f>YEAR(Table1[[#This Row],[Tanggal Lahir]])</f>
        <v>1994</v>
      </c>
      <c r="D975" s="15">
        <f t="shared" si="60"/>
        <v>28.055555555555557</v>
      </c>
      <c r="E975" s="12" t="s">
        <v>10</v>
      </c>
      <c r="F975" s="14">
        <v>40597</v>
      </c>
      <c r="G975" s="13">
        <f t="shared" si="61"/>
        <v>2011</v>
      </c>
      <c r="H975" s="30">
        <f t="shared" si="62"/>
        <v>13000000</v>
      </c>
      <c r="I975" s="39">
        <v>3</v>
      </c>
      <c r="J975">
        <f t="shared" si="63"/>
        <v>2</v>
      </c>
    </row>
    <row r="976" spans="1:10" x14ac:dyDescent="0.25">
      <c r="A976" s="16" t="s">
        <v>1000</v>
      </c>
      <c r="B976" s="14">
        <v>37880</v>
      </c>
      <c r="C976" s="31">
        <f>YEAR(Table1[[#This Row],[Tanggal Lahir]])</f>
        <v>2003</v>
      </c>
      <c r="D976" s="15">
        <f t="shared" si="60"/>
        <v>19.027777777777779</v>
      </c>
      <c r="E976" s="12" t="s">
        <v>14</v>
      </c>
      <c r="F976" s="14">
        <v>42723</v>
      </c>
      <c r="G976" s="13">
        <f t="shared" si="61"/>
        <v>2016</v>
      </c>
      <c r="H976" s="30">
        <f t="shared" si="62"/>
        <v>9000000</v>
      </c>
      <c r="I976" s="39">
        <v>4</v>
      </c>
      <c r="J976">
        <f t="shared" si="63"/>
        <v>2</v>
      </c>
    </row>
    <row r="977" spans="1:10" x14ac:dyDescent="0.25">
      <c r="A977" s="16" t="s">
        <v>1001</v>
      </c>
      <c r="B977" s="14">
        <v>36634</v>
      </c>
      <c r="C977" s="31">
        <f>YEAR(Table1[[#This Row],[Tanggal Lahir]])</f>
        <v>2000</v>
      </c>
      <c r="D977" s="15">
        <f t="shared" si="60"/>
        <v>22.43888888888889</v>
      </c>
      <c r="E977" s="12" t="s">
        <v>10</v>
      </c>
      <c r="F977" s="14">
        <v>40530</v>
      </c>
      <c r="G977" s="13">
        <f t="shared" si="61"/>
        <v>2010</v>
      </c>
      <c r="H977" s="30">
        <f t="shared" si="62"/>
        <v>13000000</v>
      </c>
      <c r="I977" s="39">
        <v>4</v>
      </c>
      <c r="J977">
        <f t="shared" si="63"/>
        <v>2</v>
      </c>
    </row>
    <row r="978" spans="1:10" x14ac:dyDescent="0.25">
      <c r="A978" s="16" t="s">
        <v>1002</v>
      </c>
      <c r="B978" s="14">
        <v>37261</v>
      </c>
      <c r="C978" s="31">
        <f>YEAR(Table1[[#This Row],[Tanggal Lahir]])</f>
        <v>2002</v>
      </c>
      <c r="D978" s="15">
        <f t="shared" si="60"/>
        <v>20.725000000000001</v>
      </c>
      <c r="E978" s="12" t="s">
        <v>10</v>
      </c>
      <c r="F978" s="14">
        <v>43873</v>
      </c>
      <c r="G978" s="13">
        <f t="shared" si="61"/>
        <v>2020</v>
      </c>
      <c r="H978" s="30">
        <f t="shared" si="62"/>
        <v>6800000</v>
      </c>
      <c r="I978" s="39">
        <v>3</v>
      </c>
      <c r="J978">
        <f t="shared" si="63"/>
        <v>2</v>
      </c>
    </row>
    <row r="979" spans="1:10" x14ac:dyDescent="0.25">
      <c r="A979" s="16" t="s">
        <v>1003</v>
      </c>
      <c r="B979" s="14">
        <v>36629</v>
      </c>
      <c r="C979" s="31">
        <f>YEAR(Table1[[#This Row],[Tanggal Lahir]])</f>
        <v>2000</v>
      </c>
      <c r="D979" s="15">
        <f t="shared" si="60"/>
        <v>22.452777777777779</v>
      </c>
      <c r="E979" s="12" t="s">
        <v>14</v>
      </c>
      <c r="F979" s="14">
        <v>43439</v>
      </c>
      <c r="G979" s="13">
        <f t="shared" si="61"/>
        <v>2018</v>
      </c>
      <c r="H979" s="30">
        <f t="shared" si="62"/>
        <v>9000000</v>
      </c>
      <c r="I979" s="39">
        <v>6</v>
      </c>
      <c r="J979">
        <f t="shared" si="63"/>
        <v>2</v>
      </c>
    </row>
    <row r="980" spans="1:10" x14ac:dyDescent="0.25">
      <c r="A980" s="16" t="s">
        <v>1004</v>
      </c>
      <c r="B980" s="14">
        <v>35577</v>
      </c>
      <c r="C980" s="31">
        <f>YEAR(Table1[[#This Row],[Tanggal Lahir]])</f>
        <v>1997</v>
      </c>
      <c r="D980" s="15">
        <f t="shared" si="60"/>
        <v>25.330555555555556</v>
      </c>
      <c r="E980" s="12" t="s">
        <v>10</v>
      </c>
      <c r="F980" s="14">
        <v>43432</v>
      </c>
      <c r="G980" s="13">
        <f t="shared" si="61"/>
        <v>2018</v>
      </c>
      <c r="H980" s="30">
        <f t="shared" si="62"/>
        <v>9000000</v>
      </c>
      <c r="I980" s="39">
        <v>5</v>
      </c>
      <c r="J980">
        <f t="shared" si="63"/>
        <v>3</v>
      </c>
    </row>
    <row r="981" spans="1:10" x14ac:dyDescent="0.25">
      <c r="A981" s="16" t="s">
        <v>1005</v>
      </c>
      <c r="B981" s="14">
        <v>35396</v>
      </c>
      <c r="C981" s="31">
        <f>YEAR(Table1[[#This Row],[Tanggal Lahir]])</f>
        <v>1996</v>
      </c>
      <c r="D981" s="15">
        <f t="shared" si="60"/>
        <v>25.830555555555556</v>
      </c>
      <c r="E981" s="12" t="s">
        <v>10</v>
      </c>
      <c r="F981" s="14">
        <v>41797</v>
      </c>
      <c r="G981" s="13">
        <f t="shared" si="61"/>
        <v>2014</v>
      </c>
      <c r="H981" s="30">
        <f t="shared" si="62"/>
        <v>9000000</v>
      </c>
      <c r="I981" s="39">
        <v>5</v>
      </c>
      <c r="J981">
        <f t="shared" si="63"/>
        <v>2</v>
      </c>
    </row>
    <row r="982" spans="1:10" x14ac:dyDescent="0.25">
      <c r="A982" s="16" t="s">
        <v>1006</v>
      </c>
      <c r="B982" s="14">
        <v>36456</v>
      </c>
      <c r="C982" s="31">
        <f>YEAR(Table1[[#This Row],[Tanggal Lahir]])</f>
        <v>1999</v>
      </c>
      <c r="D982" s="15">
        <f t="shared" si="60"/>
        <v>22.925000000000001</v>
      </c>
      <c r="E982" s="12" t="s">
        <v>7</v>
      </c>
      <c r="F982" s="14">
        <v>44267</v>
      </c>
      <c r="G982" s="13">
        <f t="shared" si="61"/>
        <v>2021</v>
      </c>
      <c r="H982" s="30">
        <f t="shared" si="62"/>
        <v>6800000</v>
      </c>
      <c r="I982" s="39">
        <v>1</v>
      </c>
      <c r="J982">
        <f t="shared" si="63"/>
        <v>2</v>
      </c>
    </row>
    <row r="983" spans="1:10" x14ac:dyDescent="0.25">
      <c r="A983" s="16" t="s">
        <v>1007</v>
      </c>
      <c r="B983" s="14">
        <v>36979</v>
      </c>
      <c r="C983" s="31">
        <f>YEAR(Table1[[#This Row],[Tanggal Lahir]])</f>
        <v>2001</v>
      </c>
      <c r="D983" s="15">
        <f t="shared" si="60"/>
        <v>21.491666666666667</v>
      </c>
      <c r="E983" s="12" t="s">
        <v>10</v>
      </c>
      <c r="F983" s="14">
        <v>42481</v>
      </c>
      <c r="G983" s="13">
        <f t="shared" si="61"/>
        <v>2016</v>
      </c>
      <c r="H983" s="30">
        <f t="shared" si="62"/>
        <v>9000000</v>
      </c>
      <c r="I983" s="39">
        <v>4</v>
      </c>
      <c r="J983">
        <f t="shared" si="63"/>
        <v>2</v>
      </c>
    </row>
    <row r="984" spans="1:10" x14ac:dyDescent="0.25">
      <c r="A984" s="16" t="s">
        <v>1008</v>
      </c>
      <c r="B984" s="14">
        <v>37436</v>
      </c>
      <c r="C984" s="31">
        <f>YEAR(Table1[[#This Row],[Tanggal Lahir]])</f>
        <v>2002</v>
      </c>
      <c r="D984" s="15">
        <f t="shared" si="60"/>
        <v>20.241666666666667</v>
      </c>
      <c r="E984" s="12" t="s">
        <v>14</v>
      </c>
      <c r="F984" s="14">
        <v>43344</v>
      </c>
      <c r="G984" s="13">
        <f t="shared" si="61"/>
        <v>2018</v>
      </c>
      <c r="H984" s="30">
        <f t="shared" si="62"/>
        <v>9000000</v>
      </c>
      <c r="I984" s="39">
        <v>4</v>
      </c>
      <c r="J984">
        <f t="shared" si="63"/>
        <v>2</v>
      </c>
    </row>
    <row r="985" spans="1:10" x14ac:dyDescent="0.25">
      <c r="A985" s="16" t="s">
        <v>1009</v>
      </c>
      <c r="B985" s="14">
        <v>35729</v>
      </c>
      <c r="C985" s="31">
        <f>YEAR(Table1[[#This Row],[Tanggal Lahir]])</f>
        <v>1997</v>
      </c>
      <c r="D985" s="15">
        <f t="shared" si="60"/>
        <v>24.916666666666668</v>
      </c>
      <c r="E985" s="12" t="s">
        <v>7</v>
      </c>
      <c r="F985" s="14">
        <v>41499</v>
      </c>
      <c r="G985" s="13">
        <f t="shared" si="61"/>
        <v>2013</v>
      </c>
      <c r="H985" s="30">
        <f t="shared" si="62"/>
        <v>13000000</v>
      </c>
      <c r="I985" s="39">
        <v>4</v>
      </c>
      <c r="J985">
        <f t="shared" si="63"/>
        <v>2</v>
      </c>
    </row>
    <row r="986" spans="1:10" x14ac:dyDescent="0.25">
      <c r="A986" s="16" t="s">
        <v>1010</v>
      </c>
      <c r="B986" s="14">
        <v>35663</v>
      </c>
      <c r="C986" s="31">
        <f>YEAR(Table1[[#This Row],[Tanggal Lahir]])</f>
        <v>1997</v>
      </c>
      <c r="D986" s="15">
        <f t="shared" si="60"/>
        <v>25.097222222222221</v>
      </c>
      <c r="E986" s="12" t="s">
        <v>10</v>
      </c>
      <c r="F986" s="14">
        <v>42870</v>
      </c>
      <c r="G986" s="13">
        <f t="shared" si="61"/>
        <v>2017</v>
      </c>
      <c r="H986" s="30">
        <f t="shared" si="62"/>
        <v>9000000</v>
      </c>
      <c r="I986" s="39">
        <v>4</v>
      </c>
      <c r="J986">
        <f t="shared" si="63"/>
        <v>2</v>
      </c>
    </row>
    <row r="987" spans="1:10" x14ac:dyDescent="0.25">
      <c r="A987" s="16" t="s">
        <v>1011</v>
      </c>
      <c r="B987" s="14">
        <v>34949</v>
      </c>
      <c r="C987" s="31">
        <f>YEAR(Table1[[#This Row],[Tanggal Lahir]])</f>
        <v>1995</v>
      </c>
      <c r="D987" s="15">
        <f t="shared" si="60"/>
        <v>27.052777777777777</v>
      </c>
      <c r="E987" s="12" t="s">
        <v>10</v>
      </c>
      <c r="F987" s="14">
        <v>42173</v>
      </c>
      <c r="G987" s="13">
        <f t="shared" si="61"/>
        <v>2015</v>
      </c>
      <c r="H987" s="30">
        <f t="shared" si="62"/>
        <v>9000000</v>
      </c>
      <c r="I987" s="39">
        <v>4</v>
      </c>
      <c r="J987">
        <f t="shared" si="63"/>
        <v>2</v>
      </c>
    </row>
    <row r="988" spans="1:10" x14ac:dyDescent="0.25">
      <c r="A988" s="16" t="s">
        <v>1012</v>
      </c>
      <c r="B988" s="14">
        <v>37768</v>
      </c>
      <c r="C988" s="31">
        <f>YEAR(Table1[[#This Row],[Tanggal Lahir]])</f>
        <v>2003</v>
      </c>
      <c r="D988" s="15">
        <f t="shared" si="60"/>
        <v>19.330555555555556</v>
      </c>
      <c r="E988" s="12" t="s">
        <v>14</v>
      </c>
      <c r="F988" s="14">
        <v>38509</v>
      </c>
      <c r="G988" s="13">
        <f t="shared" si="61"/>
        <v>2005</v>
      </c>
      <c r="H988" s="30">
        <f t="shared" si="62"/>
        <v>18000000</v>
      </c>
      <c r="I988" s="39">
        <v>6</v>
      </c>
      <c r="J988">
        <f t="shared" si="63"/>
        <v>2</v>
      </c>
    </row>
    <row r="989" spans="1:10" x14ac:dyDescent="0.25">
      <c r="A989" s="16" t="s">
        <v>1013</v>
      </c>
      <c r="B989" s="14">
        <v>37057</v>
      </c>
      <c r="C989" s="31">
        <f>YEAR(Table1[[#This Row],[Tanggal Lahir]])</f>
        <v>2001</v>
      </c>
      <c r="D989" s="15">
        <f t="shared" si="60"/>
        <v>21.280555555555555</v>
      </c>
      <c r="E989" s="12" t="s">
        <v>10</v>
      </c>
      <c r="F989" s="14">
        <v>42027</v>
      </c>
      <c r="G989" s="13">
        <f t="shared" si="61"/>
        <v>2015</v>
      </c>
      <c r="H989" s="30">
        <f t="shared" si="62"/>
        <v>9000000</v>
      </c>
      <c r="I989" s="39">
        <v>3</v>
      </c>
      <c r="J989">
        <f t="shared" si="63"/>
        <v>2</v>
      </c>
    </row>
    <row r="990" spans="1:10" x14ac:dyDescent="0.25">
      <c r="A990" s="16" t="s">
        <v>1014</v>
      </c>
      <c r="B990" s="14">
        <v>35931</v>
      </c>
      <c r="C990" s="31">
        <f>YEAR(Table1[[#This Row],[Tanggal Lahir]])</f>
        <v>1998</v>
      </c>
      <c r="D990" s="15">
        <f t="shared" si="60"/>
        <v>24.361111111111111</v>
      </c>
      <c r="E990" s="12" t="s">
        <v>7</v>
      </c>
      <c r="F990" s="14">
        <v>40374</v>
      </c>
      <c r="G990" s="13">
        <f t="shared" si="61"/>
        <v>2010</v>
      </c>
      <c r="H990" s="30">
        <f t="shared" si="62"/>
        <v>13000000</v>
      </c>
      <c r="I990" s="39">
        <v>4</v>
      </c>
      <c r="J990">
        <f t="shared" si="63"/>
        <v>2</v>
      </c>
    </row>
    <row r="991" spans="1:10" x14ac:dyDescent="0.25">
      <c r="A991" s="16" t="s">
        <v>1015</v>
      </c>
      <c r="B991" s="14">
        <v>35012</v>
      </c>
      <c r="C991" s="31">
        <f>YEAR(Table1[[#This Row],[Tanggal Lahir]])</f>
        <v>1995</v>
      </c>
      <c r="D991" s="15">
        <f t="shared" si="60"/>
        <v>26.880555555555556</v>
      </c>
      <c r="E991" s="12" t="s">
        <v>10</v>
      </c>
      <c r="F991" s="14">
        <v>40606</v>
      </c>
      <c r="G991" s="13">
        <f t="shared" si="61"/>
        <v>2011</v>
      </c>
      <c r="H991" s="30">
        <f t="shared" si="62"/>
        <v>13000000</v>
      </c>
      <c r="I991" s="39">
        <v>5</v>
      </c>
      <c r="J991">
        <f t="shared" si="63"/>
        <v>2</v>
      </c>
    </row>
    <row r="992" spans="1:10" x14ac:dyDescent="0.25">
      <c r="A992" s="16" t="s">
        <v>1016</v>
      </c>
      <c r="B992" s="14">
        <v>36153</v>
      </c>
      <c r="C992" s="31">
        <f>YEAR(Table1[[#This Row],[Tanggal Lahir]])</f>
        <v>1998</v>
      </c>
      <c r="D992" s="15">
        <f t="shared" si="60"/>
        <v>23.755555555555556</v>
      </c>
      <c r="E992" s="12" t="s">
        <v>7</v>
      </c>
      <c r="F992" s="14">
        <v>42472</v>
      </c>
      <c r="G992" s="13">
        <f t="shared" si="61"/>
        <v>2016</v>
      </c>
      <c r="H992" s="30">
        <f t="shared" si="62"/>
        <v>9000000</v>
      </c>
      <c r="I992" s="39">
        <v>2</v>
      </c>
      <c r="J992">
        <f t="shared" si="63"/>
        <v>2</v>
      </c>
    </row>
    <row r="993" spans="1:10" x14ac:dyDescent="0.25">
      <c r="A993" s="16" t="s">
        <v>1017</v>
      </c>
      <c r="B993" s="14">
        <v>34821</v>
      </c>
      <c r="C993" s="31">
        <f>YEAR(Table1[[#This Row],[Tanggal Lahir]])</f>
        <v>1995</v>
      </c>
      <c r="D993" s="15">
        <f t="shared" si="60"/>
        <v>27.4</v>
      </c>
      <c r="E993" s="12" t="s">
        <v>10</v>
      </c>
      <c r="F993" s="14">
        <v>38428</v>
      </c>
      <c r="G993" s="13">
        <f t="shared" si="61"/>
        <v>2005</v>
      </c>
      <c r="H993" s="30">
        <f t="shared" si="62"/>
        <v>18000000</v>
      </c>
      <c r="I993" s="39">
        <v>5</v>
      </c>
      <c r="J993">
        <f t="shared" si="63"/>
        <v>2</v>
      </c>
    </row>
    <row r="994" spans="1:10" x14ac:dyDescent="0.25">
      <c r="A994" s="24" t="s">
        <v>1018</v>
      </c>
      <c r="B994" s="25">
        <v>34978</v>
      </c>
      <c r="C994" s="32">
        <f>YEAR(Table1[[#This Row],[Tanggal Lahir]])</f>
        <v>1995</v>
      </c>
      <c r="D994" s="26">
        <f t="shared" si="60"/>
        <v>26.972222222222221</v>
      </c>
      <c r="E994" s="27" t="s">
        <v>10</v>
      </c>
      <c r="F994" s="25">
        <v>43421</v>
      </c>
      <c r="G994" s="28">
        <f t="shared" si="61"/>
        <v>2018</v>
      </c>
      <c r="H994" s="30">
        <f t="shared" si="62"/>
        <v>9000000</v>
      </c>
      <c r="I994" s="40">
        <v>5</v>
      </c>
      <c r="J994">
        <f t="shared" si="63"/>
        <v>2</v>
      </c>
    </row>
    <row r="995" spans="1:10" x14ac:dyDescent="0.25">
      <c r="A995" s="24">
        <f>COUNTA(Table1[Nama Karyawan])</f>
        <v>993</v>
      </c>
      <c r="B995" s="25"/>
      <c r="C995" s="32"/>
      <c r="D995" s="26"/>
      <c r="E995" s="27">
        <f>COUNTA(Table1[Divisi])</f>
        <v>993</v>
      </c>
      <c r="F995" s="25"/>
      <c r="G995" s="28"/>
      <c r="H995" s="29">
        <f>AVERAGE(Table1[[#Headers],[#Data],[Gaji Pokok]])</f>
        <v>11881772.406847935</v>
      </c>
      <c r="I995" s="40"/>
    </row>
    <row r="996" spans="1:10" x14ac:dyDescent="0.25">
      <c r="B996"/>
      <c r="F996"/>
      <c r="G996" s="10"/>
    </row>
    <row r="997" spans="1:10" x14ac:dyDescent="0.25">
      <c r="B997"/>
      <c r="F997"/>
    </row>
    <row r="998" spans="1:10" x14ac:dyDescent="0.25">
      <c r="B998"/>
      <c r="F998"/>
    </row>
    <row r="999" spans="1:10" x14ac:dyDescent="0.25">
      <c r="B999"/>
      <c r="F999"/>
    </row>
    <row r="1000" spans="1:10" x14ac:dyDescent="0.25">
      <c r="B1000"/>
      <c r="F1000"/>
    </row>
    <row r="1001" spans="1:10" x14ac:dyDescent="0.25">
      <c r="B1001"/>
      <c r="F1001"/>
    </row>
    <row r="1002" spans="1:10" x14ac:dyDescent="0.25">
      <c r="F1002"/>
      <c r="G1002" s="3"/>
    </row>
    <row r="1003" spans="1:10" x14ac:dyDescent="0.25">
      <c r="F1003"/>
      <c r="G1003" s="3"/>
    </row>
    <row r="1004" spans="1:10" x14ac:dyDescent="0.25">
      <c r="F1004"/>
      <c r="G1004" s="3"/>
    </row>
    <row r="1005" spans="1:10" x14ac:dyDescent="0.25">
      <c r="F1005"/>
      <c r="G1005" s="3"/>
    </row>
    <row r="1006" spans="1:10" x14ac:dyDescent="0.25">
      <c r="F1006"/>
      <c r="G1006" s="3"/>
    </row>
    <row r="1007" spans="1:10" x14ac:dyDescent="0.25">
      <c r="F1007"/>
      <c r="G1007" s="3"/>
    </row>
    <row r="1008" spans="1:10" x14ac:dyDescent="0.25">
      <c r="F1008"/>
      <c r="G1008" s="3"/>
    </row>
    <row r="1009" spans="6:7" x14ac:dyDescent="0.25">
      <c r="F1009"/>
      <c r="G1009" s="3"/>
    </row>
    <row r="1010" spans="6:7" x14ac:dyDescent="0.25">
      <c r="F1010"/>
      <c r="G1010" s="3"/>
    </row>
    <row r="1011" spans="6:7" x14ac:dyDescent="0.25">
      <c r="F1011"/>
      <c r="G1011" s="3"/>
    </row>
    <row r="1012" spans="6:7" x14ac:dyDescent="0.25">
      <c r="F1012"/>
      <c r="G1012" s="3"/>
    </row>
    <row r="1013" spans="6:7" x14ac:dyDescent="0.25">
      <c r="F1013"/>
      <c r="G1013" s="3"/>
    </row>
    <row r="1014" spans="6:7" x14ac:dyDescent="0.25">
      <c r="F1014"/>
      <c r="G1014" s="3"/>
    </row>
    <row r="1015" spans="6:7" x14ac:dyDescent="0.25">
      <c r="F1015"/>
      <c r="G1015" s="3"/>
    </row>
    <row r="1016" spans="6:7" x14ac:dyDescent="0.25">
      <c r="F1016"/>
      <c r="G1016" s="3"/>
    </row>
    <row r="1017" spans="6:7" x14ac:dyDescent="0.25">
      <c r="F1017"/>
      <c r="G1017" s="3"/>
    </row>
    <row r="1018" spans="6:7" x14ac:dyDescent="0.25">
      <c r="F1018"/>
      <c r="G1018" s="3"/>
    </row>
    <row r="1019" spans="6:7" x14ac:dyDescent="0.25">
      <c r="F1019"/>
      <c r="G1019" s="3"/>
    </row>
    <row r="1020" spans="6:7" x14ac:dyDescent="0.25">
      <c r="F1020"/>
      <c r="G1020" s="3"/>
    </row>
    <row r="1021" spans="6:7" x14ac:dyDescent="0.25">
      <c r="F1021"/>
      <c r="G1021" s="3"/>
    </row>
    <row r="1022" spans="6:7" x14ac:dyDescent="0.25">
      <c r="F1022"/>
      <c r="G1022" s="3"/>
    </row>
    <row r="1023" spans="6:7" x14ac:dyDescent="0.25">
      <c r="F1023"/>
      <c r="G1023" s="3"/>
    </row>
    <row r="1024" spans="6:7" x14ac:dyDescent="0.25">
      <c r="F1024"/>
      <c r="G1024" s="3"/>
    </row>
    <row r="1025" spans="6:7" x14ac:dyDescent="0.25">
      <c r="F1025"/>
      <c r="G1025" s="3"/>
    </row>
    <row r="1026" spans="6:7" x14ac:dyDescent="0.25">
      <c r="F1026"/>
      <c r="G1026" s="3"/>
    </row>
    <row r="1027" spans="6:7" x14ac:dyDescent="0.25">
      <c r="F1027"/>
      <c r="G1027" s="3"/>
    </row>
    <row r="1028" spans="6:7" x14ac:dyDescent="0.25">
      <c r="F1028"/>
      <c r="G1028" s="3"/>
    </row>
    <row r="1029" spans="6:7" x14ac:dyDescent="0.25">
      <c r="F1029"/>
      <c r="G1029" s="3"/>
    </row>
    <row r="1030" spans="6:7" x14ac:dyDescent="0.25">
      <c r="F1030"/>
      <c r="G1030" s="3"/>
    </row>
    <row r="1031" spans="6:7" x14ac:dyDescent="0.25">
      <c r="F1031"/>
      <c r="G1031" s="3"/>
    </row>
    <row r="1032" spans="6:7" x14ac:dyDescent="0.25">
      <c r="F1032"/>
      <c r="G1032" s="3"/>
    </row>
    <row r="1033" spans="6:7" x14ac:dyDescent="0.25">
      <c r="F1033"/>
      <c r="G1033" s="3"/>
    </row>
    <row r="1034" spans="6:7" x14ac:dyDescent="0.25">
      <c r="F1034"/>
      <c r="G1034" s="3"/>
    </row>
    <row r="1035" spans="6:7" x14ac:dyDescent="0.25">
      <c r="F1035"/>
      <c r="G1035" s="3"/>
    </row>
    <row r="1036" spans="6:7" x14ac:dyDescent="0.25">
      <c r="F1036"/>
      <c r="G1036" s="3"/>
    </row>
    <row r="1037" spans="6:7" x14ac:dyDescent="0.25">
      <c r="F1037"/>
      <c r="G1037" s="3"/>
    </row>
    <row r="1038" spans="6:7" x14ac:dyDescent="0.25">
      <c r="F1038"/>
      <c r="G1038" s="3"/>
    </row>
    <row r="1039" spans="6:7" x14ac:dyDescent="0.25">
      <c r="F1039"/>
      <c r="G1039" s="3"/>
    </row>
    <row r="1040" spans="6:7" x14ac:dyDescent="0.25">
      <c r="F1040"/>
      <c r="G1040" s="3"/>
    </row>
    <row r="1041" spans="6:7" x14ac:dyDescent="0.25">
      <c r="F1041"/>
      <c r="G1041" s="3"/>
    </row>
    <row r="1042" spans="6:7" x14ac:dyDescent="0.25">
      <c r="F1042"/>
      <c r="G1042" s="3"/>
    </row>
    <row r="1043" spans="6:7" x14ac:dyDescent="0.25">
      <c r="F1043"/>
      <c r="G1043" s="3"/>
    </row>
    <row r="1044" spans="6:7" x14ac:dyDescent="0.25">
      <c r="F1044"/>
      <c r="G1044" s="3"/>
    </row>
    <row r="1045" spans="6:7" x14ac:dyDescent="0.25">
      <c r="F1045"/>
      <c r="G1045" s="3"/>
    </row>
    <row r="1046" spans="6:7" x14ac:dyDescent="0.25">
      <c r="F1046"/>
      <c r="G1046" s="3"/>
    </row>
    <row r="1047" spans="6:7" x14ac:dyDescent="0.25">
      <c r="F1047"/>
      <c r="G1047" s="3"/>
    </row>
    <row r="1048" spans="6:7" x14ac:dyDescent="0.25">
      <c r="F1048"/>
      <c r="G1048" s="3"/>
    </row>
    <row r="1049" spans="6:7" x14ac:dyDescent="0.25">
      <c r="F1049"/>
      <c r="G1049" s="3"/>
    </row>
    <row r="1050" spans="6:7" x14ac:dyDescent="0.25">
      <c r="F1050"/>
      <c r="G1050" s="3"/>
    </row>
    <row r="1051" spans="6:7" x14ac:dyDescent="0.25">
      <c r="F1051"/>
      <c r="G1051" s="3"/>
    </row>
    <row r="1052" spans="6:7" x14ac:dyDescent="0.25">
      <c r="F1052"/>
      <c r="G1052" s="3"/>
    </row>
    <row r="1053" spans="6:7" x14ac:dyDescent="0.25">
      <c r="F1053"/>
      <c r="G1053" s="3"/>
    </row>
    <row r="1054" spans="6:7" x14ac:dyDescent="0.25">
      <c r="F1054"/>
      <c r="G1054" s="3"/>
    </row>
    <row r="1055" spans="6:7" x14ac:dyDescent="0.25">
      <c r="F1055"/>
      <c r="G1055" s="3"/>
    </row>
    <row r="1056" spans="6:7" x14ac:dyDescent="0.25">
      <c r="F1056"/>
      <c r="G1056" s="3"/>
    </row>
    <row r="1057" spans="6:7" x14ac:dyDescent="0.25">
      <c r="F1057"/>
      <c r="G1057" s="3"/>
    </row>
    <row r="1058" spans="6:7" x14ac:dyDescent="0.25">
      <c r="F1058"/>
      <c r="G1058" s="3"/>
    </row>
    <row r="1059" spans="6:7" x14ac:dyDescent="0.25">
      <c r="F1059"/>
      <c r="G1059" s="3"/>
    </row>
    <row r="1060" spans="6:7" x14ac:dyDescent="0.25">
      <c r="F1060"/>
      <c r="G1060" s="3"/>
    </row>
    <row r="1061" spans="6:7" x14ac:dyDescent="0.25">
      <c r="F1061"/>
      <c r="G1061" s="3"/>
    </row>
    <row r="1062" spans="6:7" x14ac:dyDescent="0.25">
      <c r="F1062"/>
      <c r="G1062" s="3"/>
    </row>
    <row r="1063" spans="6:7" x14ac:dyDescent="0.25">
      <c r="F1063"/>
      <c r="G1063" s="3"/>
    </row>
    <row r="1064" spans="6:7" x14ac:dyDescent="0.25">
      <c r="F1064"/>
      <c r="G1064" s="3"/>
    </row>
    <row r="1065" spans="6:7" x14ac:dyDescent="0.25">
      <c r="F1065"/>
      <c r="G1065" s="3"/>
    </row>
    <row r="1066" spans="6:7" x14ac:dyDescent="0.25">
      <c r="F1066"/>
      <c r="G1066" s="3"/>
    </row>
    <row r="1067" spans="6:7" x14ac:dyDescent="0.25">
      <c r="F1067"/>
      <c r="G1067" s="3"/>
    </row>
    <row r="1068" spans="6:7" x14ac:dyDescent="0.25">
      <c r="F1068"/>
      <c r="G1068" s="3"/>
    </row>
    <row r="1069" spans="6:7" x14ac:dyDescent="0.25">
      <c r="F1069"/>
      <c r="G1069" s="3"/>
    </row>
    <row r="1070" spans="6:7" x14ac:dyDescent="0.25">
      <c r="F1070"/>
      <c r="G1070" s="3"/>
    </row>
    <row r="1071" spans="6:7" x14ac:dyDescent="0.25">
      <c r="F1071"/>
      <c r="G1071" s="3"/>
    </row>
    <row r="1072" spans="6:7" x14ac:dyDescent="0.25">
      <c r="F1072"/>
      <c r="G1072" s="3"/>
    </row>
    <row r="1073" spans="6:7" x14ac:dyDescent="0.25">
      <c r="F1073"/>
      <c r="G1073" s="3"/>
    </row>
    <row r="1074" spans="6:7" x14ac:dyDescent="0.25">
      <c r="F1074"/>
      <c r="G1074" s="3"/>
    </row>
    <row r="1075" spans="6:7" x14ac:dyDescent="0.25">
      <c r="F1075"/>
      <c r="G1075" s="3"/>
    </row>
    <row r="1076" spans="6:7" x14ac:dyDescent="0.25">
      <c r="F1076"/>
      <c r="G1076" s="3"/>
    </row>
    <row r="1077" spans="6:7" x14ac:dyDescent="0.25">
      <c r="F1077"/>
      <c r="G1077" s="3"/>
    </row>
    <row r="1078" spans="6:7" x14ac:dyDescent="0.25">
      <c r="F1078"/>
      <c r="G1078" s="3"/>
    </row>
    <row r="1079" spans="6:7" x14ac:dyDescent="0.25">
      <c r="F1079"/>
      <c r="G1079" s="3"/>
    </row>
    <row r="1080" spans="6:7" x14ac:dyDescent="0.25">
      <c r="F1080"/>
      <c r="G1080" s="3"/>
    </row>
    <row r="1081" spans="6:7" x14ac:dyDescent="0.25">
      <c r="F1081"/>
      <c r="G1081" s="3"/>
    </row>
    <row r="1082" spans="6:7" x14ac:dyDescent="0.25">
      <c r="F1082"/>
      <c r="G1082" s="3"/>
    </row>
    <row r="1083" spans="6:7" x14ac:dyDescent="0.25">
      <c r="F1083"/>
      <c r="G1083" s="3"/>
    </row>
    <row r="1084" spans="6:7" x14ac:dyDescent="0.25">
      <c r="F1084"/>
      <c r="G1084" s="3"/>
    </row>
    <row r="1085" spans="6:7" x14ac:dyDescent="0.25">
      <c r="F1085"/>
      <c r="G1085" s="3"/>
    </row>
    <row r="1086" spans="6:7" x14ac:dyDescent="0.25">
      <c r="F1086"/>
      <c r="G1086" s="3"/>
    </row>
    <row r="1087" spans="6:7" x14ac:dyDescent="0.25">
      <c r="F1087"/>
      <c r="G1087" s="3"/>
    </row>
    <row r="1088" spans="6:7" x14ac:dyDescent="0.25">
      <c r="F1088"/>
      <c r="G1088" s="3"/>
    </row>
    <row r="1089" spans="6:7" x14ac:dyDescent="0.25">
      <c r="F1089"/>
      <c r="G1089" s="3"/>
    </row>
    <row r="1090" spans="6:7" x14ac:dyDescent="0.25">
      <c r="F1090"/>
      <c r="G1090" s="3"/>
    </row>
    <row r="1091" spans="6:7" x14ac:dyDescent="0.25">
      <c r="F1091"/>
      <c r="G1091" s="3"/>
    </row>
    <row r="1092" spans="6:7" x14ac:dyDescent="0.25">
      <c r="F1092"/>
      <c r="G1092" s="3"/>
    </row>
    <row r="1093" spans="6:7" x14ac:dyDescent="0.25">
      <c r="F1093"/>
      <c r="G1093" s="3"/>
    </row>
    <row r="1094" spans="6:7" x14ac:dyDescent="0.25">
      <c r="F1094"/>
      <c r="G1094" s="3"/>
    </row>
    <row r="1095" spans="6:7" x14ac:dyDescent="0.25">
      <c r="F1095"/>
      <c r="G1095" s="3"/>
    </row>
    <row r="1096" spans="6:7" x14ac:dyDescent="0.25">
      <c r="F1096"/>
      <c r="G1096" s="3"/>
    </row>
    <row r="1097" spans="6:7" x14ac:dyDescent="0.25">
      <c r="F1097"/>
      <c r="G1097" s="3"/>
    </row>
    <row r="1098" spans="6:7" x14ac:dyDescent="0.25">
      <c r="F1098"/>
      <c r="G1098" s="3"/>
    </row>
    <row r="1099" spans="6:7" x14ac:dyDescent="0.25">
      <c r="F1099"/>
      <c r="G1099" s="3"/>
    </row>
    <row r="1100" spans="6:7" x14ac:dyDescent="0.25">
      <c r="F1100"/>
      <c r="G1100" s="3"/>
    </row>
    <row r="1101" spans="6:7" x14ac:dyDescent="0.25">
      <c r="F1101"/>
      <c r="G1101" s="3"/>
    </row>
    <row r="1102" spans="6:7" x14ac:dyDescent="0.25">
      <c r="F1102"/>
      <c r="G1102" s="3"/>
    </row>
    <row r="1103" spans="6:7" x14ac:dyDescent="0.25">
      <c r="F1103"/>
      <c r="G1103" s="3"/>
    </row>
    <row r="1104" spans="6:7" x14ac:dyDescent="0.25">
      <c r="F1104"/>
      <c r="G1104" s="3"/>
    </row>
    <row r="1105" spans="6:7" x14ac:dyDescent="0.25">
      <c r="F1105"/>
      <c r="G1105" s="3"/>
    </row>
    <row r="1106" spans="6:7" x14ac:dyDescent="0.25">
      <c r="F1106"/>
      <c r="G1106" s="3"/>
    </row>
    <row r="1107" spans="6:7" x14ac:dyDescent="0.25">
      <c r="F1107"/>
      <c r="G1107" s="3"/>
    </row>
    <row r="1108" spans="6:7" x14ac:dyDescent="0.25">
      <c r="F1108"/>
      <c r="G1108" s="3"/>
    </row>
    <row r="1109" spans="6:7" x14ac:dyDescent="0.25">
      <c r="F1109"/>
      <c r="G1109" s="3"/>
    </row>
    <row r="1110" spans="6:7" x14ac:dyDescent="0.25">
      <c r="F1110"/>
      <c r="G1110" s="3"/>
    </row>
    <row r="1111" spans="6:7" x14ac:dyDescent="0.25">
      <c r="F1111"/>
      <c r="G1111" s="3"/>
    </row>
    <row r="1112" spans="6:7" x14ac:dyDescent="0.25">
      <c r="F1112"/>
      <c r="G1112" s="3"/>
    </row>
    <row r="1113" spans="6:7" x14ac:dyDescent="0.25">
      <c r="F1113"/>
      <c r="G1113" s="3"/>
    </row>
    <row r="1114" spans="6:7" x14ac:dyDescent="0.25">
      <c r="F1114"/>
      <c r="G1114" s="3"/>
    </row>
    <row r="1115" spans="6:7" x14ac:dyDescent="0.25">
      <c r="F1115"/>
      <c r="G1115" s="3"/>
    </row>
    <row r="1116" spans="6:7" x14ac:dyDescent="0.25">
      <c r="F1116"/>
      <c r="G1116" s="3"/>
    </row>
    <row r="1117" spans="6:7" x14ac:dyDescent="0.25">
      <c r="F1117"/>
      <c r="G1117" s="3"/>
    </row>
    <row r="1118" spans="6:7" x14ac:dyDescent="0.25">
      <c r="F1118"/>
      <c r="G1118" s="3"/>
    </row>
    <row r="1119" spans="6:7" x14ac:dyDescent="0.25">
      <c r="F1119"/>
      <c r="G1119" s="3"/>
    </row>
    <row r="1120" spans="6:7" x14ac:dyDescent="0.25">
      <c r="F1120"/>
      <c r="G1120" s="3"/>
    </row>
    <row r="1121" spans="6:7" x14ac:dyDescent="0.25">
      <c r="F1121"/>
      <c r="G1121" s="3"/>
    </row>
    <row r="1122" spans="6:7" x14ac:dyDescent="0.25">
      <c r="F1122"/>
      <c r="G1122" s="3"/>
    </row>
    <row r="1123" spans="6:7" x14ac:dyDescent="0.25">
      <c r="F1123"/>
      <c r="G1123" s="3"/>
    </row>
    <row r="1124" spans="6:7" x14ac:dyDescent="0.25">
      <c r="F1124"/>
      <c r="G1124" s="3"/>
    </row>
    <row r="1125" spans="6:7" x14ac:dyDescent="0.25">
      <c r="F1125"/>
      <c r="G1125" s="3"/>
    </row>
    <row r="1126" spans="6:7" x14ac:dyDescent="0.25">
      <c r="F1126"/>
      <c r="G1126" s="3"/>
    </row>
    <row r="1127" spans="6:7" x14ac:dyDescent="0.25">
      <c r="F1127"/>
      <c r="G1127" s="3"/>
    </row>
    <row r="1128" spans="6:7" x14ac:dyDescent="0.25">
      <c r="F1128"/>
      <c r="G1128" s="3"/>
    </row>
    <row r="1129" spans="6:7" x14ac:dyDescent="0.25">
      <c r="F1129"/>
      <c r="G1129" s="3"/>
    </row>
    <row r="1130" spans="6:7" x14ac:dyDescent="0.25">
      <c r="F1130"/>
      <c r="G1130" s="3"/>
    </row>
    <row r="1131" spans="6:7" x14ac:dyDescent="0.25">
      <c r="F1131"/>
      <c r="G1131" s="3"/>
    </row>
    <row r="1132" spans="6:7" x14ac:dyDescent="0.25">
      <c r="F1132"/>
      <c r="G1132" s="3"/>
    </row>
    <row r="1133" spans="6:7" x14ac:dyDescent="0.25">
      <c r="F1133"/>
      <c r="G1133" s="3"/>
    </row>
    <row r="1134" spans="6:7" x14ac:dyDescent="0.25">
      <c r="F1134"/>
      <c r="G1134" s="3"/>
    </row>
    <row r="1135" spans="6:7" x14ac:dyDescent="0.25">
      <c r="F1135"/>
      <c r="G1135" s="3"/>
    </row>
    <row r="1136" spans="6:7" x14ac:dyDescent="0.25">
      <c r="F1136"/>
      <c r="G1136" s="3"/>
    </row>
    <row r="1137" spans="6:7" x14ac:dyDescent="0.25">
      <c r="F1137"/>
      <c r="G1137" s="3"/>
    </row>
    <row r="1138" spans="6:7" x14ac:dyDescent="0.25">
      <c r="F1138"/>
      <c r="G1138" s="3"/>
    </row>
    <row r="1139" spans="6:7" x14ac:dyDescent="0.25">
      <c r="F1139"/>
      <c r="G1139" s="3"/>
    </row>
    <row r="1140" spans="6:7" x14ac:dyDescent="0.25">
      <c r="F1140"/>
      <c r="G1140" s="3"/>
    </row>
    <row r="1141" spans="6:7" x14ac:dyDescent="0.25">
      <c r="F1141"/>
      <c r="G1141" s="3"/>
    </row>
    <row r="1142" spans="6:7" x14ac:dyDescent="0.25">
      <c r="F1142"/>
      <c r="G1142" s="3"/>
    </row>
    <row r="1143" spans="6:7" x14ac:dyDescent="0.25">
      <c r="F1143"/>
      <c r="G1143" s="3"/>
    </row>
    <row r="1144" spans="6:7" x14ac:dyDescent="0.25">
      <c r="F1144"/>
      <c r="G1144" s="3"/>
    </row>
    <row r="1145" spans="6:7" x14ac:dyDescent="0.25">
      <c r="F1145"/>
      <c r="G1145" s="3"/>
    </row>
    <row r="1146" spans="6:7" x14ac:dyDescent="0.25">
      <c r="F1146"/>
      <c r="G1146" s="3"/>
    </row>
    <row r="1147" spans="6:7" x14ac:dyDescent="0.25">
      <c r="F1147"/>
      <c r="G1147" s="3"/>
    </row>
    <row r="1148" spans="6:7" x14ac:dyDescent="0.25">
      <c r="F1148"/>
      <c r="G1148" s="3"/>
    </row>
    <row r="1149" spans="6:7" x14ac:dyDescent="0.25">
      <c r="F1149"/>
      <c r="G1149" s="3"/>
    </row>
    <row r="1150" spans="6:7" x14ac:dyDescent="0.25">
      <c r="F1150"/>
      <c r="G1150" s="3"/>
    </row>
    <row r="1151" spans="6:7" x14ac:dyDescent="0.25">
      <c r="F1151"/>
      <c r="G1151" s="3"/>
    </row>
    <row r="1152" spans="6:7" x14ac:dyDescent="0.25">
      <c r="F1152"/>
      <c r="G1152" s="3"/>
    </row>
    <row r="1153" spans="6:7" x14ac:dyDescent="0.25">
      <c r="F1153"/>
      <c r="G1153" s="3"/>
    </row>
    <row r="1154" spans="6:7" x14ac:dyDescent="0.25">
      <c r="F1154"/>
      <c r="G1154" s="3"/>
    </row>
    <row r="1155" spans="6:7" x14ac:dyDescent="0.25">
      <c r="F1155"/>
      <c r="G1155" s="3"/>
    </row>
    <row r="1156" spans="6:7" x14ac:dyDescent="0.25">
      <c r="F1156"/>
      <c r="G1156" s="3"/>
    </row>
    <row r="1157" spans="6:7" x14ac:dyDescent="0.25">
      <c r="F1157"/>
      <c r="G1157" s="3"/>
    </row>
    <row r="1158" spans="6:7" x14ac:dyDescent="0.25">
      <c r="F1158"/>
      <c r="G1158" s="3"/>
    </row>
    <row r="1159" spans="6:7" x14ac:dyDescent="0.25">
      <c r="F1159"/>
      <c r="G1159" s="3"/>
    </row>
    <row r="1160" spans="6:7" x14ac:dyDescent="0.25">
      <c r="F1160"/>
      <c r="G1160" s="3"/>
    </row>
    <row r="1161" spans="6:7" x14ac:dyDescent="0.25">
      <c r="F1161"/>
      <c r="G1161" s="3"/>
    </row>
    <row r="1162" spans="6:7" x14ac:dyDescent="0.25">
      <c r="F1162"/>
      <c r="G1162" s="3"/>
    </row>
    <row r="1163" spans="6:7" x14ac:dyDescent="0.25">
      <c r="F1163"/>
      <c r="G1163" s="3"/>
    </row>
    <row r="1164" spans="6:7" x14ac:dyDescent="0.25">
      <c r="F1164"/>
      <c r="G1164" s="3"/>
    </row>
    <row r="1165" spans="6:7" x14ac:dyDescent="0.25">
      <c r="F1165"/>
      <c r="G1165" s="3"/>
    </row>
    <row r="1166" spans="6:7" x14ac:dyDescent="0.25">
      <c r="F1166"/>
      <c r="G1166" s="3"/>
    </row>
    <row r="1167" spans="6:7" x14ac:dyDescent="0.25">
      <c r="F1167"/>
      <c r="G1167" s="3"/>
    </row>
    <row r="1168" spans="6:7" x14ac:dyDescent="0.25">
      <c r="F1168"/>
      <c r="G1168" s="3"/>
    </row>
    <row r="1169" spans="6:7" x14ac:dyDescent="0.25">
      <c r="F1169"/>
      <c r="G1169" s="3"/>
    </row>
    <row r="1170" spans="6:7" x14ac:dyDescent="0.25">
      <c r="F1170"/>
      <c r="G1170" s="3"/>
    </row>
    <row r="1171" spans="6:7" x14ac:dyDescent="0.25">
      <c r="F1171"/>
      <c r="G1171" s="3"/>
    </row>
    <row r="1172" spans="6:7" x14ac:dyDescent="0.25">
      <c r="F1172"/>
      <c r="G1172" s="3"/>
    </row>
    <row r="1173" spans="6:7" x14ac:dyDescent="0.25">
      <c r="F1173"/>
      <c r="G1173" s="3"/>
    </row>
    <row r="1174" spans="6:7" x14ac:dyDescent="0.25">
      <c r="F1174"/>
      <c r="G1174" s="3"/>
    </row>
    <row r="1175" spans="6:7" x14ac:dyDescent="0.25">
      <c r="F1175"/>
      <c r="G1175" s="3"/>
    </row>
    <row r="1176" spans="6:7" x14ac:dyDescent="0.25">
      <c r="F1176"/>
      <c r="G1176" s="3"/>
    </row>
    <row r="1177" spans="6:7" x14ac:dyDescent="0.25">
      <c r="F1177"/>
      <c r="G1177" s="3"/>
    </row>
    <row r="1178" spans="6:7" x14ac:dyDescent="0.25">
      <c r="F1178"/>
      <c r="G1178" s="3"/>
    </row>
    <row r="1179" spans="6:7" x14ac:dyDescent="0.25">
      <c r="F1179"/>
      <c r="G1179" s="3"/>
    </row>
    <row r="1180" spans="6:7" x14ac:dyDescent="0.25">
      <c r="F1180"/>
      <c r="G1180" s="3"/>
    </row>
    <row r="1181" spans="6:7" x14ac:dyDescent="0.25">
      <c r="F1181"/>
      <c r="G1181" s="3"/>
    </row>
    <row r="1182" spans="6:7" x14ac:dyDescent="0.25">
      <c r="F1182"/>
      <c r="G1182" s="3"/>
    </row>
    <row r="1183" spans="6:7" x14ac:dyDescent="0.25">
      <c r="F1183"/>
      <c r="G1183" s="3"/>
    </row>
    <row r="1184" spans="6:7" x14ac:dyDescent="0.25">
      <c r="F1184"/>
      <c r="G1184" s="3"/>
    </row>
    <row r="1185" spans="6:7" x14ac:dyDescent="0.25">
      <c r="F1185"/>
      <c r="G1185" s="3"/>
    </row>
    <row r="1186" spans="6:7" x14ac:dyDescent="0.25">
      <c r="F1186"/>
      <c r="G1186" s="3"/>
    </row>
    <row r="1187" spans="6:7" x14ac:dyDescent="0.25">
      <c r="F1187"/>
      <c r="G1187" s="3"/>
    </row>
    <row r="1188" spans="6:7" x14ac:dyDescent="0.25">
      <c r="F1188"/>
      <c r="G1188" s="3"/>
    </row>
    <row r="1189" spans="6:7" x14ac:dyDescent="0.25">
      <c r="F1189"/>
      <c r="G1189" s="3"/>
    </row>
    <row r="1190" spans="6:7" x14ac:dyDescent="0.25">
      <c r="F1190"/>
      <c r="G1190" s="3"/>
    </row>
    <row r="1191" spans="6:7" x14ac:dyDescent="0.25">
      <c r="F1191"/>
      <c r="G1191" s="3"/>
    </row>
    <row r="1192" spans="6:7" x14ac:dyDescent="0.25">
      <c r="F1192"/>
      <c r="G1192" s="3"/>
    </row>
    <row r="1193" spans="6:7" x14ac:dyDescent="0.25">
      <c r="F1193"/>
      <c r="G1193" s="3"/>
    </row>
    <row r="1194" spans="6:7" x14ac:dyDescent="0.25">
      <c r="F1194"/>
    </row>
    <row r="1195" spans="6:7" x14ac:dyDescent="0.25">
      <c r="F1195"/>
    </row>
    <row r="1196" spans="6:7" x14ac:dyDescent="0.25">
      <c r="F1196"/>
    </row>
    <row r="1197" spans="6:7" x14ac:dyDescent="0.25">
      <c r="F1197"/>
    </row>
    <row r="1198" spans="6:7" x14ac:dyDescent="0.25">
      <c r="F1198"/>
    </row>
    <row r="1199" spans="6:7" x14ac:dyDescent="0.25">
      <c r="F1199"/>
    </row>
    <row r="1200" spans="6:7" x14ac:dyDescent="0.25">
      <c r="F1200"/>
    </row>
    <row r="1201" spans="6:6" x14ac:dyDescent="0.25">
      <c r="F1201"/>
    </row>
    <row r="1202" spans="6:6" x14ac:dyDescent="0.25">
      <c r="F1202"/>
    </row>
    <row r="1203" spans="6:6" x14ac:dyDescent="0.25">
      <c r="F1203"/>
    </row>
    <row r="1204" spans="6:6" x14ac:dyDescent="0.25">
      <c r="F1204"/>
    </row>
    <row r="1205" spans="6:6" x14ac:dyDescent="0.25">
      <c r="F1205"/>
    </row>
    <row r="1206" spans="6:6" x14ac:dyDescent="0.25">
      <c r="F1206"/>
    </row>
    <row r="1207" spans="6:6" x14ac:dyDescent="0.25">
      <c r="F1207"/>
    </row>
    <row r="1208" spans="6:6" x14ac:dyDescent="0.25">
      <c r="F1208"/>
    </row>
    <row r="1209" spans="6:6" x14ac:dyDescent="0.25">
      <c r="F1209" s="2"/>
    </row>
    <row r="1210" spans="6:6" x14ac:dyDescent="0.25">
      <c r="F1210" s="2"/>
    </row>
    <row r="1211" spans="6:6" x14ac:dyDescent="0.25">
      <c r="F1211" s="2"/>
    </row>
    <row r="1212" spans="6:6" x14ac:dyDescent="0.25">
      <c r="F1212" s="2"/>
    </row>
    <row r="1213" spans="6:6" x14ac:dyDescent="0.25">
      <c r="F1213" s="2"/>
    </row>
    <row r="1214" spans="6:6" x14ac:dyDescent="0.25">
      <c r="F1214" s="2"/>
    </row>
    <row r="1215" spans="6:6" x14ac:dyDescent="0.25">
      <c r="F1215" s="2"/>
    </row>
    <row r="1216" spans="6:6" x14ac:dyDescent="0.25">
      <c r="F1216" s="2"/>
    </row>
    <row r="1217" spans="6:6" x14ac:dyDescent="0.25">
      <c r="F1217" s="2"/>
    </row>
    <row r="1218" spans="6:6" x14ac:dyDescent="0.25">
      <c r="F1218" s="2"/>
    </row>
    <row r="1219" spans="6:6" x14ac:dyDescent="0.25">
      <c r="F1219" s="2"/>
    </row>
    <row r="1220" spans="6:6" x14ac:dyDescent="0.25">
      <c r="F1220" s="2"/>
    </row>
    <row r="1221" spans="6:6" x14ac:dyDescent="0.25">
      <c r="F1221" s="2"/>
    </row>
    <row r="1222" spans="6:6" x14ac:dyDescent="0.25">
      <c r="F1222" s="2"/>
    </row>
    <row r="1223" spans="6:6" x14ac:dyDescent="0.25">
      <c r="F1223" s="2"/>
    </row>
    <row r="1224" spans="6:6" x14ac:dyDescent="0.25">
      <c r="F1224" s="2"/>
    </row>
    <row r="1225" spans="6:6" x14ac:dyDescent="0.25">
      <c r="F1225" s="2"/>
    </row>
    <row r="1226" spans="6:6" x14ac:dyDescent="0.25">
      <c r="F1226" s="2"/>
    </row>
    <row r="1227" spans="6:6" x14ac:dyDescent="0.25">
      <c r="F1227" s="2"/>
    </row>
    <row r="1228" spans="6:6" x14ac:dyDescent="0.25">
      <c r="F1228" s="2"/>
    </row>
    <row r="1229" spans="6:6" x14ac:dyDescent="0.25">
      <c r="F1229" s="2"/>
    </row>
    <row r="1230" spans="6:6" x14ac:dyDescent="0.25">
      <c r="F1230" s="2"/>
    </row>
    <row r="1231" spans="6:6" x14ac:dyDescent="0.25">
      <c r="F1231" s="2"/>
    </row>
    <row r="1232" spans="6:6" x14ac:dyDescent="0.25">
      <c r="F1232" s="2"/>
    </row>
    <row r="1233" spans="6:6" x14ac:dyDescent="0.25">
      <c r="F1233" s="2"/>
    </row>
    <row r="1234" spans="6:6" x14ac:dyDescent="0.25">
      <c r="F1234" s="2"/>
    </row>
    <row r="1235" spans="6:6" x14ac:dyDescent="0.25">
      <c r="F1235" s="2"/>
    </row>
    <row r="1236" spans="6:6" x14ac:dyDescent="0.25">
      <c r="F1236" s="2"/>
    </row>
    <row r="1237" spans="6:6" x14ac:dyDescent="0.25">
      <c r="F1237" s="2"/>
    </row>
    <row r="1238" spans="6:6" x14ac:dyDescent="0.25">
      <c r="F1238" s="2"/>
    </row>
    <row r="1239" spans="6:6" x14ac:dyDescent="0.25">
      <c r="F1239" s="2"/>
    </row>
    <row r="1240" spans="6:6" x14ac:dyDescent="0.25">
      <c r="F1240" s="2"/>
    </row>
    <row r="1241" spans="6:6" x14ac:dyDescent="0.25">
      <c r="F1241" s="2"/>
    </row>
    <row r="1242" spans="6:6" x14ac:dyDescent="0.25">
      <c r="F1242" s="2"/>
    </row>
    <row r="1243" spans="6:6" x14ac:dyDescent="0.25">
      <c r="F1243" s="2"/>
    </row>
    <row r="1244" spans="6:6" x14ac:dyDescent="0.25">
      <c r="F1244" s="2"/>
    </row>
    <row r="1245" spans="6:6" x14ac:dyDescent="0.25">
      <c r="F1245" s="2"/>
    </row>
    <row r="1246" spans="6:6" x14ac:dyDescent="0.25">
      <c r="F1246" s="2"/>
    </row>
    <row r="1247" spans="6:6" x14ac:dyDescent="0.25">
      <c r="F1247" s="2"/>
    </row>
    <row r="1248" spans="6:6" x14ac:dyDescent="0.25">
      <c r="F1248" s="2"/>
    </row>
    <row r="1249" spans="6:6" x14ac:dyDescent="0.25">
      <c r="F1249" s="2"/>
    </row>
    <row r="1250" spans="6:6" x14ac:dyDescent="0.25">
      <c r="F1250" s="2"/>
    </row>
    <row r="1251" spans="6:6" x14ac:dyDescent="0.25">
      <c r="F1251" s="2"/>
    </row>
    <row r="1252" spans="6:6" x14ac:dyDescent="0.25">
      <c r="F1252" s="2"/>
    </row>
    <row r="1253" spans="6:6" x14ac:dyDescent="0.25">
      <c r="F1253" s="2"/>
    </row>
    <row r="1254" spans="6:6" x14ac:dyDescent="0.25">
      <c r="F1254" s="2"/>
    </row>
    <row r="1255" spans="6:6" x14ac:dyDescent="0.25">
      <c r="F1255" s="2"/>
    </row>
    <row r="1256" spans="6:6" x14ac:dyDescent="0.25">
      <c r="F1256" s="2"/>
    </row>
    <row r="1257" spans="6:6" x14ac:dyDescent="0.25">
      <c r="F1257" s="2"/>
    </row>
    <row r="1258" spans="6:6" x14ac:dyDescent="0.25">
      <c r="F1258" s="2"/>
    </row>
    <row r="1259" spans="6:6" x14ac:dyDescent="0.25">
      <c r="F1259" s="2"/>
    </row>
    <row r="1260" spans="6:6" x14ac:dyDescent="0.25">
      <c r="F1260" s="2"/>
    </row>
    <row r="1261" spans="6:6" x14ac:dyDescent="0.25">
      <c r="F1261" s="2"/>
    </row>
    <row r="1262" spans="6:6" x14ac:dyDescent="0.25">
      <c r="F1262" s="2"/>
    </row>
    <row r="1263" spans="6:6" x14ac:dyDescent="0.25">
      <c r="F1263" s="2"/>
    </row>
    <row r="1264" spans="6:6" x14ac:dyDescent="0.25">
      <c r="F1264" s="2"/>
    </row>
    <row r="1265" spans="6:6" x14ac:dyDescent="0.25">
      <c r="F1265" s="2"/>
    </row>
    <row r="1266" spans="6:6" x14ac:dyDescent="0.25">
      <c r="F1266" s="2"/>
    </row>
    <row r="1267" spans="6:6" x14ac:dyDescent="0.25">
      <c r="F1267" s="2"/>
    </row>
    <row r="1268" spans="6:6" x14ac:dyDescent="0.25">
      <c r="F1268" s="2"/>
    </row>
    <row r="1269" spans="6:6" x14ac:dyDescent="0.25">
      <c r="F1269" s="2"/>
    </row>
    <row r="1270" spans="6:6" x14ac:dyDescent="0.25">
      <c r="F1270" s="2"/>
    </row>
    <row r="1271" spans="6:6" x14ac:dyDescent="0.25">
      <c r="F1271" s="2"/>
    </row>
    <row r="1272" spans="6:6" x14ac:dyDescent="0.25">
      <c r="F1272" s="2"/>
    </row>
    <row r="1273" spans="6:6" x14ac:dyDescent="0.25">
      <c r="F1273" s="2"/>
    </row>
    <row r="1274" spans="6:6" x14ac:dyDescent="0.25">
      <c r="F1274" s="2"/>
    </row>
    <row r="1275" spans="6:6" x14ac:dyDescent="0.25">
      <c r="F1275" s="2"/>
    </row>
    <row r="1276" spans="6:6" x14ac:dyDescent="0.25">
      <c r="F1276" s="2"/>
    </row>
    <row r="1277" spans="6:6" x14ac:dyDescent="0.25">
      <c r="F1277" s="2"/>
    </row>
    <row r="1278" spans="6:6" x14ac:dyDescent="0.25">
      <c r="F1278" s="2"/>
    </row>
    <row r="1279" spans="6:6" x14ac:dyDescent="0.25">
      <c r="F1279" s="2"/>
    </row>
    <row r="1280" spans="6:6" x14ac:dyDescent="0.25">
      <c r="F1280" s="2"/>
    </row>
    <row r="1281" spans="6:6" x14ac:dyDescent="0.25">
      <c r="F1281" s="2"/>
    </row>
    <row r="1282" spans="6:6" x14ac:dyDescent="0.25">
      <c r="F1282" s="2"/>
    </row>
    <row r="1283" spans="6:6" x14ac:dyDescent="0.25">
      <c r="F1283" s="2"/>
    </row>
    <row r="1284" spans="6:6" x14ac:dyDescent="0.25">
      <c r="F1284" s="2"/>
    </row>
    <row r="1285" spans="6:6" x14ac:dyDescent="0.25">
      <c r="F1285" s="2"/>
    </row>
    <row r="1286" spans="6:6" x14ac:dyDescent="0.25">
      <c r="F1286" s="2"/>
    </row>
    <row r="1287" spans="6:6" x14ac:dyDescent="0.25">
      <c r="F1287" s="2"/>
    </row>
    <row r="1288" spans="6:6" x14ac:dyDescent="0.25">
      <c r="F1288" s="2"/>
    </row>
    <row r="1289" spans="6:6" x14ac:dyDescent="0.25">
      <c r="F1289" s="2"/>
    </row>
    <row r="1290" spans="6:6" x14ac:dyDescent="0.25">
      <c r="F1290" s="2"/>
    </row>
    <row r="1291" spans="6:6" x14ac:dyDescent="0.25">
      <c r="F1291" s="2"/>
    </row>
    <row r="1292" spans="6:6" x14ac:dyDescent="0.25">
      <c r="F1292" s="2"/>
    </row>
    <row r="1293" spans="6:6" x14ac:dyDescent="0.25">
      <c r="F1293" s="2"/>
    </row>
    <row r="1294" spans="6:6" x14ac:dyDescent="0.25">
      <c r="F1294" s="2"/>
    </row>
    <row r="1295" spans="6:6" x14ac:dyDescent="0.25">
      <c r="F1295" s="2"/>
    </row>
    <row r="1296" spans="6:6" x14ac:dyDescent="0.25">
      <c r="F1296" s="2"/>
    </row>
    <row r="1297" spans="6:6" x14ac:dyDescent="0.25">
      <c r="F1297" s="2"/>
    </row>
    <row r="1298" spans="6:6" x14ac:dyDescent="0.25">
      <c r="F1298" s="2"/>
    </row>
    <row r="1299" spans="6:6" x14ac:dyDescent="0.25">
      <c r="F1299" s="2"/>
    </row>
    <row r="1300" spans="6:6" x14ac:dyDescent="0.25">
      <c r="F1300" s="2"/>
    </row>
    <row r="1301" spans="6:6" x14ac:dyDescent="0.25">
      <c r="F1301" s="2"/>
    </row>
    <row r="1302" spans="6:6" x14ac:dyDescent="0.25">
      <c r="F1302" s="2"/>
    </row>
    <row r="1303" spans="6:6" x14ac:dyDescent="0.25">
      <c r="F1303" s="2"/>
    </row>
    <row r="1304" spans="6:6" x14ac:dyDescent="0.25">
      <c r="F1304" s="2"/>
    </row>
    <row r="1305" spans="6:6" x14ac:dyDescent="0.25">
      <c r="F1305" s="2"/>
    </row>
    <row r="1306" spans="6:6" x14ac:dyDescent="0.25">
      <c r="F1306" s="2"/>
    </row>
    <row r="1307" spans="6:6" x14ac:dyDescent="0.25">
      <c r="F1307" s="2"/>
    </row>
    <row r="1308" spans="6:6" x14ac:dyDescent="0.25">
      <c r="F1308" s="2"/>
    </row>
    <row r="1309" spans="6:6" x14ac:dyDescent="0.25">
      <c r="F1309" s="2"/>
    </row>
    <row r="1310" spans="6:6" x14ac:dyDescent="0.25">
      <c r="F1310" s="2"/>
    </row>
    <row r="1311" spans="6:6" x14ac:dyDescent="0.25">
      <c r="F1311" s="2"/>
    </row>
    <row r="1312" spans="6:6" x14ac:dyDescent="0.25">
      <c r="F1312" s="2"/>
    </row>
    <row r="1313" spans="6:6" x14ac:dyDescent="0.25">
      <c r="F1313" s="2"/>
    </row>
    <row r="1314" spans="6:6" x14ac:dyDescent="0.25">
      <c r="F1314" s="2"/>
    </row>
    <row r="1315" spans="6:6" x14ac:dyDescent="0.25">
      <c r="F1315" s="2"/>
    </row>
    <row r="1316" spans="6:6" x14ac:dyDescent="0.25">
      <c r="F1316" s="2"/>
    </row>
    <row r="1317" spans="6:6" x14ac:dyDescent="0.25">
      <c r="F1317" s="2"/>
    </row>
    <row r="1318" spans="6:6" x14ac:dyDescent="0.25">
      <c r="F1318" s="2"/>
    </row>
    <row r="1319" spans="6:6" x14ac:dyDescent="0.25">
      <c r="F1319" s="2"/>
    </row>
    <row r="1320" spans="6:6" x14ac:dyDescent="0.25">
      <c r="F1320" s="2"/>
    </row>
    <row r="1321" spans="6:6" x14ac:dyDescent="0.25">
      <c r="F1321" s="2"/>
    </row>
    <row r="1322" spans="6:6" x14ac:dyDescent="0.25">
      <c r="F1322" s="2"/>
    </row>
    <row r="1323" spans="6:6" x14ac:dyDescent="0.25">
      <c r="F1323" s="2"/>
    </row>
    <row r="1324" spans="6:6" x14ac:dyDescent="0.25">
      <c r="F1324" s="2"/>
    </row>
    <row r="1325" spans="6:6" x14ac:dyDescent="0.25">
      <c r="F1325" s="2"/>
    </row>
    <row r="1326" spans="6:6" x14ac:dyDescent="0.25">
      <c r="F1326" s="2"/>
    </row>
    <row r="1327" spans="6:6" x14ac:dyDescent="0.25">
      <c r="F1327" s="2"/>
    </row>
    <row r="1328" spans="6:6" x14ac:dyDescent="0.25">
      <c r="F1328" s="2"/>
    </row>
    <row r="1329" spans="6:6" x14ac:dyDescent="0.25">
      <c r="F1329" s="2"/>
    </row>
    <row r="1330" spans="6:6" x14ac:dyDescent="0.25">
      <c r="F1330" s="2"/>
    </row>
    <row r="1331" spans="6:6" x14ac:dyDescent="0.25">
      <c r="F1331" s="2"/>
    </row>
    <row r="1332" spans="6:6" x14ac:dyDescent="0.25">
      <c r="F1332" s="2"/>
    </row>
    <row r="1333" spans="6:6" x14ac:dyDescent="0.25">
      <c r="F1333" s="2"/>
    </row>
    <row r="1334" spans="6:6" x14ac:dyDescent="0.25">
      <c r="F1334" s="2"/>
    </row>
    <row r="1335" spans="6:6" x14ac:dyDescent="0.25">
      <c r="F1335" s="2"/>
    </row>
    <row r="1336" spans="6:6" x14ac:dyDescent="0.25">
      <c r="F1336" s="2"/>
    </row>
    <row r="1337" spans="6:6" x14ac:dyDescent="0.25">
      <c r="F1337" s="2"/>
    </row>
    <row r="1338" spans="6:6" x14ac:dyDescent="0.25">
      <c r="F1338" s="2"/>
    </row>
    <row r="1339" spans="6:6" x14ac:dyDescent="0.25">
      <c r="F1339" s="2"/>
    </row>
    <row r="1340" spans="6:6" x14ac:dyDescent="0.25">
      <c r="F1340" s="2"/>
    </row>
    <row r="1341" spans="6:6" x14ac:dyDescent="0.25">
      <c r="F1341" s="2"/>
    </row>
    <row r="1342" spans="6:6" x14ac:dyDescent="0.25">
      <c r="F1342" s="2"/>
    </row>
    <row r="1343" spans="6:6" x14ac:dyDescent="0.25">
      <c r="F1343" s="2"/>
    </row>
    <row r="1344" spans="6:6" x14ac:dyDescent="0.25">
      <c r="F1344" s="2"/>
    </row>
    <row r="1345" spans="6:6" x14ac:dyDescent="0.25">
      <c r="F1345" s="2"/>
    </row>
    <row r="1346" spans="6:6" x14ac:dyDescent="0.25">
      <c r="F1346" s="2"/>
    </row>
    <row r="1347" spans="6:6" x14ac:dyDescent="0.25">
      <c r="F1347" s="2"/>
    </row>
    <row r="1348" spans="6:6" x14ac:dyDescent="0.25">
      <c r="F1348" s="2"/>
    </row>
    <row r="1349" spans="6:6" x14ac:dyDescent="0.25">
      <c r="F1349" s="2"/>
    </row>
    <row r="1350" spans="6:6" x14ac:dyDescent="0.25">
      <c r="F1350" s="2"/>
    </row>
    <row r="1351" spans="6:6" x14ac:dyDescent="0.25">
      <c r="F1351" s="2"/>
    </row>
    <row r="1352" spans="6:6" x14ac:dyDescent="0.25">
      <c r="F1352" s="2"/>
    </row>
    <row r="1353" spans="6:6" x14ac:dyDescent="0.25">
      <c r="F1353" s="2"/>
    </row>
    <row r="1354" spans="6:6" x14ac:dyDescent="0.25">
      <c r="F1354" s="2"/>
    </row>
    <row r="1355" spans="6:6" x14ac:dyDescent="0.25">
      <c r="F1355" s="2"/>
    </row>
    <row r="1356" spans="6:6" x14ac:dyDescent="0.25">
      <c r="F1356" s="2"/>
    </row>
    <row r="1357" spans="6:6" x14ac:dyDescent="0.25">
      <c r="F1357" s="2"/>
    </row>
    <row r="1358" spans="6:6" x14ac:dyDescent="0.25">
      <c r="F1358" s="2"/>
    </row>
    <row r="1359" spans="6:6" x14ac:dyDescent="0.25">
      <c r="F1359" s="2"/>
    </row>
    <row r="1360" spans="6:6" x14ac:dyDescent="0.25">
      <c r="F1360" s="2"/>
    </row>
    <row r="1361" spans="6:6" x14ac:dyDescent="0.25">
      <c r="F1361" s="2"/>
    </row>
    <row r="1362" spans="6:6" x14ac:dyDescent="0.25">
      <c r="F1362" s="2"/>
    </row>
    <row r="1363" spans="6:6" x14ac:dyDescent="0.25">
      <c r="F1363" s="2"/>
    </row>
    <row r="1364" spans="6:6" x14ac:dyDescent="0.25">
      <c r="F1364" s="2"/>
    </row>
    <row r="1365" spans="6:6" x14ac:dyDescent="0.25">
      <c r="F1365" s="2"/>
    </row>
    <row r="1366" spans="6:6" x14ac:dyDescent="0.25">
      <c r="F1366" s="2"/>
    </row>
    <row r="1367" spans="6:6" x14ac:dyDescent="0.25">
      <c r="F1367" s="2"/>
    </row>
    <row r="1368" spans="6:6" x14ac:dyDescent="0.25">
      <c r="F1368" s="2"/>
    </row>
    <row r="1369" spans="6:6" x14ac:dyDescent="0.25">
      <c r="F1369" s="2"/>
    </row>
    <row r="1370" spans="6:6" x14ac:dyDescent="0.25">
      <c r="F1370" s="2"/>
    </row>
    <row r="1371" spans="6:6" x14ac:dyDescent="0.25">
      <c r="F1371" s="2"/>
    </row>
    <row r="1372" spans="6:6" x14ac:dyDescent="0.25">
      <c r="F1372" s="2"/>
    </row>
    <row r="1373" spans="6:6" x14ac:dyDescent="0.25">
      <c r="F1373" s="2"/>
    </row>
    <row r="1374" spans="6:6" x14ac:dyDescent="0.25">
      <c r="F1374" s="2"/>
    </row>
    <row r="1375" spans="6:6" x14ac:dyDescent="0.25">
      <c r="F1375" s="2"/>
    </row>
    <row r="1376" spans="6:6" x14ac:dyDescent="0.25">
      <c r="F1376" s="2"/>
    </row>
    <row r="1377" spans="6:6" x14ac:dyDescent="0.25">
      <c r="F1377" s="2"/>
    </row>
    <row r="1378" spans="6:6" x14ac:dyDescent="0.25">
      <c r="F1378" s="2"/>
    </row>
    <row r="1379" spans="6:6" x14ac:dyDescent="0.25">
      <c r="F1379" s="2"/>
    </row>
    <row r="1380" spans="6:6" x14ac:dyDescent="0.25">
      <c r="F1380" s="2"/>
    </row>
    <row r="1381" spans="6:6" x14ac:dyDescent="0.25">
      <c r="F1381" s="2"/>
    </row>
    <row r="1382" spans="6:6" x14ac:dyDescent="0.25">
      <c r="F1382" s="2"/>
    </row>
    <row r="1383" spans="6:6" x14ac:dyDescent="0.25">
      <c r="F1383" s="2"/>
    </row>
    <row r="1384" spans="6:6" x14ac:dyDescent="0.25">
      <c r="F1384" s="2"/>
    </row>
    <row r="1385" spans="6:6" x14ac:dyDescent="0.25">
      <c r="F1385" s="2"/>
    </row>
    <row r="1386" spans="6:6" x14ac:dyDescent="0.25">
      <c r="F1386" s="2"/>
    </row>
    <row r="1387" spans="6:6" x14ac:dyDescent="0.25">
      <c r="F1387" s="2"/>
    </row>
    <row r="1388" spans="6:6" x14ac:dyDescent="0.25">
      <c r="F1388" s="2"/>
    </row>
    <row r="1389" spans="6:6" x14ac:dyDescent="0.25">
      <c r="F1389" s="2"/>
    </row>
    <row r="1390" spans="6:6" x14ac:dyDescent="0.25">
      <c r="F1390" s="2"/>
    </row>
    <row r="1391" spans="6:6" x14ac:dyDescent="0.25">
      <c r="F1391" s="2"/>
    </row>
    <row r="1392" spans="6:6" x14ac:dyDescent="0.25">
      <c r="F1392" s="2"/>
    </row>
    <row r="1393" spans="6:6" x14ac:dyDescent="0.25">
      <c r="F1393" s="2"/>
    </row>
    <row r="1394" spans="6:6" x14ac:dyDescent="0.25">
      <c r="F1394" s="2"/>
    </row>
    <row r="1395" spans="6:6" x14ac:dyDescent="0.25">
      <c r="F1395" s="2"/>
    </row>
    <row r="1396" spans="6:6" x14ac:dyDescent="0.25">
      <c r="F1396" s="2"/>
    </row>
    <row r="1397" spans="6:6" x14ac:dyDescent="0.25">
      <c r="F1397" s="2"/>
    </row>
    <row r="1398" spans="6:6" x14ac:dyDescent="0.25">
      <c r="F1398" s="2"/>
    </row>
    <row r="1399" spans="6:6" x14ac:dyDescent="0.25">
      <c r="F1399" s="2"/>
    </row>
    <row r="1400" spans="6:6" x14ac:dyDescent="0.25">
      <c r="F1400" s="2"/>
    </row>
    <row r="1401" spans="6:6" x14ac:dyDescent="0.25">
      <c r="F1401" s="2"/>
    </row>
    <row r="1402" spans="6:6" x14ac:dyDescent="0.25">
      <c r="F1402" s="2"/>
    </row>
    <row r="1403" spans="6:6" x14ac:dyDescent="0.25">
      <c r="F1403" s="2"/>
    </row>
    <row r="1404" spans="6:6" x14ac:dyDescent="0.25">
      <c r="F1404" s="2"/>
    </row>
    <row r="1405" spans="6:6" x14ac:dyDescent="0.25">
      <c r="F1405" s="2"/>
    </row>
    <row r="1406" spans="6:6" x14ac:dyDescent="0.25">
      <c r="F1406" s="2"/>
    </row>
    <row r="1407" spans="6:6" x14ac:dyDescent="0.25">
      <c r="F1407" s="2"/>
    </row>
    <row r="1408" spans="6:6" x14ac:dyDescent="0.25">
      <c r="F1408" s="2"/>
    </row>
    <row r="1409" spans="6:6" x14ac:dyDescent="0.25">
      <c r="F1409" s="2"/>
    </row>
    <row r="1410" spans="6:6" x14ac:dyDescent="0.25">
      <c r="F1410" s="2"/>
    </row>
    <row r="1411" spans="6:6" x14ac:dyDescent="0.25">
      <c r="F1411" s="2"/>
    </row>
    <row r="1412" spans="6:6" x14ac:dyDescent="0.25">
      <c r="F1412" s="2"/>
    </row>
    <row r="1413" spans="6:6" x14ac:dyDescent="0.25">
      <c r="F1413" s="2"/>
    </row>
    <row r="1414" spans="6:6" x14ac:dyDescent="0.25">
      <c r="F1414" s="2"/>
    </row>
    <row r="1415" spans="6:6" x14ac:dyDescent="0.25">
      <c r="F1415" s="2"/>
    </row>
    <row r="1416" spans="6:6" x14ac:dyDescent="0.25">
      <c r="F1416" s="2"/>
    </row>
    <row r="1417" spans="6:6" x14ac:dyDescent="0.25">
      <c r="F1417" s="2"/>
    </row>
    <row r="1418" spans="6:6" x14ac:dyDescent="0.25">
      <c r="F1418" s="2"/>
    </row>
    <row r="1419" spans="6:6" x14ac:dyDescent="0.25">
      <c r="F1419" s="2"/>
    </row>
    <row r="1420" spans="6:6" x14ac:dyDescent="0.25">
      <c r="F1420" s="2"/>
    </row>
    <row r="1421" spans="6:6" x14ac:dyDescent="0.25">
      <c r="F1421" s="2"/>
    </row>
    <row r="1422" spans="6:6" x14ac:dyDescent="0.25">
      <c r="F1422" s="2"/>
    </row>
    <row r="1423" spans="6:6" x14ac:dyDescent="0.25">
      <c r="F1423" s="2"/>
    </row>
    <row r="1424" spans="6:6" x14ac:dyDescent="0.25">
      <c r="F1424" s="2"/>
    </row>
    <row r="1425" spans="6:6" x14ac:dyDescent="0.25">
      <c r="F1425" s="2"/>
    </row>
    <row r="1426" spans="6:6" x14ac:dyDescent="0.25">
      <c r="F1426" s="2"/>
    </row>
    <row r="1427" spans="6:6" x14ac:dyDescent="0.25">
      <c r="F1427" s="2"/>
    </row>
    <row r="1428" spans="6:6" x14ac:dyDescent="0.25">
      <c r="F1428" s="2"/>
    </row>
    <row r="1429" spans="6:6" x14ac:dyDescent="0.25">
      <c r="F1429" s="2"/>
    </row>
    <row r="1430" spans="6:6" x14ac:dyDescent="0.25">
      <c r="F1430" s="2"/>
    </row>
    <row r="1431" spans="6:6" x14ac:dyDescent="0.25">
      <c r="F1431" s="2"/>
    </row>
    <row r="1432" spans="6:6" x14ac:dyDescent="0.25">
      <c r="F1432" s="2"/>
    </row>
    <row r="1433" spans="6:6" x14ac:dyDescent="0.25">
      <c r="F1433" s="2"/>
    </row>
    <row r="1434" spans="6:6" x14ac:dyDescent="0.25">
      <c r="F1434" s="2"/>
    </row>
    <row r="1435" spans="6:6" x14ac:dyDescent="0.25">
      <c r="F1435" s="2"/>
    </row>
    <row r="1436" spans="6:6" x14ac:dyDescent="0.25">
      <c r="F1436" s="2"/>
    </row>
    <row r="1437" spans="6:6" x14ac:dyDescent="0.25">
      <c r="F1437" s="2"/>
    </row>
    <row r="1438" spans="6:6" x14ac:dyDescent="0.25">
      <c r="F1438" s="2"/>
    </row>
    <row r="1439" spans="6:6" x14ac:dyDescent="0.25">
      <c r="F1439" s="2"/>
    </row>
    <row r="1440" spans="6:6" x14ac:dyDescent="0.25">
      <c r="F1440" s="2"/>
    </row>
    <row r="1441" spans="6:6" x14ac:dyDescent="0.25">
      <c r="F1441" s="2"/>
    </row>
    <row r="1442" spans="6:6" x14ac:dyDescent="0.25">
      <c r="F1442" s="2"/>
    </row>
    <row r="1443" spans="6:6" x14ac:dyDescent="0.25">
      <c r="F1443" s="2"/>
    </row>
    <row r="1444" spans="6:6" x14ac:dyDescent="0.25">
      <c r="F1444" s="2"/>
    </row>
    <row r="1445" spans="6:6" x14ac:dyDescent="0.25">
      <c r="F1445" s="2"/>
    </row>
    <row r="1446" spans="6:6" x14ac:dyDescent="0.25">
      <c r="F1446" s="2"/>
    </row>
    <row r="1447" spans="6:6" x14ac:dyDescent="0.25">
      <c r="F1447" s="2"/>
    </row>
    <row r="1448" spans="6:6" x14ac:dyDescent="0.25">
      <c r="F1448" s="2"/>
    </row>
    <row r="1449" spans="6:6" x14ac:dyDescent="0.25">
      <c r="F1449" s="2"/>
    </row>
    <row r="1450" spans="6:6" x14ac:dyDescent="0.25">
      <c r="F1450" s="2"/>
    </row>
    <row r="1451" spans="6:6" x14ac:dyDescent="0.25">
      <c r="F1451" s="2"/>
    </row>
    <row r="1452" spans="6:6" x14ac:dyDescent="0.25">
      <c r="F1452" s="2"/>
    </row>
    <row r="1453" spans="6:6" x14ac:dyDescent="0.25">
      <c r="F1453" s="2"/>
    </row>
    <row r="1454" spans="6:6" x14ac:dyDescent="0.25">
      <c r="F1454" s="2"/>
    </row>
    <row r="1455" spans="6:6" x14ac:dyDescent="0.25">
      <c r="F1455" s="2"/>
    </row>
    <row r="1456" spans="6:6" x14ac:dyDescent="0.25">
      <c r="F1456" s="2"/>
    </row>
    <row r="1457" spans="6:6" x14ac:dyDescent="0.25">
      <c r="F1457" s="2"/>
    </row>
    <row r="1458" spans="6:6" x14ac:dyDescent="0.25">
      <c r="F1458" s="2"/>
    </row>
    <row r="1459" spans="6:6" x14ac:dyDescent="0.25">
      <c r="F1459" s="2"/>
    </row>
    <row r="1460" spans="6:6" x14ac:dyDescent="0.25">
      <c r="F1460" s="2"/>
    </row>
    <row r="1461" spans="6:6" x14ac:dyDescent="0.25">
      <c r="F1461" s="2"/>
    </row>
    <row r="1462" spans="6:6" x14ac:dyDescent="0.25">
      <c r="F1462" s="2"/>
    </row>
    <row r="1463" spans="6:6" x14ac:dyDescent="0.25">
      <c r="F1463" s="2"/>
    </row>
    <row r="1464" spans="6:6" x14ac:dyDescent="0.25">
      <c r="F1464" s="2"/>
    </row>
    <row r="1465" spans="6:6" x14ac:dyDescent="0.25">
      <c r="F1465" s="2"/>
    </row>
    <row r="1466" spans="6:6" x14ac:dyDescent="0.25">
      <c r="F1466" s="2"/>
    </row>
    <row r="1467" spans="6:6" x14ac:dyDescent="0.25">
      <c r="F1467" s="2"/>
    </row>
    <row r="1468" spans="6:6" x14ac:dyDescent="0.25">
      <c r="F1468" s="2"/>
    </row>
    <row r="1469" spans="6:6" x14ac:dyDescent="0.25">
      <c r="F1469" s="2"/>
    </row>
    <row r="1470" spans="6:6" x14ac:dyDescent="0.25">
      <c r="F1470" s="2"/>
    </row>
    <row r="1471" spans="6:6" x14ac:dyDescent="0.25">
      <c r="F1471" s="2"/>
    </row>
    <row r="1472" spans="6:6" x14ac:dyDescent="0.25">
      <c r="F1472" s="2"/>
    </row>
    <row r="1473" spans="6:6" x14ac:dyDescent="0.25">
      <c r="F1473" s="2"/>
    </row>
    <row r="1474" spans="6:6" x14ac:dyDescent="0.25">
      <c r="F1474" s="2"/>
    </row>
    <row r="1475" spans="6:6" x14ac:dyDescent="0.25">
      <c r="F1475" s="2"/>
    </row>
    <row r="1476" spans="6:6" x14ac:dyDescent="0.25">
      <c r="F1476" s="2"/>
    </row>
    <row r="1477" spans="6:6" x14ac:dyDescent="0.25">
      <c r="F1477" s="2"/>
    </row>
    <row r="1478" spans="6:6" x14ac:dyDescent="0.25">
      <c r="F1478" s="2"/>
    </row>
    <row r="1479" spans="6:6" x14ac:dyDescent="0.25">
      <c r="F1479" s="2"/>
    </row>
    <row r="1480" spans="6:6" x14ac:dyDescent="0.25">
      <c r="F1480" s="2"/>
    </row>
    <row r="1481" spans="6:6" x14ac:dyDescent="0.25">
      <c r="F1481" s="2"/>
    </row>
    <row r="1482" spans="6:6" x14ac:dyDescent="0.25">
      <c r="F1482" s="2"/>
    </row>
    <row r="1483" spans="6:6" x14ac:dyDescent="0.25">
      <c r="F1483" s="2"/>
    </row>
    <row r="1484" spans="6:6" x14ac:dyDescent="0.25">
      <c r="F1484" s="2"/>
    </row>
    <row r="1485" spans="6:6" x14ac:dyDescent="0.25">
      <c r="F1485" s="2"/>
    </row>
    <row r="1486" spans="6:6" x14ac:dyDescent="0.25">
      <c r="F1486" s="2"/>
    </row>
    <row r="1487" spans="6:6" x14ac:dyDescent="0.25">
      <c r="F1487" s="2"/>
    </row>
    <row r="1488" spans="6:6" x14ac:dyDescent="0.25">
      <c r="F1488" s="2"/>
    </row>
    <row r="1489" spans="6:6" x14ac:dyDescent="0.25">
      <c r="F1489" s="2"/>
    </row>
    <row r="1490" spans="6:6" x14ac:dyDescent="0.25">
      <c r="F1490" s="2"/>
    </row>
    <row r="1491" spans="6:6" x14ac:dyDescent="0.25">
      <c r="F1491" s="2"/>
    </row>
    <row r="1492" spans="6:6" x14ac:dyDescent="0.25">
      <c r="F1492" s="2"/>
    </row>
    <row r="1493" spans="6:6" x14ac:dyDescent="0.25">
      <c r="F1493" s="2"/>
    </row>
    <row r="1494" spans="6:6" x14ac:dyDescent="0.25">
      <c r="F1494" s="2"/>
    </row>
    <row r="1495" spans="6:6" x14ac:dyDescent="0.25">
      <c r="F1495" s="2"/>
    </row>
    <row r="1496" spans="6:6" x14ac:dyDescent="0.25">
      <c r="F1496" s="2"/>
    </row>
    <row r="1497" spans="6:6" x14ac:dyDescent="0.25">
      <c r="F1497" s="2"/>
    </row>
    <row r="1498" spans="6:6" x14ac:dyDescent="0.25">
      <c r="F1498" s="2"/>
    </row>
    <row r="1499" spans="6:6" x14ac:dyDescent="0.25">
      <c r="F1499" s="2"/>
    </row>
    <row r="1500" spans="6:6" x14ac:dyDescent="0.25">
      <c r="F1500" s="2"/>
    </row>
    <row r="1501" spans="6:6" x14ac:dyDescent="0.25">
      <c r="F1501" s="2"/>
    </row>
    <row r="1502" spans="6:6" x14ac:dyDescent="0.25">
      <c r="F1502" s="2"/>
    </row>
    <row r="1503" spans="6:6" x14ac:dyDescent="0.25">
      <c r="F1503" s="2"/>
    </row>
    <row r="1504" spans="6:6" x14ac:dyDescent="0.25">
      <c r="F1504" s="2"/>
    </row>
    <row r="1505" spans="6:6" x14ac:dyDescent="0.25">
      <c r="F1505" s="2"/>
    </row>
    <row r="1506" spans="6:6" x14ac:dyDescent="0.25">
      <c r="F1506" s="2"/>
    </row>
    <row r="1507" spans="6:6" x14ac:dyDescent="0.25">
      <c r="F1507" s="2"/>
    </row>
    <row r="1508" spans="6:6" x14ac:dyDescent="0.25">
      <c r="F1508" s="2"/>
    </row>
    <row r="1509" spans="6:6" x14ac:dyDescent="0.25">
      <c r="F1509" s="2"/>
    </row>
    <row r="1510" spans="6:6" x14ac:dyDescent="0.25">
      <c r="F1510" s="2"/>
    </row>
    <row r="1511" spans="6:6" x14ac:dyDescent="0.25">
      <c r="F1511" s="2"/>
    </row>
    <row r="1512" spans="6:6" x14ac:dyDescent="0.25">
      <c r="F1512" s="2"/>
    </row>
    <row r="1513" spans="6:6" x14ac:dyDescent="0.25">
      <c r="F1513" s="2"/>
    </row>
    <row r="1514" spans="6:6" x14ac:dyDescent="0.25">
      <c r="F1514" s="2"/>
    </row>
    <row r="1515" spans="6:6" x14ac:dyDescent="0.25">
      <c r="F1515" s="2"/>
    </row>
    <row r="1516" spans="6:6" x14ac:dyDescent="0.25">
      <c r="F1516" s="2"/>
    </row>
    <row r="1517" spans="6:6" x14ac:dyDescent="0.25">
      <c r="F1517" s="2"/>
    </row>
    <row r="1518" spans="6:6" x14ac:dyDescent="0.25">
      <c r="F1518" s="2"/>
    </row>
    <row r="1519" spans="6:6" x14ac:dyDescent="0.25">
      <c r="F1519" s="2"/>
    </row>
    <row r="1520" spans="6:6" x14ac:dyDescent="0.25">
      <c r="F1520" s="2"/>
    </row>
    <row r="1521" spans="6:6" x14ac:dyDescent="0.25">
      <c r="F1521" s="2"/>
    </row>
    <row r="1522" spans="6:6" x14ac:dyDescent="0.25">
      <c r="F1522" s="2"/>
    </row>
    <row r="1523" spans="6:6" x14ac:dyDescent="0.25">
      <c r="F1523" s="2"/>
    </row>
    <row r="1524" spans="6:6" x14ac:dyDescent="0.25">
      <c r="F1524" s="2"/>
    </row>
    <row r="1525" spans="6:6" x14ac:dyDescent="0.25">
      <c r="F1525" s="2"/>
    </row>
    <row r="1526" spans="6:6" x14ac:dyDescent="0.25">
      <c r="F1526" s="2"/>
    </row>
    <row r="1527" spans="6:6" x14ac:dyDescent="0.25">
      <c r="F1527" s="2"/>
    </row>
    <row r="1528" spans="6:6" x14ac:dyDescent="0.25">
      <c r="F1528" s="2"/>
    </row>
    <row r="1529" spans="6:6" x14ac:dyDescent="0.25">
      <c r="F1529" s="2"/>
    </row>
    <row r="1530" spans="6:6" x14ac:dyDescent="0.25">
      <c r="F1530" s="2"/>
    </row>
    <row r="1531" spans="6:6" x14ac:dyDescent="0.25">
      <c r="F1531" s="2"/>
    </row>
    <row r="1532" spans="6:6" x14ac:dyDescent="0.25">
      <c r="F1532" s="2"/>
    </row>
    <row r="1533" spans="6:6" x14ac:dyDescent="0.25">
      <c r="F1533" s="2"/>
    </row>
    <row r="1534" spans="6:6" x14ac:dyDescent="0.25">
      <c r="F1534" s="2"/>
    </row>
    <row r="1535" spans="6:6" x14ac:dyDescent="0.25">
      <c r="F1535" s="2"/>
    </row>
    <row r="1536" spans="6:6" x14ac:dyDescent="0.25">
      <c r="F1536" s="2"/>
    </row>
    <row r="1537" spans="6:6" x14ac:dyDescent="0.25">
      <c r="F1537" s="2"/>
    </row>
    <row r="1538" spans="6:6" x14ac:dyDescent="0.25">
      <c r="F1538" s="2"/>
    </row>
    <row r="1539" spans="6:6" x14ac:dyDescent="0.25">
      <c r="F1539" s="2"/>
    </row>
    <row r="1540" spans="6:6" x14ac:dyDescent="0.25">
      <c r="F1540" s="2"/>
    </row>
    <row r="1541" spans="6:6" x14ac:dyDescent="0.25">
      <c r="F1541" s="2"/>
    </row>
    <row r="1542" spans="6:6" x14ac:dyDescent="0.25">
      <c r="F1542" s="2"/>
    </row>
    <row r="1543" spans="6:6" x14ac:dyDescent="0.25">
      <c r="F1543" s="2"/>
    </row>
    <row r="1544" spans="6:6" x14ac:dyDescent="0.25">
      <c r="F1544" s="2"/>
    </row>
    <row r="1545" spans="6:6" x14ac:dyDescent="0.25">
      <c r="F1545" s="2"/>
    </row>
    <row r="1546" spans="6:6" x14ac:dyDescent="0.25">
      <c r="F1546" s="2"/>
    </row>
    <row r="1547" spans="6:6" x14ac:dyDescent="0.25">
      <c r="F1547" s="2"/>
    </row>
    <row r="1548" spans="6:6" x14ac:dyDescent="0.25">
      <c r="F1548" s="2"/>
    </row>
    <row r="1549" spans="6:6" x14ac:dyDescent="0.25">
      <c r="F1549" s="2"/>
    </row>
    <row r="1550" spans="6:6" x14ac:dyDescent="0.25">
      <c r="F1550" s="2"/>
    </row>
    <row r="1551" spans="6:6" x14ac:dyDescent="0.25">
      <c r="F1551" s="2"/>
    </row>
    <row r="1552" spans="6:6" x14ac:dyDescent="0.25">
      <c r="F1552" s="2"/>
    </row>
    <row r="1553" spans="6:6" x14ac:dyDescent="0.25">
      <c r="F1553" s="2"/>
    </row>
    <row r="1554" spans="6:6" x14ac:dyDescent="0.25">
      <c r="F1554" s="2"/>
    </row>
    <row r="1555" spans="6:6" x14ac:dyDescent="0.25">
      <c r="F1555" s="2"/>
    </row>
    <row r="1556" spans="6:6" x14ac:dyDescent="0.25">
      <c r="F1556" s="2"/>
    </row>
    <row r="1557" spans="6:6" x14ac:dyDescent="0.25">
      <c r="F1557" s="2"/>
    </row>
    <row r="1558" spans="6:6" x14ac:dyDescent="0.25">
      <c r="F1558" s="2"/>
    </row>
    <row r="1559" spans="6:6" x14ac:dyDescent="0.25">
      <c r="F1559" s="2"/>
    </row>
    <row r="1560" spans="6:6" x14ac:dyDescent="0.25">
      <c r="F1560" s="2"/>
    </row>
    <row r="1561" spans="6:6" x14ac:dyDescent="0.25">
      <c r="F1561" s="2"/>
    </row>
    <row r="1562" spans="6:6" x14ac:dyDescent="0.25">
      <c r="F1562" s="2"/>
    </row>
    <row r="1563" spans="6:6" x14ac:dyDescent="0.25">
      <c r="F1563" s="2"/>
    </row>
    <row r="1564" spans="6:6" x14ac:dyDescent="0.25">
      <c r="F1564" s="2"/>
    </row>
    <row r="1565" spans="6:6" x14ac:dyDescent="0.25">
      <c r="F1565" s="2"/>
    </row>
    <row r="1566" spans="6:6" x14ac:dyDescent="0.25">
      <c r="F1566" s="2"/>
    </row>
    <row r="1567" spans="6:6" x14ac:dyDescent="0.25">
      <c r="F1567" s="2"/>
    </row>
    <row r="1568" spans="6:6" x14ac:dyDescent="0.25">
      <c r="F1568" s="2"/>
    </row>
    <row r="1569" spans="6:6" x14ac:dyDescent="0.25">
      <c r="F1569" s="2"/>
    </row>
    <row r="1570" spans="6:6" x14ac:dyDescent="0.25">
      <c r="F1570" s="2"/>
    </row>
    <row r="1571" spans="6:6" x14ac:dyDescent="0.25">
      <c r="F1571" s="2"/>
    </row>
    <row r="1572" spans="6:6" x14ac:dyDescent="0.25">
      <c r="F1572" s="2"/>
    </row>
    <row r="1573" spans="6:6" x14ac:dyDescent="0.25">
      <c r="F1573" s="2"/>
    </row>
    <row r="1574" spans="6:6" x14ac:dyDescent="0.25">
      <c r="F1574" s="2"/>
    </row>
    <row r="1575" spans="6:6" x14ac:dyDescent="0.25">
      <c r="F1575" s="2"/>
    </row>
    <row r="1576" spans="6:6" x14ac:dyDescent="0.25">
      <c r="F1576" s="2"/>
    </row>
    <row r="1577" spans="6:6" x14ac:dyDescent="0.25">
      <c r="F1577" s="2"/>
    </row>
    <row r="1578" spans="6:6" x14ac:dyDescent="0.25">
      <c r="F1578" s="2"/>
    </row>
    <row r="1579" spans="6:6" x14ac:dyDescent="0.25">
      <c r="F1579" s="2"/>
    </row>
    <row r="1580" spans="6:6" x14ac:dyDescent="0.25">
      <c r="F1580" s="2"/>
    </row>
    <row r="1581" spans="6:6" x14ac:dyDescent="0.25">
      <c r="F1581" s="2"/>
    </row>
    <row r="1582" spans="6:6" x14ac:dyDescent="0.25">
      <c r="F1582" s="2"/>
    </row>
    <row r="1583" spans="6:6" x14ac:dyDescent="0.25">
      <c r="F1583" s="2"/>
    </row>
    <row r="1584" spans="6:6" x14ac:dyDescent="0.25">
      <c r="F1584" s="2"/>
    </row>
    <row r="1585" spans="6:6" x14ac:dyDescent="0.25">
      <c r="F1585" s="2"/>
    </row>
    <row r="1586" spans="6:6" x14ac:dyDescent="0.25">
      <c r="F1586" s="2"/>
    </row>
    <row r="1587" spans="6:6" x14ac:dyDescent="0.25">
      <c r="F1587" s="2"/>
    </row>
    <row r="1588" spans="6:6" x14ac:dyDescent="0.25">
      <c r="F1588" s="2"/>
    </row>
    <row r="1589" spans="6:6" x14ac:dyDescent="0.25">
      <c r="F1589" s="2"/>
    </row>
    <row r="1590" spans="6:6" x14ac:dyDescent="0.25">
      <c r="F1590" s="2"/>
    </row>
    <row r="1591" spans="6:6" x14ac:dyDescent="0.25">
      <c r="F1591" s="2"/>
    </row>
    <row r="1592" spans="6:6" x14ac:dyDescent="0.25">
      <c r="F1592" s="2"/>
    </row>
    <row r="1593" spans="6:6" x14ac:dyDescent="0.25">
      <c r="F1593" s="2"/>
    </row>
    <row r="1594" spans="6:6" x14ac:dyDescent="0.25">
      <c r="F1594" s="2"/>
    </row>
    <row r="1595" spans="6:6" x14ac:dyDescent="0.25">
      <c r="F1595" s="2"/>
    </row>
    <row r="1596" spans="6:6" x14ac:dyDescent="0.25">
      <c r="F1596" s="2"/>
    </row>
    <row r="1597" spans="6:6" x14ac:dyDescent="0.25">
      <c r="F1597" s="2"/>
    </row>
    <row r="1598" spans="6:6" x14ac:dyDescent="0.25">
      <c r="F1598" s="2"/>
    </row>
    <row r="1599" spans="6:6" x14ac:dyDescent="0.25">
      <c r="F1599" s="2"/>
    </row>
    <row r="1600" spans="6:6" x14ac:dyDescent="0.25">
      <c r="F1600" s="2"/>
    </row>
    <row r="1601" spans="6:6" x14ac:dyDescent="0.25">
      <c r="F1601" s="2"/>
    </row>
    <row r="1602" spans="6:6" x14ac:dyDescent="0.25">
      <c r="F1602" s="2"/>
    </row>
    <row r="1603" spans="6:6" x14ac:dyDescent="0.25">
      <c r="F1603" s="2"/>
    </row>
    <row r="1604" spans="6:6" x14ac:dyDescent="0.25">
      <c r="F1604" s="2"/>
    </row>
    <row r="1605" spans="6:6" x14ac:dyDescent="0.25">
      <c r="F1605" s="2"/>
    </row>
    <row r="1606" spans="6:6" x14ac:dyDescent="0.25">
      <c r="F1606" s="2"/>
    </row>
    <row r="1607" spans="6:6" x14ac:dyDescent="0.25">
      <c r="F1607" s="2"/>
    </row>
    <row r="1608" spans="6:6" x14ac:dyDescent="0.25">
      <c r="F1608" s="2"/>
    </row>
    <row r="1609" spans="6:6" x14ac:dyDescent="0.25">
      <c r="F1609" s="2"/>
    </row>
    <row r="1610" spans="6:6" x14ac:dyDescent="0.25">
      <c r="F1610" s="2"/>
    </row>
    <row r="1611" spans="6:6" x14ac:dyDescent="0.25">
      <c r="F1611" s="2"/>
    </row>
    <row r="1612" spans="6:6" x14ac:dyDescent="0.25">
      <c r="F1612" s="2"/>
    </row>
    <row r="1613" spans="6:6" x14ac:dyDescent="0.25">
      <c r="F1613" s="2"/>
    </row>
    <row r="1614" spans="6:6" x14ac:dyDescent="0.25">
      <c r="F1614" s="2"/>
    </row>
    <row r="1615" spans="6:6" x14ac:dyDescent="0.25">
      <c r="F1615" s="2"/>
    </row>
    <row r="1616" spans="6:6" x14ac:dyDescent="0.25">
      <c r="F1616" s="2"/>
    </row>
    <row r="1617" spans="6:6" x14ac:dyDescent="0.25">
      <c r="F1617" s="2"/>
    </row>
    <row r="1618" spans="6:6" x14ac:dyDescent="0.25">
      <c r="F1618" s="2"/>
    </row>
    <row r="1619" spans="6:6" x14ac:dyDescent="0.25">
      <c r="F1619" s="2"/>
    </row>
    <row r="1620" spans="6:6" x14ac:dyDescent="0.25">
      <c r="F1620" s="2"/>
    </row>
    <row r="1621" spans="6:6" x14ac:dyDescent="0.25">
      <c r="F1621" s="2"/>
    </row>
    <row r="1622" spans="6:6" x14ac:dyDescent="0.25">
      <c r="F1622" s="2"/>
    </row>
    <row r="1623" spans="6:6" x14ac:dyDescent="0.25">
      <c r="F1623" s="2"/>
    </row>
    <row r="1624" spans="6:6" x14ac:dyDescent="0.25">
      <c r="F1624" s="2"/>
    </row>
    <row r="1625" spans="6:6" x14ac:dyDescent="0.25">
      <c r="F1625" s="2"/>
    </row>
    <row r="1626" spans="6:6" x14ac:dyDescent="0.25">
      <c r="F1626" s="2"/>
    </row>
    <row r="1627" spans="6:6" x14ac:dyDescent="0.25">
      <c r="F1627" s="2"/>
    </row>
    <row r="1628" spans="6:6" x14ac:dyDescent="0.25">
      <c r="F1628" s="2"/>
    </row>
    <row r="1629" spans="6:6" x14ac:dyDescent="0.25">
      <c r="F1629" s="2"/>
    </row>
    <row r="1630" spans="6:6" x14ac:dyDescent="0.25">
      <c r="F1630" s="2"/>
    </row>
    <row r="1631" spans="6:6" x14ac:dyDescent="0.25">
      <c r="F1631" s="2"/>
    </row>
    <row r="1632" spans="6:6" x14ac:dyDescent="0.25">
      <c r="F1632" s="2"/>
    </row>
    <row r="1633" spans="6:6" x14ac:dyDescent="0.25">
      <c r="F1633" s="2"/>
    </row>
    <row r="1634" spans="6:6" x14ac:dyDescent="0.25">
      <c r="F1634" s="2"/>
    </row>
    <row r="1635" spans="6:6" x14ac:dyDescent="0.25">
      <c r="F1635" s="2"/>
    </row>
    <row r="1636" spans="6:6" x14ac:dyDescent="0.25">
      <c r="F1636" s="2"/>
    </row>
    <row r="1637" spans="6:6" x14ac:dyDescent="0.25">
      <c r="F1637" s="2"/>
    </row>
    <row r="1638" spans="6:6" x14ac:dyDescent="0.25">
      <c r="F1638" s="2"/>
    </row>
    <row r="1639" spans="6:6" x14ac:dyDescent="0.25">
      <c r="F1639" s="2"/>
    </row>
    <row r="1640" spans="6:6" x14ac:dyDescent="0.25">
      <c r="F1640" s="2"/>
    </row>
    <row r="1641" spans="6:6" x14ac:dyDescent="0.25">
      <c r="F1641" s="2"/>
    </row>
    <row r="1642" spans="6:6" x14ac:dyDescent="0.25">
      <c r="F1642" s="2"/>
    </row>
    <row r="1643" spans="6:6" x14ac:dyDescent="0.25">
      <c r="F1643" s="2"/>
    </row>
    <row r="1644" spans="6:6" x14ac:dyDescent="0.25">
      <c r="F1644" s="2"/>
    </row>
    <row r="1645" spans="6:6" x14ac:dyDescent="0.25">
      <c r="F1645" s="2"/>
    </row>
    <row r="1646" spans="6:6" x14ac:dyDescent="0.25">
      <c r="F1646" s="2"/>
    </row>
    <row r="1647" spans="6:6" x14ac:dyDescent="0.25">
      <c r="F1647" s="2"/>
    </row>
    <row r="1648" spans="6:6" x14ac:dyDescent="0.25">
      <c r="F1648" s="2"/>
    </row>
    <row r="1649" spans="6:6" x14ac:dyDescent="0.25">
      <c r="F1649" s="2"/>
    </row>
    <row r="1650" spans="6:6" x14ac:dyDescent="0.25">
      <c r="F1650" s="2"/>
    </row>
    <row r="1651" spans="6:6" x14ac:dyDescent="0.25">
      <c r="F1651" s="2"/>
    </row>
    <row r="1652" spans="6:6" x14ac:dyDescent="0.25">
      <c r="F1652" s="2"/>
    </row>
    <row r="1653" spans="6:6" x14ac:dyDescent="0.25">
      <c r="F1653" s="2"/>
    </row>
    <row r="1654" spans="6:6" x14ac:dyDescent="0.25">
      <c r="F1654" s="2"/>
    </row>
    <row r="1655" spans="6:6" x14ac:dyDescent="0.25">
      <c r="F1655" s="2"/>
    </row>
    <row r="1656" spans="6:6" x14ac:dyDescent="0.25">
      <c r="F1656" s="2"/>
    </row>
    <row r="1657" spans="6:6" x14ac:dyDescent="0.25">
      <c r="F1657" s="2"/>
    </row>
    <row r="1658" spans="6:6" x14ac:dyDescent="0.25">
      <c r="F1658" s="2"/>
    </row>
    <row r="1659" spans="6:6" x14ac:dyDescent="0.25">
      <c r="F1659" s="2"/>
    </row>
    <row r="1660" spans="6:6" x14ac:dyDescent="0.25">
      <c r="F1660" s="2"/>
    </row>
    <row r="1661" spans="6:6" x14ac:dyDescent="0.25">
      <c r="F1661" s="2"/>
    </row>
    <row r="1662" spans="6:6" x14ac:dyDescent="0.25">
      <c r="F1662" s="2"/>
    </row>
    <row r="1663" spans="6:6" x14ac:dyDescent="0.25">
      <c r="F1663" s="2"/>
    </row>
    <row r="1664" spans="6:6" x14ac:dyDescent="0.25">
      <c r="F1664" s="2"/>
    </row>
    <row r="1665" spans="6:6" x14ac:dyDescent="0.25">
      <c r="F1665" s="2"/>
    </row>
    <row r="1666" spans="6:6" x14ac:dyDescent="0.25">
      <c r="F1666" s="2"/>
    </row>
    <row r="1667" spans="6:6" x14ac:dyDescent="0.25">
      <c r="F1667" s="2"/>
    </row>
    <row r="1668" spans="6:6" x14ac:dyDescent="0.25">
      <c r="F1668" s="2"/>
    </row>
    <row r="1669" spans="6:6" x14ac:dyDescent="0.25">
      <c r="F1669" s="2"/>
    </row>
    <row r="1670" spans="6:6" x14ac:dyDescent="0.25">
      <c r="F1670" s="2"/>
    </row>
    <row r="1671" spans="6:6" x14ac:dyDescent="0.25">
      <c r="F1671" s="2"/>
    </row>
    <row r="1672" spans="6:6" x14ac:dyDescent="0.25">
      <c r="F1672" s="2"/>
    </row>
    <row r="1673" spans="6:6" x14ac:dyDescent="0.25">
      <c r="F1673" s="2"/>
    </row>
    <row r="1674" spans="6:6" x14ac:dyDescent="0.25">
      <c r="F1674" s="2"/>
    </row>
    <row r="1675" spans="6:6" x14ac:dyDescent="0.25">
      <c r="F1675" s="2"/>
    </row>
    <row r="1676" spans="6:6" x14ac:dyDescent="0.25">
      <c r="F1676" s="2"/>
    </row>
    <row r="1677" spans="6:6" x14ac:dyDescent="0.25">
      <c r="F1677" s="2"/>
    </row>
    <row r="1678" spans="6:6" x14ac:dyDescent="0.25">
      <c r="F1678" s="2"/>
    </row>
    <row r="1679" spans="6:6" x14ac:dyDescent="0.25">
      <c r="F1679" s="2"/>
    </row>
    <row r="1680" spans="6:6" x14ac:dyDescent="0.25">
      <c r="F1680" s="2"/>
    </row>
    <row r="1681" spans="6:6" x14ac:dyDescent="0.25">
      <c r="F1681" s="2"/>
    </row>
    <row r="1682" spans="6:6" x14ac:dyDescent="0.25">
      <c r="F1682" s="2"/>
    </row>
    <row r="1683" spans="6:6" x14ac:dyDescent="0.25">
      <c r="F1683" s="2"/>
    </row>
    <row r="1684" spans="6:6" x14ac:dyDescent="0.25">
      <c r="F1684" s="2"/>
    </row>
    <row r="1685" spans="6:6" x14ac:dyDescent="0.25">
      <c r="F1685" s="2"/>
    </row>
    <row r="1686" spans="6:6" x14ac:dyDescent="0.25">
      <c r="F1686" s="2"/>
    </row>
    <row r="1687" spans="6:6" x14ac:dyDescent="0.25">
      <c r="F1687" s="2"/>
    </row>
    <row r="1688" spans="6:6" x14ac:dyDescent="0.25">
      <c r="F1688" s="2"/>
    </row>
    <row r="1689" spans="6:6" x14ac:dyDescent="0.25">
      <c r="F1689" s="2"/>
    </row>
    <row r="1690" spans="6:6" x14ac:dyDescent="0.25">
      <c r="F1690" s="2"/>
    </row>
    <row r="1691" spans="6:6" x14ac:dyDescent="0.25">
      <c r="F1691" s="2"/>
    </row>
    <row r="1692" spans="6:6" x14ac:dyDescent="0.25">
      <c r="F1692" s="2"/>
    </row>
    <row r="1693" spans="6:6" x14ac:dyDescent="0.25">
      <c r="F1693" s="2"/>
    </row>
    <row r="1694" spans="6:6" x14ac:dyDescent="0.25">
      <c r="F1694" s="2"/>
    </row>
    <row r="1695" spans="6:6" x14ac:dyDescent="0.25">
      <c r="F1695" s="2"/>
    </row>
    <row r="1696" spans="6:6" x14ac:dyDescent="0.25">
      <c r="F1696" s="2"/>
    </row>
    <row r="1697" spans="6:6" x14ac:dyDescent="0.25">
      <c r="F1697" s="2"/>
    </row>
    <row r="1698" spans="6:6" x14ac:dyDescent="0.25">
      <c r="F1698" s="2"/>
    </row>
    <row r="1699" spans="6:6" x14ac:dyDescent="0.25">
      <c r="F1699" s="2"/>
    </row>
    <row r="1700" spans="6:6" x14ac:dyDescent="0.25">
      <c r="F1700" s="2"/>
    </row>
    <row r="1701" spans="6:6" x14ac:dyDescent="0.25">
      <c r="F1701" s="2"/>
    </row>
    <row r="1702" spans="6:6" x14ac:dyDescent="0.25">
      <c r="F1702" s="2"/>
    </row>
    <row r="1703" spans="6:6" x14ac:dyDescent="0.25">
      <c r="F1703" s="2"/>
    </row>
    <row r="1704" spans="6:6" x14ac:dyDescent="0.25">
      <c r="F1704" s="2"/>
    </row>
    <row r="1705" spans="6:6" x14ac:dyDescent="0.25">
      <c r="F1705" s="2"/>
    </row>
    <row r="1706" spans="6:6" x14ac:dyDescent="0.25">
      <c r="F1706" s="2"/>
    </row>
    <row r="1707" spans="6:6" x14ac:dyDescent="0.25">
      <c r="F1707" s="2"/>
    </row>
    <row r="1708" spans="6:6" x14ac:dyDescent="0.25">
      <c r="F1708" s="2"/>
    </row>
    <row r="1709" spans="6:6" x14ac:dyDescent="0.25">
      <c r="F1709" s="2"/>
    </row>
    <row r="1710" spans="6:6" x14ac:dyDescent="0.25">
      <c r="F1710" s="2"/>
    </row>
    <row r="1711" spans="6:6" x14ac:dyDescent="0.25">
      <c r="F1711" s="2"/>
    </row>
    <row r="1712" spans="6:6" x14ac:dyDescent="0.25">
      <c r="F1712" s="2"/>
    </row>
    <row r="1713" spans="6:6" x14ac:dyDescent="0.25">
      <c r="F1713" s="2"/>
    </row>
    <row r="1714" spans="6:6" x14ac:dyDescent="0.25">
      <c r="F1714" s="2"/>
    </row>
    <row r="1715" spans="6:6" x14ac:dyDescent="0.25">
      <c r="F1715" s="2"/>
    </row>
    <row r="1716" spans="6:6" x14ac:dyDescent="0.25">
      <c r="F1716" s="2"/>
    </row>
    <row r="1717" spans="6:6" x14ac:dyDescent="0.25">
      <c r="F1717" s="2"/>
    </row>
    <row r="1718" spans="6:6" x14ac:dyDescent="0.25">
      <c r="F1718" s="2"/>
    </row>
    <row r="1719" spans="6:6" x14ac:dyDescent="0.25">
      <c r="F1719" s="2"/>
    </row>
    <row r="1720" spans="6:6" x14ac:dyDescent="0.25">
      <c r="F1720" s="2"/>
    </row>
    <row r="1721" spans="6:6" x14ac:dyDescent="0.25">
      <c r="F1721" s="2"/>
    </row>
    <row r="1722" spans="6:6" x14ac:dyDescent="0.25">
      <c r="F1722" s="2"/>
    </row>
    <row r="1723" spans="6:6" x14ac:dyDescent="0.25">
      <c r="F1723" s="2"/>
    </row>
    <row r="1724" spans="6:6" x14ac:dyDescent="0.25">
      <c r="F1724" s="2"/>
    </row>
    <row r="1725" spans="6:6" x14ac:dyDescent="0.25">
      <c r="F1725" s="2"/>
    </row>
    <row r="1726" spans="6:6" x14ac:dyDescent="0.25">
      <c r="F1726" s="2"/>
    </row>
    <row r="1727" spans="6:6" x14ac:dyDescent="0.25">
      <c r="F1727" s="2"/>
    </row>
    <row r="1728" spans="6:6" x14ac:dyDescent="0.25">
      <c r="F1728" s="2"/>
    </row>
    <row r="1729" spans="6:6" x14ac:dyDescent="0.25">
      <c r="F1729" s="2"/>
    </row>
    <row r="1730" spans="6:6" x14ac:dyDescent="0.25">
      <c r="F1730" s="2"/>
    </row>
    <row r="1731" spans="6:6" x14ac:dyDescent="0.25">
      <c r="F1731" s="2"/>
    </row>
    <row r="1732" spans="6:6" x14ac:dyDescent="0.25">
      <c r="F1732" s="2"/>
    </row>
    <row r="1733" spans="6:6" x14ac:dyDescent="0.25">
      <c r="F1733" s="2"/>
    </row>
    <row r="1734" spans="6:6" x14ac:dyDescent="0.25">
      <c r="F1734" s="2"/>
    </row>
    <row r="1735" spans="6:6" x14ac:dyDescent="0.25">
      <c r="F1735" s="2"/>
    </row>
    <row r="1736" spans="6:6" x14ac:dyDescent="0.25">
      <c r="F1736" s="2"/>
    </row>
    <row r="1737" spans="6:6" x14ac:dyDescent="0.25">
      <c r="F1737" s="2"/>
    </row>
    <row r="1738" spans="6:6" x14ac:dyDescent="0.25">
      <c r="F1738" s="2"/>
    </row>
    <row r="1739" spans="6:6" x14ac:dyDescent="0.25">
      <c r="F1739" s="2"/>
    </row>
    <row r="1740" spans="6:6" x14ac:dyDescent="0.25">
      <c r="F1740" s="2"/>
    </row>
    <row r="1741" spans="6:6" x14ac:dyDescent="0.25">
      <c r="F1741" s="2"/>
    </row>
    <row r="1742" spans="6:6" x14ac:dyDescent="0.25">
      <c r="F1742" s="2"/>
    </row>
    <row r="1743" spans="6:6" x14ac:dyDescent="0.25">
      <c r="F1743" s="2"/>
    </row>
    <row r="1744" spans="6:6" x14ac:dyDescent="0.25">
      <c r="F1744" s="2"/>
    </row>
    <row r="1745" spans="6:6" x14ac:dyDescent="0.25">
      <c r="F1745" s="2"/>
    </row>
    <row r="1746" spans="6:6" x14ac:dyDescent="0.25">
      <c r="F1746" s="2"/>
    </row>
    <row r="1747" spans="6:6" x14ac:dyDescent="0.25">
      <c r="F1747" s="2"/>
    </row>
    <row r="1748" spans="6:6" x14ac:dyDescent="0.25">
      <c r="F1748" s="2"/>
    </row>
    <row r="1749" spans="6:6" x14ac:dyDescent="0.25">
      <c r="F1749" s="2"/>
    </row>
    <row r="1750" spans="6:6" x14ac:dyDescent="0.25">
      <c r="F1750" s="2"/>
    </row>
    <row r="1751" spans="6:6" x14ac:dyDescent="0.25">
      <c r="F1751" s="2"/>
    </row>
    <row r="1752" spans="6:6" x14ac:dyDescent="0.25">
      <c r="F1752" s="2"/>
    </row>
    <row r="1753" spans="6:6" x14ac:dyDescent="0.25">
      <c r="F1753" s="2"/>
    </row>
    <row r="1754" spans="6:6" x14ac:dyDescent="0.25">
      <c r="F1754" s="2"/>
    </row>
    <row r="1755" spans="6:6" x14ac:dyDescent="0.25">
      <c r="F1755" s="2"/>
    </row>
    <row r="1756" spans="6:6" x14ac:dyDescent="0.25">
      <c r="F1756" s="2"/>
    </row>
    <row r="1757" spans="6:6" x14ac:dyDescent="0.25">
      <c r="F1757" s="2"/>
    </row>
    <row r="1758" spans="6:6" x14ac:dyDescent="0.25">
      <c r="F1758" s="2"/>
    </row>
    <row r="1759" spans="6:6" x14ac:dyDescent="0.25">
      <c r="F1759" s="2"/>
    </row>
    <row r="1760" spans="6:6" x14ac:dyDescent="0.25">
      <c r="F1760" s="2"/>
    </row>
    <row r="1761" spans="6:6" x14ac:dyDescent="0.25">
      <c r="F1761" s="2"/>
    </row>
    <row r="1762" spans="6:6" x14ac:dyDescent="0.25">
      <c r="F1762" s="2"/>
    </row>
    <row r="1763" spans="6:6" x14ac:dyDescent="0.25">
      <c r="F1763" s="2"/>
    </row>
    <row r="1764" spans="6:6" x14ac:dyDescent="0.25">
      <c r="F1764" s="2"/>
    </row>
    <row r="1765" spans="6:6" x14ac:dyDescent="0.25">
      <c r="F1765" s="2"/>
    </row>
    <row r="1766" spans="6:6" x14ac:dyDescent="0.25">
      <c r="F1766" s="2"/>
    </row>
    <row r="1767" spans="6:6" x14ac:dyDescent="0.25">
      <c r="F1767" s="2"/>
    </row>
    <row r="1768" spans="6:6" x14ac:dyDescent="0.25">
      <c r="F1768" s="2"/>
    </row>
    <row r="1769" spans="6:6" x14ac:dyDescent="0.25">
      <c r="F1769" s="2"/>
    </row>
    <row r="1770" spans="6:6" x14ac:dyDescent="0.25">
      <c r="F1770" s="2"/>
    </row>
    <row r="1771" spans="6:6" x14ac:dyDescent="0.25">
      <c r="F1771" s="2"/>
    </row>
    <row r="1772" spans="6:6" x14ac:dyDescent="0.25">
      <c r="F1772" s="2"/>
    </row>
    <row r="1773" spans="6:6" x14ac:dyDescent="0.25">
      <c r="F1773" s="2"/>
    </row>
    <row r="1774" spans="6:6" x14ac:dyDescent="0.25">
      <c r="F1774" s="2"/>
    </row>
    <row r="1775" spans="6:6" x14ac:dyDescent="0.25">
      <c r="F1775" s="2"/>
    </row>
    <row r="1776" spans="6:6" x14ac:dyDescent="0.25">
      <c r="F1776" s="2"/>
    </row>
    <row r="1777" spans="6:6" x14ac:dyDescent="0.25">
      <c r="F1777" s="2"/>
    </row>
    <row r="1778" spans="6:6" x14ac:dyDescent="0.25">
      <c r="F1778" s="2"/>
    </row>
    <row r="1779" spans="6:6" x14ac:dyDescent="0.25">
      <c r="F1779" s="2"/>
    </row>
    <row r="1780" spans="6:6" x14ac:dyDescent="0.25">
      <c r="F1780" s="2"/>
    </row>
    <row r="1781" spans="6:6" x14ac:dyDescent="0.25">
      <c r="F1781" s="2"/>
    </row>
    <row r="1782" spans="6:6" x14ac:dyDescent="0.25">
      <c r="F1782" s="2"/>
    </row>
    <row r="1783" spans="6:6" x14ac:dyDescent="0.25">
      <c r="F1783" s="2"/>
    </row>
    <row r="1784" spans="6:6" x14ac:dyDescent="0.25">
      <c r="F1784" s="2"/>
    </row>
    <row r="1785" spans="6:6" x14ac:dyDescent="0.25">
      <c r="F1785" s="2"/>
    </row>
    <row r="1786" spans="6:6" x14ac:dyDescent="0.25">
      <c r="F1786" s="2"/>
    </row>
    <row r="1787" spans="6:6" x14ac:dyDescent="0.25">
      <c r="F1787" s="2"/>
    </row>
    <row r="1788" spans="6:6" x14ac:dyDescent="0.25">
      <c r="F1788" s="2"/>
    </row>
    <row r="1789" spans="6:6" x14ac:dyDescent="0.25">
      <c r="F1789" s="2"/>
    </row>
    <row r="1790" spans="6:6" x14ac:dyDescent="0.25">
      <c r="F1790" s="2"/>
    </row>
    <row r="1791" spans="6:6" x14ac:dyDescent="0.25">
      <c r="F1791" s="2"/>
    </row>
    <row r="1792" spans="6:6" x14ac:dyDescent="0.25">
      <c r="F1792" s="2"/>
    </row>
    <row r="1793" spans="6:6" x14ac:dyDescent="0.25">
      <c r="F1793" s="2"/>
    </row>
    <row r="1794" spans="6:6" x14ac:dyDescent="0.25">
      <c r="F1794" s="2"/>
    </row>
    <row r="1795" spans="6:6" x14ac:dyDescent="0.25">
      <c r="F1795" s="2"/>
    </row>
    <row r="1796" spans="6:6" x14ac:dyDescent="0.25">
      <c r="F1796" s="2"/>
    </row>
    <row r="1797" spans="6:6" x14ac:dyDescent="0.25">
      <c r="F1797" s="2"/>
    </row>
    <row r="1798" spans="6:6" x14ac:dyDescent="0.25">
      <c r="F1798" s="2"/>
    </row>
    <row r="1799" spans="6:6" x14ac:dyDescent="0.25">
      <c r="F1799" s="2"/>
    </row>
    <row r="1800" spans="6:6" x14ac:dyDescent="0.25">
      <c r="F1800" s="2"/>
    </row>
    <row r="1801" spans="6:6" x14ac:dyDescent="0.25">
      <c r="F1801" s="2"/>
    </row>
    <row r="1802" spans="6:6" x14ac:dyDescent="0.25">
      <c r="F1802" s="2"/>
    </row>
    <row r="1803" spans="6:6" x14ac:dyDescent="0.25">
      <c r="F1803" s="2"/>
    </row>
    <row r="1804" spans="6:6" x14ac:dyDescent="0.25">
      <c r="F1804" s="2"/>
    </row>
    <row r="1805" spans="6:6" x14ac:dyDescent="0.25">
      <c r="F1805" s="2"/>
    </row>
    <row r="1806" spans="6:6" x14ac:dyDescent="0.25">
      <c r="F1806" s="2"/>
    </row>
    <row r="1807" spans="6:6" x14ac:dyDescent="0.25">
      <c r="F1807" s="2"/>
    </row>
    <row r="1808" spans="6:6" x14ac:dyDescent="0.25">
      <c r="F1808" s="2"/>
    </row>
    <row r="1809" spans="6:6" x14ac:dyDescent="0.25">
      <c r="F1809" s="2"/>
    </row>
    <row r="1810" spans="6:6" x14ac:dyDescent="0.25">
      <c r="F1810" s="2"/>
    </row>
    <row r="1811" spans="6:6" x14ac:dyDescent="0.25">
      <c r="F1811" s="2"/>
    </row>
    <row r="1812" spans="6:6" x14ac:dyDescent="0.25">
      <c r="F1812" s="2"/>
    </row>
    <row r="1813" spans="6:6" x14ac:dyDescent="0.25">
      <c r="F1813" s="2"/>
    </row>
    <row r="1814" spans="6:6" x14ac:dyDescent="0.25">
      <c r="F1814" s="2"/>
    </row>
    <row r="1815" spans="6:6" x14ac:dyDescent="0.25">
      <c r="F1815" s="2"/>
    </row>
    <row r="1816" spans="6:6" x14ac:dyDescent="0.25">
      <c r="F1816" s="2"/>
    </row>
    <row r="1817" spans="6:6" x14ac:dyDescent="0.25">
      <c r="F1817" s="2"/>
    </row>
    <row r="1818" spans="6:6" x14ac:dyDescent="0.25">
      <c r="F1818" s="2"/>
    </row>
    <row r="1819" spans="6:6" x14ac:dyDescent="0.25">
      <c r="F1819" s="2"/>
    </row>
    <row r="1820" spans="6:6" x14ac:dyDescent="0.25">
      <c r="F1820" s="2"/>
    </row>
    <row r="1821" spans="6:6" x14ac:dyDescent="0.25">
      <c r="F1821" s="2"/>
    </row>
    <row r="1822" spans="6:6" x14ac:dyDescent="0.25">
      <c r="F1822" s="2"/>
    </row>
    <row r="1823" spans="6:6" x14ac:dyDescent="0.25">
      <c r="F1823" s="2"/>
    </row>
    <row r="1824" spans="6:6" x14ac:dyDescent="0.25">
      <c r="F1824" s="2"/>
    </row>
    <row r="1825" spans="6:6" x14ac:dyDescent="0.25">
      <c r="F1825" s="2"/>
    </row>
    <row r="1826" spans="6:6" x14ac:dyDescent="0.25">
      <c r="F1826" s="2"/>
    </row>
    <row r="1827" spans="6:6" x14ac:dyDescent="0.25">
      <c r="F1827" s="2"/>
    </row>
    <row r="1828" spans="6:6" x14ac:dyDescent="0.25">
      <c r="F1828" s="2"/>
    </row>
    <row r="1829" spans="6:6" x14ac:dyDescent="0.25">
      <c r="F1829" s="2"/>
    </row>
    <row r="1830" spans="6:6" x14ac:dyDescent="0.25">
      <c r="F1830" s="2"/>
    </row>
    <row r="1831" spans="6:6" x14ac:dyDescent="0.25">
      <c r="F1831" s="2"/>
    </row>
    <row r="1832" spans="6:6" x14ac:dyDescent="0.25">
      <c r="F1832" s="2"/>
    </row>
    <row r="1833" spans="6:6" x14ac:dyDescent="0.25">
      <c r="F1833" s="2"/>
    </row>
    <row r="1834" spans="6:6" x14ac:dyDescent="0.25">
      <c r="F1834" s="2"/>
    </row>
    <row r="1835" spans="6:6" x14ac:dyDescent="0.25">
      <c r="F1835" s="2"/>
    </row>
    <row r="1836" spans="6:6" x14ac:dyDescent="0.25">
      <c r="F1836" s="2"/>
    </row>
    <row r="1837" spans="6:6" x14ac:dyDescent="0.25">
      <c r="F1837" s="2"/>
    </row>
    <row r="1838" spans="6:6" x14ac:dyDescent="0.25">
      <c r="F1838" s="2"/>
    </row>
    <row r="1839" spans="6:6" x14ac:dyDescent="0.25">
      <c r="F1839" s="2"/>
    </row>
    <row r="1840" spans="6:6" x14ac:dyDescent="0.25">
      <c r="F1840" s="2"/>
    </row>
    <row r="1841" spans="6:6" x14ac:dyDescent="0.25">
      <c r="F1841" s="2"/>
    </row>
    <row r="1842" spans="6:6" x14ac:dyDescent="0.25">
      <c r="F1842" s="2"/>
    </row>
    <row r="1843" spans="6:6" x14ac:dyDescent="0.25">
      <c r="F1843" s="2"/>
    </row>
    <row r="1844" spans="6:6" x14ac:dyDescent="0.25">
      <c r="F1844" s="2"/>
    </row>
    <row r="1845" spans="6:6" x14ac:dyDescent="0.25">
      <c r="F1845" s="2"/>
    </row>
    <row r="1846" spans="6:6" x14ac:dyDescent="0.25">
      <c r="F1846" s="2"/>
    </row>
    <row r="1847" spans="6:6" x14ac:dyDescent="0.25">
      <c r="F1847" s="2"/>
    </row>
    <row r="1848" spans="6:6" x14ac:dyDescent="0.25">
      <c r="F1848" s="2"/>
    </row>
    <row r="1849" spans="6:6" x14ac:dyDescent="0.25">
      <c r="F1849" s="2"/>
    </row>
    <row r="1850" spans="6:6" x14ac:dyDescent="0.25">
      <c r="F1850" s="2"/>
    </row>
    <row r="1851" spans="6:6" x14ac:dyDescent="0.25">
      <c r="F1851" s="2"/>
    </row>
    <row r="1852" spans="6:6" x14ac:dyDescent="0.25">
      <c r="F1852" s="2"/>
    </row>
    <row r="1853" spans="6:6" x14ac:dyDescent="0.25">
      <c r="F1853" s="2"/>
    </row>
    <row r="1854" spans="6:6" x14ac:dyDescent="0.25">
      <c r="F1854" s="2"/>
    </row>
    <row r="1855" spans="6:6" x14ac:dyDescent="0.25">
      <c r="F1855" s="2"/>
    </row>
    <row r="1856" spans="6:6" x14ac:dyDescent="0.25">
      <c r="F1856" s="2"/>
    </row>
    <row r="1857" spans="6:6" x14ac:dyDescent="0.25">
      <c r="F1857" s="2"/>
    </row>
    <row r="1858" spans="6:6" x14ac:dyDescent="0.25">
      <c r="F1858" s="2"/>
    </row>
    <row r="1859" spans="6:6" x14ac:dyDescent="0.25">
      <c r="F1859" s="2"/>
    </row>
    <row r="1860" spans="6:6" x14ac:dyDescent="0.25">
      <c r="F1860" s="2"/>
    </row>
    <row r="1861" spans="6:6" x14ac:dyDescent="0.25">
      <c r="F1861" s="2"/>
    </row>
    <row r="1862" spans="6:6" x14ac:dyDescent="0.25">
      <c r="F1862" s="2"/>
    </row>
    <row r="1863" spans="6:6" x14ac:dyDescent="0.25">
      <c r="F1863" s="2"/>
    </row>
    <row r="1864" spans="6:6" x14ac:dyDescent="0.25">
      <c r="F1864" s="2"/>
    </row>
    <row r="1865" spans="6:6" x14ac:dyDescent="0.25">
      <c r="F1865" s="2"/>
    </row>
    <row r="1866" spans="6:6" x14ac:dyDescent="0.25">
      <c r="F1866" s="2"/>
    </row>
    <row r="1867" spans="6:6" x14ac:dyDescent="0.25">
      <c r="F1867" s="2"/>
    </row>
    <row r="1868" spans="6:6" x14ac:dyDescent="0.25">
      <c r="F1868" s="2"/>
    </row>
    <row r="1869" spans="6:6" x14ac:dyDescent="0.25">
      <c r="F1869" s="2"/>
    </row>
    <row r="1870" spans="6:6" x14ac:dyDescent="0.25">
      <c r="F1870" s="2"/>
    </row>
    <row r="1871" spans="6:6" x14ac:dyDescent="0.25">
      <c r="F1871" s="2"/>
    </row>
    <row r="1872" spans="6:6" x14ac:dyDescent="0.25">
      <c r="F1872" s="2"/>
    </row>
    <row r="1873" spans="6:6" x14ac:dyDescent="0.25">
      <c r="F1873" s="2"/>
    </row>
    <row r="1874" spans="6:6" x14ac:dyDescent="0.25">
      <c r="F1874" s="2"/>
    </row>
    <row r="1875" spans="6:6" x14ac:dyDescent="0.25">
      <c r="F1875" s="2"/>
    </row>
    <row r="1876" spans="6:6" x14ac:dyDescent="0.25">
      <c r="F1876" s="2"/>
    </row>
    <row r="1877" spans="6:6" x14ac:dyDescent="0.25">
      <c r="F1877" s="2"/>
    </row>
    <row r="1878" spans="6:6" x14ac:dyDescent="0.25">
      <c r="F1878" s="2"/>
    </row>
    <row r="1879" spans="6:6" x14ac:dyDescent="0.25">
      <c r="F1879" s="2"/>
    </row>
    <row r="1880" spans="6:6" x14ac:dyDescent="0.25">
      <c r="F1880" s="2"/>
    </row>
    <row r="1881" spans="6:6" x14ac:dyDescent="0.25">
      <c r="F1881" s="2"/>
    </row>
    <row r="1882" spans="6:6" x14ac:dyDescent="0.25">
      <c r="F1882" s="2"/>
    </row>
    <row r="1883" spans="6:6" x14ac:dyDescent="0.25">
      <c r="F1883" s="2"/>
    </row>
    <row r="1884" spans="6:6" x14ac:dyDescent="0.25">
      <c r="F1884" s="2"/>
    </row>
    <row r="1885" spans="6:6" x14ac:dyDescent="0.25">
      <c r="F1885" s="2"/>
    </row>
    <row r="1886" spans="6:6" x14ac:dyDescent="0.25">
      <c r="F1886" s="2"/>
    </row>
    <row r="1887" spans="6:6" x14ac:dyDescent="0.25">
      <c r="F1887" s="2"/>
    </row>
    <row r="1888" spans="6:6" x14ac:dyDescent="0.25">
      <c r="F1888" s="2"/>
    </row>
    <row r="1889" spans="6:6" x14ac:dyDescent="0.25">
      <c r="F1889" s="2"/>
    </row>
    <row r="1890" spans="6:6" x14ac:dyDescent="0.25">
      <c r="F1890" s="2"/>
    </row>
    <row r="1891" spans="6:6" x14ac:dyDescent="0.25">
      <c r="F1891" s="2"/>
    </row>
    <row r="1892" spans="6:6" x14ac:dyDescent="0.25">
      <c r="F1892" s="2"/>
    </row>
    <row r="1893" spans="6:6" x14ac:dyDescent="0.25">
      <c r="F1893" s="2"/>
    </row>
    <row r="1894" spans="6:6" x14ac:dyDescent="0.25">
      <c r="F1894" s="2"/>
    </row>
    <row r="1895" spans="6:6" x14ac:dyDescent="0.25">
      <c r="F1895" s="2"/>
    </row>
    <row r="1896" spans="6:6" x14ac:dyDescent="0.25">
      <c r="F1896" s="2"/>
    </row>
    <row r="1897" spans="6:6" x14ac:dyDescent="0.25">
      <c r="F1897" s="2"/>
    </row>
    <row r="1898" spans="6:6" x14ac:dyDescent="0.25">
      <c r="F1898" s="2"/>
    </row>
    <row r="1899" spans="6:6" x14ac:dyDescent="0.25">
      <c r="F1899" s="2"/>
    </row>
    <row r="1900" spans="6:6" x14ac:dyDescent="0.25">
      <c r="F1900" s="2"/>
    </row>
    <row r="1901" spans="6:6" x14ac:dyDescent="0.25">
      <c r="F1901" s="2"/>
    </row>
    <row r="1902" spans="6:6" x14ac:dyDescent="0.25">
      <c r="F1902" s="2"/>
    </row>
    <row r="1903" spans="6:6" x14ac:dyDescent="0.25">
      <c r="F1903" s="2"/>
    </row>
    <row r="1904" spans="6:6" x14ac:dyDescent="0.25">
      <c r="F1904" s="2"/>
    </row>
    <row r="1905" spans="6:6" x14ac:dyDescent="0.25">
      <c r="F1905" s="2"/>
    </row>
    <row r="1906" spans="6:6" x14ac:dyDescent="0.25">
      <c r="F1906" s="2"/>
    </row>
    <row r="1907" spans="6:6" x14ac:dyDescent="0.25">
      <c r="F1907" s="2"/>
    </row>
    <row r="1908" spans="6:6" x14ac:dyDescent="0.25">
      <c r="F1908" s="2"/>
    </row>
    <row r="1909" spans="6:6" x14ac:dyDescent="0.25">
      <c r="F1909" s="2"/>
    </row>
    <row r="1910" spans="6:6" x14ac:dyDescent="0.25">
      <c r="F1910" s="2"/>
    </row>
    <row r="1911" spans="6:6" x14ac:dyDescent="0.25">
      <c r="F1911" s="2"/>
    </row>
    <row r="1912" spans="6:6" x14ac:dyDescent="0.25">
      <c r="F1912" s="2"/>
    </row>
    <row r="1913" spans="6:6" x14ac:dyDescent="0.25">
      <c r="F1913" s="2"/>
    </row>
    <row r="1914" spans="6:6" x14ac:dyDescent="0.25">
      <c r="F1914" s="2"/>
    </row>
    <row r="1915" spans="6:6" x14ac:dyDescent="0.25">
      <c r="F1915" s="2"/>
    </row>
    <row r="1916" spans="6:6" x14ac:dyDescent="0.25">
      <c r="F1916" s="2"/>
    </row>
    <row r="1917" spans="6:6" x14ac:dyDescent="0.25">
      <c r="F1917" s="2"/>
    </row>
    <row r="1918" spans="6:6" x14ac:dyDescent="0.25">
      <c r="F1918" s="2"/>
    </row>
    <row r="1919" spans="6:6" x14ac:dyDescent="0.25">
      <c r="F1919" s="2"/>
    </row>
    <row r="1920" spans="6:6" x14ac:dyDescent="0.25">
      <c r="F1920" s="2"/>
    </row>
    <row r="1921" spans="6:6" x14ac:dyDescent="0.25">
      <c r="F1921" s="2"/>
    </row>
    <row r="1922" spans="6:6" x14ac:dyDescent="0.25">
      <c r="F1922" s="2"/>
    </row>
    <row r="1923" spans="6:6" x14ac:dyDescent="0.25">
      <c r="F1923" s="2"/>
    </row>
    <row r="1924" spans="6:6" x14ac:dyDescent="0.25">
      <c r="F1924" s="2"/>
    </row>
    <row r="1925" spans="6:6" x14ac:dyDescent="0.25">
      <c r="F1925" s="2"/>
    </row>
    <row r="1926" spans="6:6" x14ac:dyDescent="0.25">
      <c r="F1926" s="2"/>
    </row>
    <row r="1927" spans="6:6" x14ac:dyDescent="0.25">
      <c r="F1927" s="2"/>
    </row>
    <row r="1928" spans="6:6" x14ac:dyDescent="0.25">
      <c r="F1928" s="2"/>
    </row>
    <row r="1929" spans="6:6" x14ac:dyDescent="0.25">
      <c r="F1929" s="2"/>
    </row>
    <row r="1930" spans="6:6" x14ac:dyDescent="0.25">
      <c r="F1930" s="2"/>
    </row>
    <row r="1931" spans="6:6" x14ac:dyDescent="0.25">
      <c r="F1931" s="2"/>
    </row>
    <row r="1932" spans="6:6" x14ac:dyDescent="0.25">
      <c r="F1932" s="2"/>
    </row>
    <row r="1933" spans="6:6" x14ac:dyDescent="0.25">
      <c r="F1933" s="2"/>
    </row>
    <row r="1934" spans="6:6" x14ac:dyDescent="0.25">
      <c r="F1934" s="2"/>
    </row>
    <row r="1935" spans="6:6" x14ac:dyDescent="0.25">
      <c r="F1935" s="2"/>
    </row>
    <row r="1936" spans="6:6" x14ac:dyDescent="0.25">
      <c r="F1936" s="2"/>
    </row>
    <row r="1937" spans="6:6" x14ac:dyDescent="0.25">
      <c r="F1937" s="2"/>
    </row>
    <row r="1938" spans="6:6" x14ac:dyDescent="0.25">
      <c r="F1938" s="2"/>
    </row>
    <row r="1939" spans="6:6" x14ac:dyDescent="0.25">
      <c r="F1939" s="2"/>
    </row>
    <row r="1940" spans="6:6" x14ac:dyDescent="0.25">
      <c r="F1940" s="2"/>
    </row>
    <row r="1941" spans="6:6" x14ac:dyDescent="0.25">
      <c r="F1941" s="2"/>
    </row>
    <row r="1942" spans="6:6" x14ac:dyDescent="0.25">
      <c r="F1942" s="2"/>
    </row>
    <row r="1943" spans="6:6" x14ac:dyDescent="0.25">
      <c r="F1943" s="2"/>
    </row>
    <row r="1944" spans="6:6" x14ac:dyDescent="0.25">
      <c r="F1944" s="2"/>
    </row>
    <row r="1945" spans="6:6" x14ac:dyDescent="0.25">
      <c r="F1945" s="2"/>
    </row>
    <row r="1946" spans="6:6" x14ac:dyDescent="0.25">
      <c r="F1946" s="2"/>
    </row>
    <row r="1947" spans="6:6" x14ac:dyDescent="0.25">
      <c r="F1947" s="2"/>
    </row>
    <row r="1948" spans="6:6" x14ac:dyDescent="0.25">
      <c r="F1948" s="2"/>
    </row>
    <row r="1949" spans="6:6" x14ac:dyDescent="0.25">
      <c r="F1949" s="2"/>
    </row>
    <row r="1950" spans="6:6" x14ac:dyDescent="0.25">
      <c r="F1950" s="2"/>
    </row>
    <row r="1951" spans="6:6" x14ac:dyDescent="0.25">
      <c r="F1951" s="2"/>
    </row>
    <row r="1952" spans="6:6" x14ac:dyDescent="0.25">
      <c r="F1952" s="2"/>
    </row>
    <row r="1953" spans="6:6" x14ac:dyDescent="0.25">
      <c r="F1953" s="2"/>
    </row>
    <row r="1954" spans="6:6" x14ac:dyDescent="0.25">
      <c r="F1954" s="2"/>
    </row>
    <row r="1955" spans="6:6" x14ac:dyDescent="0.25">
      <c r="F1955" s="2"/>
    </row>
    <row r="1956" spans="6:6" x14ac:dyDescent="0.25">
      <c r="F1956" s="2"/>
    </row>
    <row r="1957" spans="6:6" x14ac:dyDescent="0.25">
      <c r="F1957" s="2"/>
    </row>
    <row r="1958" spans="6:6" x14ac:dyDescent="0.25">
      <c r="F1958" s="2"/>
    </row>
    <row r="1959" spans="6:6" x14ac:dyDescent="0.25">
      <c r="F1959" s="2"/>
    </row>
    <row r="1960" spans="6:6" x14ac:dyDescent="0.25">
      <c r="F1960" s="2"/>
    </row>
    <row r="1961" spans="6:6" x14ac:dyDescent="0.25">
      <c r="F1961" s="2"/>
    </row>
    <row r="1962" spans="6:6" x14ac:dyDescent="0.25">
      <c r="F1962" s="2"/>
    </row>
    <row r="1963" spans="6:6" x14ac:dyDescent="0.25">
      <c r="F1963" s="2"/>
    </row>
    <row r="1964" spans="6:6" x14ac:dyDescent="0.25">
      <c r="F1964" s="2"/>
    </row>
    <row r="1965" spans="6:6" x14ac:dyDescent="0.25">
      <c r="F1965" s="2"/>
    </row>
    <row r="1966" spans="6:6" x14ac:dyDescent="0.25">
      <c r="F1966" s="2"/>
    </row>
    <row r="1967" spans="6:6" x14ac:dyDescent="0.25">
      <c r="F1967" s="2"/>
    </row>
    <row r="1968" spans="6:6" x14ac:dyDescent="0.25">
      <c r="F1968" s="2"/>
    </row>
    <row r="1969" spans="6:6" x14ac:dyDescent="0.25">
      <c r="F1969" s="2"/>
    </row>
    <row r="1970" spans="6:6" x14ac:dyDescent="0.25">
      <c r="F1970" s="2"/>
    </row>
    <row r="1971" spans="6:6" x14ac:dyDescent="0.25">
      <c r="F1971" s="2"/>
    </row>
    <row r="1972" spans="6:6" x14ac:dyDescent="0.25">
      <c r="F1972" s="2"/>
    </row>
    <row r="1973" spans="6:6" x14ac:dyDescent="0.25">
      <c r="F1973" s="2"/>
    </row>
    <row r="1974" spans="6:6" x14ac:dyDescent="0.25">
      <c r="F1974" s="2"/>
    </row>
    <row r="1975" spans="6:6" x14ac:dyDescent="0.25">
      <c r="F1975" s="2"/>
    </row>
    <row r="1976" spans="6:6" x14ac:dyDescent="0.25">
      <c r="F1976" s="2"/>
    </row>
    <row r="1977" spans="6:6" x14ac:dyDescent="0.25">
      <c r="F1977" s="2"/>
    </row>
    <row r="1978" spans="6:6" x14ac:dyDescent="0.25">
      <c r="F1978" s="2"/>
    </row>
    <row r="1979" spans="6:6" x14ac:dyDescent="0.25">
      <c r="F1979" s="2"/>
    </row>
    <row r="1980" spans="6:6" x14ac:dyDescent="0.25">
      <c r="F1980" s="2"/>
    </row>
    <row r="1981" spans="6:6" x14ac:dyDescent="0.25">
      <c r="F1981" s="2"/>
    </row>
    <row r="1982" spans="6:6" x14ac:dyDescent="0.25">
      <c r="F1982" s="2"/>
    </row>
    <row r="1983" spans="6:6" x14ac:dyDescent="0.25">
      <c r="F1983" s="2"/>
    </row>
    <row r="1984" spans="6:6" x14ac:dyDescent="0.25">
      <c r="F1984" s="2"/>
    </row>
    <row r="1985" spans="6:6" x14ac:dyDescent="0.25">
      <c r="F1985" s="2"/>
    </row>
    <row r="1986" spans="6:6" x14ac:dyDescent="0.25">
      <c r="F1986" s="2"/>
    </row>
    <row r="1987" spans="6:6" x14ac:dyDescent="0.25">
      <c r="F1987" s="2"/>
    </row>
    <row r="1988" spans="6:6" x14ac:dyDescent="0.25">
      <c r="F1988" s="2"/>
    </row>
    <row r="1989" spans="6:6" x14ac:dyDescent="0.25">
      <c r="F1989" s="2"/>
    </row>
    <row r="1990" spans="6:6" x14ac:dyDescent="0.25">
      <c r="F1990" s="2"/>
    </row>
    <row r="1991" spans="6:6" x14ac:dyDescent="0.25">
      <c r="F1991" s="2"/>
    </row>
    <row r="1992" spans="6:6" x14ac:dyDescent="0.25">
      <c r="F1992" s="2"/>
    </row>
    <row r="1993" spans="6:6" x14ac:dyDescent="0.25">
      <c r="F1993" s="2"/>
    </row>
    <row r="1994" spans="6:6" x14ac:dyDescent="0.25">
      <c r="F1994" s="2"/>
    </row>
    <row r="1995" spans="6:6" x14ac:dyDescent="0.25">
      <c r="F1995" s="2"/>
    </row>
    <row r="1996" spans="6:6" x14ac:dyDescent="0.25">
      <c r="F1996" s="2"/>
    </row>
    <row r="1997" spans="6:6" x14ac:dyDescent="0.25">
      <c r="F1997" s="2"/>
    </row>
    <row r="1998" spans="6:6" x14ac:dyDescent="0.25">
      <c r="F1998" s="2"/>
    </row>
    <row r="1999" spans="6:6" x14ac:dyDescent="0.25">
      <c r="F1999" s="2"/>
    </row>
    <row r="2000" spans="6:6" x14ac:dyDescent="0.25">
      <c r="F2000" s="2"/>
    </row>
    <row r="2001" spans="6:6" x14ac:dyDescent="0.25">
      <c r="F2001" s="2"/>
    </row>
    <row r="2002" spans="6:6" x14ac:dyDescent="0.25">
      <c r="F2002" s="2"/>
    </row>
    <row r="2003" spans="6:6" x14ac:dyDescent="0.25">
      <c r="F2003" s="2"/>
    </row>
    <row r="2004" spans="6:6" x14ac:dyDescent="0.25">
      <c r="F2004" s="2"/>
    </row>
    <row r="2005" spans="6:6" x14ac:dyDescent="0.25">
      <c r="F2005" s="2"/>
    </row>
    <row r="2006" spans="6:6" x14ac:dyDescent="0.25">
      <c r="F2006" s="2"/>
    </row>
    <row r="2007" spans="6:6" x14ac:dyDescent="0.25">
      <c r="F2007" s="2"/>
    </row>
    <row r="2008" spans="6:6" x14ac:dyDescent="0.25">
      <c r="F2008" s="2"/>
    </row>
    <row r="2009" spans="6:6" x14ac:dyDescent="0.25">
      <c r="F2009" s="2"/>
    </row>
    <row r="2010" spans="6:6" x14ac:dyDescent="0.25">
      <c r="F2010" s="2"/>
    </row>
    <row r="2011" spans="6:6" x14ac:dyDescent="0.25">
      <c r="F2011" s="2"/>
    </row>
    <row r="2012" spans="6:6" x14ac:dyDescent="0.25">
      <c r="F2012" s="2"/>
    </row>
    <row r="2013" spans="6:6" x14ac:dyDescent="0.25">
      <c r="F2013" s="2"/>
    </row>
    <row r="2014" spans="6:6" x14ac:dyDescent="0.25">
      <c r="F2014" s="2"/>
    </row>
    <row r="2015" spans="6:6" x14ac:dyDescent="0.25">
      <c r="F2015" s="2"/>
    </row>
    <row r="2016" spans="6:6" x14ac:dyDescent="0.25">
      <c r="F2016" s="2"/>
    </row>
    <row r="2017" spans="6:6" x14ac:dyDescent="0.25">
      <c r="F2017" s="2"/>
    </row>
    <row r="2018" spans="6:6" x14ac:dyDescent="0.25">
      <c r="F2018" s="2"/>
    </row>
    <row r="2019" spans="6:6" x14ac:dyDescent="0.25">
      <c r="F2019" s="2"/>
    </row>
    <row r="2020" spans="6:6" x14ac:dyDescent="0.25">
      <c r="F2020" s="2"/>
    </row>
    <row r="2021" spans="6:6" x14ac:dyDescent="0.25">
      <c r="F2021" s="2"/>
    </row>
    <row r="2022" spans="6:6" x14ac:dyDescent="0.25">
      <c r="F2022" s="2"/>
    </row>
    <row r="2023" spans="6:6" x14ac:dyDescent="0.25">
      <c r="F2023" s="2"/>
    </row>
    <row r="2024" spans="6:6" x14ac:dyDescent="0.25">
      <c r="F2024" s="2"/>
    </row>
    <row r="2025" spans="6:6" x14ac:dyDescent="0.25">
      <c r="F2025" s="2"/>
    </row>
    <row r="2026" spans="6:6" x14ac:dyDescent="0.25">
      <c r="F2026" s="2"/>
    </row>
    <row r="2027" spans="6:6" x14ac:dyDescent="0.25">
      <c r="F2027" s="2"/>
    </row>
    <row r="2028" spans="6:6" x14ac:dyDescent="0.25">
      <c r="F2028" s="2"/>
    </row>
    <row r="2029" spans="6:6" x14ac:dyDescent="0.25">
      <c r="F2029" s="2"/>
    </row>
    <row r="2030" spans="6:6" x14ac:dyDescent="0.25">
      <c r="F2030" s="2"/>
    </row>
    <row r="2031" spans="6:6" x14ac:dyDescent="0.25">
      <c r="F2031" s="2"/>
    </row>
    <row r="2032" spans="6:6" x14ac:dyDescent="0.25">
      <c r="F2032" s="2"/>
    </row>
    <row r="2033" spans="6:6" x14ac:dyDescent="0.25">
      <c r="F2033" s="2"/>
    </row>
    <row r="2034" spans="6:6" x14ac:dyDescent="0.25">
      <c r="F2034" s="2"/>
    </row>
    <row r="2035" spans="6:6" x14ac:dyDescent="0.25">
      <c r="F2035" s="2"/>
    </row>
    <row r="2036" spans="6:6" x14ac:dyDescent="0.25">
      <c r="F2036" s="2"/>
    </row>
    <row r="2037" spans="6:6" x14ac:dyDescent="0.25">
      <c r="F2037" s="2"/>
    </row>
    <row r="2038" spans="6:6" x14ac:dyDescent="0.25">
      <c r="F2038" s="2"/>
    </row>
    <row r="2039" spans="6:6" x14ac:dyDescent="0.25">
      <c r="F2039" s="2"/>
    </row>
    <row r="2040" spans="6:6" x14ac:dyDescent="0.25">
      <c r="F2040" s="2"/>
    </row>
    <row r="2041" spans="6:6" x14ac:dyDescent="0.25">
      <c r="F2041" s="2"/>
    </row>
    <row r="2042" spans="6:6" x14ac:dyDescent="0.25">
      <c r="F2042" s="2"/>
    </row>
    <row r="2043" spans="6:6" x14ac:dyDescent="0.25">
      <c r="F2043" s="2"/>
    </row>
    <row r="2044" spans="6:6" x14ac:dyDescent="0.25">
      <c r="F2044" s="2"/>
    </row>
    <row r="2045" spans="6:6" x14ac:dyDescent="0.25">
      <c r="F2045" s="2"/>
    </row>
    <row r="2046" spans="6:6" x14ac:dyDescent="0.25">
      <c r="F2046" s="2"/>
    </row>
    <row r="2047" spans="6:6" x14ac:dyDescent="0.25">
      <c r="F2047" s="2"/>
    </row>
    <row r="2048" spans="6:6" x14ac:dyDescent="0.25">
      <c r="F2048" s="2"/>
    </row>
    <row r="2049" spans="6:6" x14ac:dyDescent="0.25">
      <c r="F2049" s="2"/>
    </row>
    <row r="2050" spans="6:6" x14ac:dyDescent="0.25">
      <c r="F2050" s="2"/>
    </row>
    <row r="2051" spans="6:6" x14ac:dyDescent="0.25">
      <c r="F2051" s="2"/>
    </row>
    <row r="2052" spans="6:6" x14ac:dyDescent="0.25">
      <c r="F2052" s="2"/>
    </row>
    <row r="2053" spans="6:6" x14ac:dyDescent="0.25">
      <c r="F2053" s="2"/>
    </row>
    <row r="2054" spans="6:6" x14ac:dyDescent="0.25">
      <c r="F2054" s="2"/>
    </row>
    <row r="2055" spans="6:6" x14ac:dyDescent="0.25">
      <c r="F2055" s="2"/>
    </row>
    <row r="2056" spans="6:6" x14ac:dyDescent="0.25">
      <c r="F2056" s="2"/>
    </row>
    <row r="2057" spans="6:6" x14ac:dyDescent="0.25">
      <c r="F2057" s="2"/>
    </row>
    <row r="2058" spans="6:6" x14ac:dyDescent="0.25">
      <c r="F2058" s="2"/>
    </row>
    <row r="2059" spans="6:6" x14ac:dyDescent="0.25">
      <c r="F2059" s="2"/>
    </row>
    <row r="2060" spans="6:6" x14ac:dyDescent="0.25">
      <c r="F2060" s="2"/>
    </row>
    <row r="2061" spans="6:6" x14ac:dyDescent="0.25">
      <c r="F2061" s="2"/>
    </row>
    <row r="2062" spans="6:6" x14ac:dyDescent="0.25">
      <c r="F2062" s="2"/>
    </row>
    <row r="2063" spans="6:6" x14ac:dyDescent="0.25">
      <c r="F2063" s="2"/>
    </row>
    <row r="2064" spans="6:6" x14ac:dyDescent="0.25">
      <c r="F2064" s="2"/>
    </row>
    <row r="2065" spans="6:6" x14ac:dyDescent="0.25">
      <c r="F2065" s="2"/>
    </row>
    <row r="2066" spans="6:6" x14ac:dyDescent="0.25">
      <c r="F2066" s="2"/>
    </row>
    <row r="2067" spans="6:6" x14ac:dyDescent="0.25">
      <c r="F2067" s="2"/>
    </row>
    <row r="2068" spans="6:6" x14ac:dyDescent="0.25">
      <c r="F2068" s="2"/>
    </row>
    <row r="2069" spans="6:6" x14ac:dyDescent="0.25">
      <c r="F2069" s="2"/>
    </row>
    <row r="2070" spans="6:6" x14ac:dyDescent="0.25">
      <c r="F2070" s="2"/>
    </row>
    <row r="2071" spans="6:6" x14ac:dyDescent="0.25">
      <c r="F2071" s="2"/>
    </row>
    <row r="2072" spans="6:6" x14ac:dyDescent="0.25">
      <c r="F2072" s="2"/>
    </row>
    <row r="2073" spans="6:6" x14ac:dyDescent="0.25">
      <c r="F2073" s="2"/>
    </row>
    <row r="2074" spans="6:6" x14ac:dyDescent="0.25">
      <c r="F2074" s="2"/>
    </row>
    <row r="2075" spans="6:6" x14ac:dyDescent="0.25">
      <c r="F2075" s="2"/>
    </row>
    <row r="2076" spans="6:6" x14ac:dyDescent="0.25">
      <c r="F2076" s="2"/>
    </row>
    <row r="2077" spans="6:6" x14ac:dyDescent="0.25">
      <c r="F2077" s="2"/>
    </row>
    <row r="2078" spans="6:6" x14ac:dyDescent="0.25">
      <c r="F2078" s="2"/>
    </row>
    <row r="2079" spans="6:6" x14ac:dyDescent="0.25">
      <c r="F2079" s="2"/>
    </row>
    <row r="2080" spans="6:6" x14ac:dyDescent="0.25">
      <c r="F2080" s="2"/>
    </row>
    <row r="2081" spans="6:6" x14ac:dyDescent="0.25">
      <c r="F2081" s="2"/>
    </row>
    <row r="2082" spans="6:6" x14ac:dyDescent="0.25">
      <c r="F2082" s="2"/>
    </row>
    <row r="2083" spans="6:6" x14ac:dyDescent="0.25">
      <c r="F2083" s="2"/>
    </row>
    <row r="2084" spans="6:6" x14ac:dyDescent="0.25">
      <c r="F2084" s="2"/>
    </row>
    <row r="2085" spans="6:6" x14ac:dyDescent="0.25">
      <c r="F2085" s="2"/>
    </row>
    <row r="2086" spans="6:6" x14ac:dyDescent="0.25">
      <c r="F2086" s="2"/>
    </row>
    <row r="2087" spans="6:6" x14ac:dyDescent="0.25">
      <c r="F2087" s="2"/>
    </row>
    <row r="2088" spans="6:6" x14ac:dyDescent="0.25">
      <c r="F2088" s="2"/>
    </row>
    <row r="2089" spans="6:6" x14ac:dyDescent="0.25">
      <c r="F2089" s="2"/>
    </row>
    <row r="2090" spans="6:6" x14ac:dyDescent="0.25">
      <c r="F2090" s="2"/>
    </row>
    <row r="2091" spans="6:6" x14ac:dyDescent="0.25">
      <c r="F2091" s="2"/>
    </row>
    <row r="2092" spans="6:6" x14ac:dyDescent="0.25">
      <c r="F2092" s="2"/>
    </row>
    <row r="2093" spans="6:6" x14ac:dyDescent="0.25">
      <c r="F2093" s="2"/>
    </row>
    <row r="2094" spans="6:6" x14ac:dyDescent="0.25">
      <c r="F2094" s="2"/>
    </row>
    <row r="2095" spans="6:6" x14ac:dyDescent="0.25">
      <c r="F2095" s="2"/>
    </row>
    <row r="2096" spans="6:6" x14ac:dyDescent="0.25">
      <c r="F2096" s="2"/>
    </row>
    <row r="2097" spans="6:6" x14ac:dyDescent="0.25">
      <c r="F2097" s="2"/>
    </row>
    <row r="2098" spans="6:6" x14ac:dyDescent="0.25">
      <c r="F2098" s="2"/>
    </row>
    <row r="2099" spans="6:6" x14ac:dyDescent="0.25">
      <c r="F2099" s="2"/>
    </row>
    <row r="2100" spans="6:6" x14ac:dyDescent="0.25">
      <c r="F2100" s="2"/>
    </row>
    <row r="2101" spans="6:6" x14ac:dyDescent="0.25">
      <c r="F2101" s="2"/>
    </row>
    <row r="2102" spans="6:6" x14ac:dyDescent="0.25">
      <c r="F2102" s="2"/>
    </row>
    <row r="2103" spans="6:6" x14ac:dyDescent="0.25">
      <c r="F2103" s="2"/>
    </row>
    <row r="2104" spans="6:6" x14ac:dyDescent="0.25">
      <c r="F2104" s="2"/>
    </row>
    <row r="2105" spans="6:6" x14ac:dyDescent="0.25">
      <c r="F2105" s="2"/>
    </row>
    <row r="2106" spans="6:6" x14ac:dyDescent="0.25">
      <c r="F2106" s="2"/>
    </row>
    <row r="2107" spans="6:6" x14ac:dyDescent="0.25">
      <c r="F2107" s="2"/>
    </row>
    <row r="2108" spans="6:6" x14ac:dyDescent="0.25">
      <c r="F2108" s="2"/>
    </row>
    <row r="2109" spans="6:6" x14ac:dyDescent="0.25">
      <c r="F2109" s="2"/>
    </row>
    <row r="2110" spans="6:6" x14ac:dyDescent="0.25">
      <c r="F2110" s="2"/>
    </row>
    <row r="2111" spans="6:6" x14ac:dyDescent="0.25">
      <c r="F2111" s="2"/>
    </row>
    <row r="2112" spans="6:6" x14ac:dyDescent="0.25">
      <c r="F2112" s="2"/>
    </row>
    <row r="2113" spans="6:6" x14ac:dyDescent="0.25">
      <c r="F2113" s="2"/>
    </row>
    <row r="2114" spans="6:6" x14ac:dyDescent="0.25">
      <c r="F2114" s="2"/>
    </row>
    <row r="2115" spans="6:6" x14ac:dyDescent="0.25">
      <c r="F2115" s="2"/>
    </row>
    <row r="2116" spans="6:6" x14ac:dyDescent="0.25">
      <c r="F2116" s="2"/>
    </row>
    <row r="2117" spans="6:6" x14ac:dyDescent="0.25">
      <c r="F2117" s="2"/>
    </row>
    <row r="2118" spans="6:6" x14ac:dyDescent="0.25">
      <c r="F2118" s="2"/>
    </row>
    <row r="2119" spans="6:6" x14ac:dyDescent="0.25">
      <c r="F2119" s="2"/>
    </row>
    <row r="2120" spans="6:6" x14ac:dyDescent="0.25">
      <c r="F2120" s="2"/>
    </row>
    <row r="2121" spans="6:6" x14ac:dyDescent="0.25">
      <c r="F2121" s="2"/>
    </row>
    <row r="2122" spans="6:6" x14ac:dyDescent="0.25">
      <c r="F2122" s="2"/>
    </row>
    <row r="2123" spans="6:6" x14ac:dyDescent="0.25">
      <c r="F2123" s="2"/>
    </row>
    <row r="2124" spans="6:6" x14ac:dyDescent="0.25">
      <c r="F2124" s="2"/>
    </row>
    <row r="2125" spans="6:6" x14ac:dyDescent="0.25">
      <c r="F2125" s="2"/>
    </row>
    <row r="2126" spans="6:6" x14ac:dyDescent="0.25">
      <c r="F2126" s="2"/>
    </row>
    <row r="2127" spans="6:6" x14ac:dyDescent="0.25">
      <c r="F2127" s="2"/>
    </row>
    <row r="2128" spans="6:6" x14ac:dyDescent="0.25">
      <c r="F2128" s="2"/>
    </row>
    <row r="2129" spans="6:6" x14ac:dyDescent="0.25">
      <c r="F2129" s="2"/>
    </row>
    <row r="2130" spans="6:6" x14ac:dyDescent="0.25">
      <c r="F2130" s="2"/>
    </row>
    <row r="2131" spans="6:6" x14ac:dyDescent="0.25">
      <c r="F2131" s="2"/>
    </row>
    <row r="2132" spans="6:6" x14ac:dyDescent="0.25">
      <c r="F2132" s="2"/>
    </row>
    <row r="2133" spans="6:6" x14ac:dyDescent="0.25">
      <c r="F2133" s="2"/>
    </row>
    <row r="2134" spans="6:6" x14ac:dyDescent="0.25">
      <c r="F2134" s="2"/>
    </row>
    <row r="2135" spans="6:6" x14ac:dyDescent="0.25">
      <c r="F2135" s="2"/>
    </row>
    <row r="2136" spans="6:6" x14ac:dyDescent="0.25">
      <c r="F2136" s="2"/>
    </row>
    <row r="2137" spans="6:6" x14ac:dyDescent="0.25">
      <c r="F2137" s="2"/>
    </row>
    <row r="2138" spans="6:6" x14ac:dyDescent="0.25">
      <c r="F2138" s="2"/>
    </row>
    <row r="2139" spans="6:6" x14ac:dyDescent="0.25">
      <c r="F2139" s="2"/>
    </row>
    <row r="2140" spans="6:6" x14ac:dyDescent="0.25">
      <c r="F2140" s="2"/>
    </row>
    <row r="2141" spans="6:6" x14ac:dyDescent="0.25">
      <c r="F2141" s="2"/>
    </row>
    <row r="2142" spans="6:6" x14ac:dyDescent="0.25">
      <c r="F2142" s="2"/>
    </row>
    <row r="2143" spans="6:6" x14ac:dyDescent="0.25">
      <c r="F2143" s="2"/>
    </row>
    <row r="2144" spans="6:6" x14ac:dyDescent="0.25">
      <c r="F2144" s="2"/>
    </row>
    <row r="2145" spans="6:6" x14ac:dyDescent="0.25">
      <c r="F2145" s="2"/>
    </row>
    <row r="2146" spans="6:6" x14ac:dyDescent="0.25">
      <c r="F2146" s="2"/>
    </row>
    <row r="2147" spans="6:6" x14ac:dyDescent="0.25">
      <c r="F2147" s="2"/>
    </row>
    <row r="2148" spans="6:6" x14ac:dyDescent="0.25">
      <c r="F2148" s="2"/>
    </row>
    <row r="2149" spans="6:6" x14ac:dyDescent="0.25">
      <c r="F2149" s="2"/>
    </row>
    <row r="2150" spans="6:6" x14ac:dyDescent="0.25">
      <c r="F2150" s="2"/>
    </row>
    <row r="2151" spans="6:6" x14ac:dyDescent="0.25">
      <c r="F2151" s="2"/>
    </row>
    <row r="2152" spans="6:6" x14ac:dyDescent="0.25">
      <c r="F2152" s="2"/>
    </row>
    <row r="2153" spans="6:6" x14ac:dyDescent="0.25">
      <c r="F2153" s="2"/>
    </row>
    <row r="2154" spans="6:6" x14ac:dyDescent="0.25">
      <c r="F2154" s="2"/>
    </row>
    <row r="2155" spans="6:6" x14ac:dyDescent="0.25">
      <c r="F2155" s="2"/>
    </row>
    <row r="2156" spans="6:6" x14ac:dyDescent="0.25">
      <c r="F2156" s="2"/>
    </row>
    <row r="2157" spans="6:6" x14ac:dyDescent="0.25">
      <c r="F2157" s="2"/>
    </row>
    <row r="2158" spans="6:6" x14ac:dyDescent="0.25">
      <c r="F2158" s="2"/>
    </row>
    <row r="2159" spans="6:6" x14ac:dyDescent="0.25">
      <c r="F2159" s="2"/>
    </row>
    <row r="2160" spans="6:6" x14ac:dyDescent="0.25">
      <c r="F2160" s="2"/>
    </row>
    <row r="2161" spans="6:6" x14ac:dyDescent="0.25">
      <c r="F2161" s="2"/>
    </row>
    <row r="2162" spans="6:6" x14ac:dyDescent="0.25">
      <c r="F2162" s="2"/>
    </row>
    <row r="2163" spans="6:6" x14ac:dyDescent="0.25">
      <c r="F2163" s="2"/>
    </row>
    <row r="2164" spans="6:6" x14ac:dyDescent="0.25">
      <c r="F2164" s="2"/>
    </row>
    <row r="2165" spans="6:6" x14ac:dyDescent="0.25">
      <c r="F2165" s="2"/>
    </row>
    <row r="2166" spans="6:6" x14ac:dyDescent="0.25">
      <c r="F2166" s="2"/>
    </row>
    <row r="2167" spans="6:6" x14ac:dyDescent="0.25">
      <c r="F2167" s="2"/>
    </row>
    <row r="2168" spans="6:6" x14ac:dyDescent="0.25">
      <c r="F2168" s="2"/>
    </row>
    <row r="2169" spans="6:6" x14ac:dyDescent="0.25">
      <c r="F2169" s="2"/>
    </row>
    <row r="2170" spans="6:6" x14ac:dyDescent="0.25">
      <c r="F2170" s="2"/>
    </row>
    <row r="2171" spans="6:6" x14ac:dyDescent="0.25">
      <c r="F2171" s="2"/>
    </row>
    <row r="2172" spans="6:6" x14ac:dyDescent="0.25">
      <c r="F2172" s="2"/>
    </row>
    <row r="2173" spans="6:6" x14ac:dyDescent="0.25">
      <c r="F2173" s="2"/>
    </row>
    <row r="2174" spans="6:6" x14ac:dyDescent="0.25">
      <c r="F2174" s="2"/>
    </row>
    <row r="2175" spans="6:6" x14ac:dyDescent="0.25">
      <c r="F2175" s="2"/>
    </row>
    <row r="2176" spans="6:6" x14ac:dyDescent="0.25">
      <c r="F2176" s="2"/>
    </row>
    <row r="2177" spans="6:6" x14ac:dyDescent="0.25">
      <c r="F2177" s="2"/>
    </row>
    <row r="2178" spans="6:6" x14ac:dyDescent="0.25">
      <c r="F2178" s="2"/>
    </row>
    <row r="2179" spans="6:6" x14ac:dyDescent="0.25">
      <c r="F2179" s="2"/>
    </row>
    <row r="2180" spans="6:6" x14ac:dyDescent="0.25">
      <c r="F2180" s="2"/>
    </row>
    <row r="2181" spans="6:6" x14ac:dyDescent="0.25">
      <c r="F2181" s="2"/>
    </row>
    <row r="2182" spans="6:6" x14ac:dyDescent="0.25">
      <c r="F2182" s="2"/>
    </row>
    <row r="2183" spans="6:6" x14ac:dyDescent="0.25">
      <c r="F2183" s="2"/>
    </row>
    <row r="2184" spans="6:6" x14ac:dyDescent="0.25">
      <c r="F2184" s="2"/>
    </row>
    <row r="2185" spans="6:6" x14ac:dyDescent="0.25">
      <c r="F2185" s="2"/>
    </row>
    <row r="2186" spans="6:6" x14ac:dyDescent="0.25">
      <c r="F2186" s="2"/>
    </row>
    <row r="2187" spans="6:6" x14ac:dyDescent="0.25">
      <c r="F2187" s="2"/>
    </row>
    <row r="2188" spans="6:6" x14ac:dyDescent="0.25">
      <c r="F2188" s="2"/>
    </row>
    <row r="2189" spans="6:6" x14ac:dyDescent="0.25">
      <c r="F2189" s="2"/>
    </row>
    <row r="2190" spans="6:6" x14ac:dyDescent="0.25">
      <c r="F2190" s="2"/>
    </row>
    <row r="2191" spans="6:6" x14ac:dyDescent="0.25">
      <c r="F2191" s="2"/>
    </row>
    <row r="2192" spans="6:6" x14ac:dyDescent="0.25">
      <c r="F2192" s="2"/>
    </row>
    <row r="2193" spans="6:6" x14ac:dyDescent="0.25">
      <c r="F2193" s="2"/>
    </row>
    <row r="2194" spans="6:6" x14ac:dyDescent="0.25">
      <c r="F2194" s="2"/>
    </row>
    <row r="2195" spans="6:6" x14ac:dyDescent="0.25">
      <c r="F2195" s="2"/>
    </row>
    <row r="2196" spans="6:6" x14ac:dyDescent="0.25">
      <c r="F2196" s="2"/>
    </row>
    <row r="2197" spans="6:6" x14ac:dyDescent="0.25">
      <c r="F2197" s="2"/>
    </row>
    <row r="2198" spans="6:6" x14ac:dyDescent="0.25">
      <c r="F2198" s="2"/>
    </row>
    <row r="2199" spans="6:6" x14ac:dyDescent="0.25">
      <c r="F2199" s="2"/>
    </row>
    <row r="2200" spans="6:6" x14ac:dyDescent="0.25">
      <c r="F2200" s="2"/>
    </row>
    <row r="2201" spans="6:6" x14ac:dyDescent="0.25">
      <c r="F2201" s="2"/>
    </row>
    <row r="2202" spans="6:6" x14ac:dyDescent="0.25">
      <c r="F2202" s="2"/>
    </row>
    <row r="2203" spans="6:6" x14ac:dyDescent="0.25">
      <c r="F2203" s="2"/>
    </row>
    <row r="2204" spans="6:6" x14ac:dyDescent="0.25">
      <c r="F2204" s="2"/>
    </row>
    <row r="2205" spans="6:6" x14ac:dyDescent="0.25">
      <c r="F2205" s="2"/>
    </row>
    <row r="2206" spans="6:6" x14ac:dyDescent="0.25">
      <c r="F2206" s="2"/>
    </row>
    <row r="2207" spans="6:6" x14ac:dyDescent="0.25">
      <c r="F2207" s="2"/>
    </row>
    <row r="2208" spans="6:6" x14ac:dyDescent="0.25">
      <c r="F2208" s="2"/>
    </row>
    <row r="2209" spans="6:6" x14ac:dyDescent="0.25">
      <c r="F2209" s="2"/>
    </row>
    <row r="2210" spans="6:6" x14ac:dyDescent="0.25">
      <c r="F2210" s="2"/>
    </row>
    <row r="2211" spans="6:6" x14ac:dyDescent="0.25">
      <c r="F2211" s="2"/>
    </row>
    <row r="2212" spans="6:6" x14ac:dyDescent="0.25">
      <c r="F2212" s="2"/>
    </row>
    <row r="2213" spans="6:6" x14ac:dyDescent="0.25">
      <c r="F2213" s="2"/>
    </row>
    <row r="2214" spans="6:6" x14ac:dyDescent="0.25">
      <c r="F2214" s="2"/>
    </row>
    <row r="2215" spans="6:6" x14ac:dyDescent="0.25">
      <c r="F2215" s="2"/>
    </row>
    <row r="2216" spans="6:6" x14ac:dyDescent="0.25">
      <c r="F2216" s="2"/>
    </row>
    <row r="2217" spans="6:6" x14ac:dyDescent="0.25">
      <c r="F2217" s="2"/>
    </row>
    <row r="2218" spans="6:6" x14ac:dyDescent="0.25">
      <c r="F2218" s="2"/>
    </row>
    <row r="2219" spans="6:6" x14ac:dyDescent="0.25">
      <c r="F2219" s="2"/>
    </row>
    <row r="2220" spans="6:6" x14ac:dyDescent="0.25">
      <c r="F2220" s="2"/>
    </row>
    <row r="2221" spans="6:6" x14ac:dyDescent="0.25">
      <c r="F2221" s="2"/>
    </row>
    <row r="2222" spans="6:6" x14ac:dyDescent="0.25">
      <c r="F2222" s="2"/>
    </row>
    <row r="2223" spans="6:6" x14ac:dyDescent="0.25">
      <c r="F2223" s="2"/>
    </row>
    <row r="2224" spans="6:6" x14ac:dyDescent="0.25">
      <c r="F2224" s="2"/>
    </row>
    <row r="2225" spans="6:6" x14ac:dyDescent="0.25">
      <c r="F2225" s="2"/>
    </row>
    <row r="2226" spans="6:6" x14ac:dyDescent="0.25">
      <c r="F2226" s="2"/>
    </row>
    <row r="2227" spans="6:6" x14ac:dyDescent="0.25">
      <c r="F2227" s="2"/>
    </row>
    <row r="2228" spans="6:6" x14ac:dyDescent="0.25">
      <c r="F2228" s="2"/>
    </row>
    <row r="2229" spans="6:6" x14ac:dyDescent="0.25">
      <c r="F2229" s="2"/>
    </row>
    <row r="2230" spans="6:6" x14ac:dyDescent="0.25">
      <c r="F2230" s="2"/>
    </row>
    <row r="2231" spans="6:6" x14ac:dyDescent="0.25">
      <c r="F2231" s="2"/>
    </row>
    <row r="2232" spans="6:6" x14ac:dyDescent="0.25">
      <c r="F2232" s="2"/>
    </row>
    <row r="2233" spans="6:6" x14ac:dyDescent="0.25">
      <c r="F2233" s="2"/>
    </row>
    <row r="2234" spans="6:6" x14ac:dyDescent="0.25">
      <c r="F2234" s="2"/>
    </row>
    <row r="2235" spans="6:6" x14ac:dyDescent="0.25">
      <c r="F2235" s="2"/>
    </row>
    <row r="2236" spans="6:6" x14ac:dyDescent="0.25">
      <c r="F2236" s="2"/>
    </row>
    <row r="2237" spans="6:6" x14ac:dyDescent="0.25">
      <c r="F2237" s="2"/>
    </row>
    <row r="2238" spans="6:6" x14ac:dyDescent="0.25">
      <c r="F2238" s="2"/>
    </row>
    <row r="2239" spans="6:6" x14ac:dyDescent="0.25">
      <c r="F2239" s="2"/>
    </row>
    <row r="2240" spans="6:6" x14ac:dyDescent="0.25">
      <c r="F2240" s="2"/>
    </row>
    <row r="2241" spans="6:6" x14ac:dyDescent="0.25">
      <c r="F2241" s="2"/>
    </row>
    <row r="2242" spans="6:6" x14ac:dyDescent="0.25">
      <c r="F2242" s="2"/>
    </row>
    <row r="2243" spans="6:6" x14ac:dyDescent="0.25">
      <c r="F2243" s="2"/>
    </row>
    <row r="2244" spans="6:6" x14ac:dyDescent="0.25">
      <c r="F2244" s="2"/>
    </row>
    <row r="2245" spans="6:6" x14ac:dyDescent="0.25">
      <c r="F2245" s="2"/>
    </row>
    <row r="2246" spans="6:6" x14ac:dyDescent="0.25">
      <c r="F2246" s="2"/>
    </row>
    <row r="2247" spans="6:6" x14ac:dyDescent="0.25">
      <c r="F2247" s="2"/>
    </row>
    <row r="2248" spans="6:6" x14ac:dyDescent="0.25">
      <c r="F2248" s="2"/>
    </row>
    <row r="2249" spans="6:6" x14ac:dyDescent="0.25">
      <c r="F2249" s="2"/>
    </row>
    <row r="2250" spans="6:6" x14ac:dyDescent="0.25">
      <c r="F2250" s="2"/>
    </row>
    <row r="2251" spans="6:6" x14ac:dyDescent="0.25">
      <c r="F2251" s="2"/>
    </row>
    <row r="2252" spans="6:6" x14ac:dyDescent="0.25">
      <c r="F2252" s="2"/>
    </row>
    <row r="2253" spans="6:6" x14ac:dyDescent="0.25">
      <c r="F2253" s="2"/>
    </row>
    <row r="2254" spans="6:6" x14ac:dyDescent="0.25">
      <c r="F2254" s="2"/>
    </row>
    <row r="2255" spans="6:6" x14ac:dyDescent="0.25">
      <c r="F2255" s="2"/>
    </row>
    <row r="2256" spans="6:6" x14ac:dyDescent="0.25">
      <c r="F2256" s="2"/>
    </row>
    <row r="2257" spans="6:6" x14ac:dyDescent="0.25">
      <c r="F2257" s="2"/>
    </row>
    <row r="2258" spans="6:6" x14ac:dyDescent="0.25">
      <c r="F2258" s="2"/>
    </row>
    <row r="2259" spans="6:6" x14ac:dyDescent="0.25">
      <c r="F2259" s="2"/>
    </row>
    <row r="2260" spans="6:6" x14ac:dyDescent="0.25">
      <c r="F2260" s="2"/>
    </row>
    <row r="2261" spans="6:6" x14ac:dyDescent="0.25">
      <c r="F2261" s="2"/>
    </row>
    <row r="2262" spans="6:6" x14ac:dyDescent="0.25">
      <c r="F2262" s="2"/>
    </row>
    <row r="2263" spans="6:6" x14ac:dyDescent="0.25">
      <c r="F2263" s="2"/>
    </row>
    <row r="2264" spans="6:6" x14ac:dyDescent="0.25">
      <c r="F2264" s="2"/>
    </row>
    <row r="2265" spans="6:6" x14ac:dyDescent="0.25">
      <c r="F2265" s="2"/>
    </row>
    <row r="2266" spans="6:6" x14ac:dyDescent="0.25">
      <c r="F2266" s="2"/>
    </row>
    <row r="2267" spans="6:6" x14ac:dyDescent="0.25">
      <c r="F2267" s="2"/>
    </row>
    <row r="2268" spans="6:6" x14ac:dyDescent="0.25">
      <c r="F2268" s="2"/>
    </row>
    <row r="2269" spans="6:6" x14ac:dyDescent="0.25">
      <c r="F2269" s="2"/>
    </row>
    <row r="2270" spans="6:6" x14ac:dyDescent="0.25">
      <c r="F2270" s="2"/>
    </row>
    <row r="2271" spans="6:6" x14ac:dyDescent="0.25">
      <c r="F2271" s="2"/>
    </row>
    <row r="2272" spans="6:6" x14ac:dyDescent="0.25">
      <c r="F2272" s="2"/>
    </row>
    <row r="2273" spans="6:6" x14ac:dyDescent="0.25">
      <c r="F2273" s="2"/>
    </row>
    <row r="2274" spans="6:6" x14ac:dyDescent="0.25">
      <c r="F2274" s="2"/>
    </row>
    <row r="2275" spans="6:6" x14ac:dyDescent="0.25">
      <c r="F2275" s="2"/>
    </row>
    <row r="2276" spans="6:6" x14ac:dyDescent="0.25">
      <c r="F2276" s="2"/>
    </row>
    <row r="2277" spans="6:6" x14ac:dyDescent="0.25">
      <c r="F2277" s="2"/>
    </row>
    <row r="2278" spans="6:6" x14ac:dyDescent="0.25">
      <c r="F2278" s="2"/>
    </row>
    <row r="2279" spans="6:6" x14ac:dyDescent="0.25">
      <c r="F2279" s="2"/>
    </row>
    <row r="2280" spans="6:6" x14ac:dyDescent="0.25">
      <c r="F2280" s="2"/>
    </row>
    <row r="2281" spans="6:6" x14ac:dyDescent="0.25">
      <c r="F2281" s="2"/>
    </row>
    <row r="2282" spans="6:6" x14ac:dyDescent="0.25">
      <c r="F2282" s="2"/>
    </row>
    <row r="2283" spans="6:6" x14ac:dyDescent="0.25">
      <c r="F2283" s="2"/>
    </row>
    <row r="2284" spans="6:6" x14ac:dyDescent="0.25">
      <c r="F2284" s="2"/>
    </row>
    <row r="2285" spans="6:6" x14ac:dyDescent="0.25">
      <c r="F2285" s="2"/>
    </row>
    <row r="2286" spans="6:6" x14ac:dyDescent="0.25">
      <c r="F2286" s="2"/>
    </row>
    <row r="2287" spans="6:6" x14ac:dyDescent="0.25">
      <c r="F2287" s="2"/>
    </row>
    <row r="2288" spans="6:6" x14ac:dyDescent="0.25">
      <c r="F2288" s="2"/>
    </row>
    <row r="2289" spans="6:6" x14ac:dyDescent="0.25">
      <c r="F2289" s="2"/>
    </row>
    <row r="2290" spans="6:6" x14ac:dyDescent="0.25">
      <c r="F2290" s="2"/>
    </row>
    <row r="2291" spans="6:6" x14ac:dyDescent="0.25">
      <c r="F2291" s="2"/>
    </row>
    <row r="2292" spans="6:6" x14ac:dyDescent="0.25">
      <c r="F2292" s="2"/>
    </row>
    <row r="2293" spans="6:6" x14ac:dyDescent="0.25">
      <c r="F2293" s="2"/>
    </row>
    <row r="2294" spans="6:6" x14ac:dyDescent="0.25">
      <c r="F2294" s="2"/>
    </row>
    <row r="2295" spans="6:6" x14ac:dyDescent="0.25">
      <c r="F2295" s="2"/>
    </row>
    <row r="2296" spans="6:6" x14ac:dyDescent="0.25">
      <c r="F2296" s="2"/>
    </row>
    <row r="2297" spans="6:6" x14ac:dyDescent="0.25">
      <c r="F2297" s="2"/>
    </row>
    <row r="2298" spans="6:6" x14ac:dyDescent="0.25">
      <c r="F2298" s="2"/>
    </row>
    <row r="2299" spans="6:6" x14ac:dyDescent="0.25">
      <c r="F2299" s="2"/>
    </row>
    <row r="2300" spans="6:6" x14ac:dyDescent="0.25">
      <c r="F2300" s="2"/>
    </row>
    <row r="2301" spans="6:6" x14ac:dyDescent="0.25">
      <c r="F2301" s="2"/>
    </row>
    <row r="2302" spans="6:6" x14ac:dyDescent="0.25">
      <c r="F2302" s="2"/>
    </row>
    <row r="2303" spans="6:6" x14ac:dyDescent="0.25">
      <c r="F2303" s="2"/>
    </row>
    <row r="2304" spans="6:6" x14ac:dyDescent="0.25">
      <c r="F2304" s="2"/>
    </row>
    <row r="2305" spans="6:6" x14ac:dyDescent="0.25">
      <c r="F2305" s="2"/>
    </row>
    <row r="2306" spans="6:6" x14ac:dyDescent="0.25">
      <c r="F2306" s="2"/>
    </row>
    <row r="2307" spans="6:6" x14ac:dyDescent="0.25">
      <c r="F2307" s="2"/>
    </row>
    <row r="2308" spans="6:6" x14ac:dyDescent="0.25">
      <c r="F2308" s="2"/>
    </row>
    <row r="2309" spans="6:6" x14ac:dyDescent="0.25">
      <c r="F2309" s="2"/>
    </row>
    <row r="2310" spans="6:6" x14ac:dyDescent="0.25">
      <c r="F2310" s="2"/>
    </row>
    <row r="2311" spans="6:6" x14ac:dyDescent="0.25">
      <c r="F2311" s="2"/>
    </row>
    <row r="2312" spans="6:6" x14ac:dyDescent="0.25">
      <c r="F2312" s="2"/>
    </row>
    <row r="2313" spans="6:6" x14ac:dyDescent="0.25">
      <c r="F2313" s="2"/>
    </row>
    <row r="2314" spans="6:6" x14ac:dyDescent="0.25">
      <c r="F2314" s="2"/>
    </row>
    <row r="2315" spans="6:6" x14ac:dyDescent="0.25">
      <c r="F2315" s="2"/>
    </row>
    <row r="2316" spans="6:6" x14ac:dyDescent="0.25">
      <c r="F2316" s="2"/>
    </row>
    <row r="2317" spans="6:6" x14ac:dyDescent="0.25">
      <c r="F2317" s="2"/>
    </row>
    <row r="2318" spans="6:6" x14ac:dyDescent="0.25">
      <c r="F2318" s="2"/>
    </row>
    <row r="2319" spans="6:6" x14ac:dyDescent="0.25">
      <c r="F2319" s="2"/>
    </row>
    <row r="2320" spans="6:6" x14ac:dyDescent="0.25">
      <c r="F2320" s="2"/>
    </row>
    <row r="2321" spans="6:6" x14ac:dyDescent="0.25">
      <c r="F2321" s="2"/>
    </row>
    <row r="2322" spans="6:6" x14ac:dyDescent="0.25">
      <c r="F2322" s="2"/>
    </row>
    <row r="2323" spans="6:6" x14ac:dyDescent="0.25">
      <c r="F2323" s="2"/>
    </row>
    <row r="2324" spans="6:6" x14ac:dyDescent="0.25">
      <c r="F2324" s="2"/>
    </row>
    <row r="2325" spans="6:6" x14ac:dyDescent="0.25">
      <c r="F2325" s="2"/>
    </row>
    <row r="2326" spans="6:6" x14ac:dyDescent="0.25">
      <c r="F2326" s="2"/>
    </row>
    <row r="2327" spans="6:6" x14ac:dyDescent="0.25">
      <c r="F2327" s="2"/>
    </row>
    <row r="2328" spans="6:6" x14ac:dyDescent="0.25">
      <c r="F2328" s="2"/>
    </row>
    <row r="2329" spans="6:6" x14ac:dyDescent="0.25">
      <c r="F2329" s="2"/>
    </row>
    <row r="2330" spans="6:6" x14ac:dyDescent="0.25">
      <c r="F2330" s="2"/>
    </row>
    <row r="2331" spans="6:6" x14ac:dyDescent="0.25">
      <c r="F2331" s="2"/>
    </row>
    <row r="2332" spans="6:6" x14ac:dyDescent="0.25">
      <c r="F2332" s="2"/>
    </row>
    <row r="2333" spans="6:6" x14ac:dyDescent="0.25">
      <c r="F2333" s="2"/>
    </row>
    <row r="2334" spans="6:6" x14ac:dyDescent="0.25">
      <c r="F2334" s="2"/>
    </row>
    <row r="2335" spans="6:6" x14ac:dyDescent="0.25">
      <c r="F2335" s="2"/>
    </row>
    <row r="2336" spans="6:6" x14ac:dyDescent="0.25">
      <c r="F2336" s="2"/>
    </row>
    <row r="2337" spans="6:6" x14ac:dyDescent="0.25">
      <c r="F2337" s="2"/>
    </row>
    <row r="2338" spans="6:6" x14ac:dyDescent="0.25">
      <c r="F2338" s="2"/>
    </row>
    <row r="2339" spans="6:6" x14ac:dyDescent="0.25">
      <c r="F2339" s="2"/>
    </row>
    <row r="2340" spans="6:6" x14ac:dyDescent="0.25">
      <c r="F2340" s="2"/>
    </row>
    <row r="2341" spans="6:6" x14ac:dyDescent="0.25">
      <c r="F2341" s="2"/>
    </row>
    <row r="2342" spans="6:6" x14ac:dyDescent="0.25">
      <c r="F2342" s="2"/>
    </row>
    <row r="2343" spans="6:6" x14ac:dyDescent="0.25">
      <c r="F2343" s="2"/>
    </row>
    <row r="2344" spans="6:6" x14ac:dyDescent="0.25">
      <c r="F2344" s="2"/>
    </row>
    <row r="2345" spans="6:6" x14ac:dyDescent="0.25">
      <c r="F2345" s="2"/>
    </row>
    <row r="2346" spans="6:6" x14ac:dyDescent="0.25">
      <c r="F2346" s="2"/>
    </row>
    <row r="2347" spans="6:6" x14ac:dyDescent="0.25">
      <c r="F2347" s="2"/>
    </row>
    <row r="2348" spans="6:6" x14ac:dyDescent="0.25">
      <c r="F2348" s="2"/>
    </row>
    <row r="2349" spans="6:6" x14ac:dyDescent="0.25">
      <c r="F2349" s="2"/>
    </row>
    <row r="2350" spans="6:6" x14ac:dyDescent="0.25">
      <c r="F2350" s="2"/>
    </row>
    <row r="2351" spans="6:6" x14ac:dyDescent="0.25">
      <c r="F2351" s="2"/>
    </row>
    <row r="2352" spans="6:6" x14ac:dyDescent="0.25">
      <c r="F2352" s="2"/>
    </row>
    <row r="2353" spans="6:6" x14ac:dyDescent="0.25">
      <c r="F2353" s="2"/>
    </row>
    <row r="2354" spans="6:6" x14ac:dyDescent="0.25">
      <c r="F2354" s="2"/>
    </row>
    <row r="2355" spans="6:6" x14ac:dyDescent="0.25">
      <c r="F2355" s="2"/>
    </row>
    <row r="2356" spans="6:6" x14ac:dyDescent="0.25">
      <c r="F2356" s="2"/>
    </row>
    <row r="2357" spans="6:6" x14ac:dyDescent="0.25">
      <c r="F2357" s="2"/>
    </row>
    <row r="2358" spans="6:6" x14ac:dyDescent="0.25">
      <c r="F2358" s="2"/>
    </row>
    <row r="2359" spans="6:6" x14ac:dyDescent="0.25">
      <c r="F2359" s="2"/>
    </row>
    <row r="2360" spans="6:6" x14ac:dyDescent="0.25">
      <c r="F2360" s="2"/>
    </row>
    <row r="2361" spans="6:6" x14ac:dyDescent="0.25">
      <c r="F2361" s="2"/>
    </row>
    <row r="2362" spans="6:6" x14ac:dyDescent="0.25">
      <c r="F2362" s="2"/>
    </row>
    <row r="2363" spans="6:6" x14ac:dyDescent="0.25">
      <c r="F2363" s="2"/>
    </row>
    <row r="2364" spans="6:6" x14ac:dyDescent="0.25">
      <c r="F2364" s="2"/>
    </row>
    <row r="2365" spans="6:6" x14ac:dyDescent="0.25">
      <c r="F2365" s="2"/>
    </row>
    <row r="2366" spans="6:6" x14ac:dyDescent="0.25">
      <c r="F2366" s="2"/>
    </row>
    <row r="2367" spans="6:6" x14ac:dyDescent="0.25">
      <c r="F2367" s="2"/>
    </row>
    <row r="2368" spans="6:6" x14ac:dyDescent="0.25">
      <c r="F2368" s="2"/>
    </row>
    <row r="2369" spans="6:6" x14ac:dyDescent="0.25">
      <c r="F2369" s="2"/>
    </row>
    <row r="2370" spans="6:6" x14ac:dyDescent="0.25">
      <c r="F2370" s="2"/>
    </row>
    <row r="2371" spans="6:6" x14ac:dyDescent="0.25">
      <c r="F2371" s="2"/>
    </row>
    <row r="2372" spans="6:6" x14ac:dyDescent="0.25">
      <c r="F2372" s="2"/>
    </row>
    <row r="2373" spans="6:6" x14ac:dyDescent="0.25">
      <c r="F2373" s="2"/>
    </row>
    <row r="2374" spans="6:6" x14ac:dyDescent="0.25">
      <c r="F2374" s="2"/>
    </row>
    <row r="2375" spans="6:6" x14ac:dyDescent="0.25">
      <c r="F2375" s="2"/>
    </row>
    <row r="2376" spans="6:6" x14ac:dyDescent="0.25">
      <c r="F2376" s="2"/>
    </row>
    <row r="2377" spans="6:6" x14ac:dyDescent="0.25">
      <c r="F2377" s="2"/>
    </row>
    <row r="2378" spans="6:6" x14ac:dyDescent="0.25">
      <c r="F2378" s="2"/>
    </row>
    <row r="2379" spans="6:6" x14ac:dyDescent="0.25">
      <c r="F2379" s="2"/>
    </row>
    <row r="2380" spans="6:6" x14ac:dyDescent="0.25">
      <c r="F2380" s="2"/>
    </row>
    <row r="2381" spans="6:6" x14ac:dyDescent="0.25">
      <c r="F2381" s="2"/>
    </row>
    <row r="2382" spans="6:6" x14ac:dyDescent="0.25">
      <c r="F2382" s="2"/>
    </row>
    <row r="2383" spans="6:6" x14ac:dyDescent="0.25">
      <c r="F2383" s="2"/>
    </row>
    <row r="2384" spans="6:6" x14ac:dyDescent="0.25">
      <c r="F2384" s="2"/>
    </row>
    <row r="2385" spans="6:6" x14ac:dyDescent="0.25">
      <c r="F2385" s="2"/>
    </row>
    <row r="2386" spans="6:6" x14ac:dyDescent="0.25">
      <c r="F2386" s="2"/>
    </row>
    <row r="2387" spans="6:6" x14ac:dyDescent="0.25">
      <c r="F2387" s="2"/>
    </row>
    <row r="2388" spans="6:6" x14ac:dyDescent="0.25">
      <c r="F2388" s="2"/>
    </row>
    <row r="2389" spans="6:6" x14ac:dyDescent="0.25">
      <c r="F2389" s="2"/>
    </row>
    <row r="2390" spans="6:6" x14ac:dyDescent="0.25">
      <c r="F2390" s="2"/>
    </row>
    <row r="2391" spans="6:6" x14ac:dyDescent="0.25">
      <c r="F2391" s="2"/>
    </row>
    <row r="2392" spans="6:6" x14ac:dyDescent="0.25">
      <c r="F2392" s="2"/>
    </row>
    <row r="2393" spans="6:6" x14ac:dyDescent="0.25">
      <c r="F2393" s="2"/>
    </row>
    <row r="2394" spans="6:6" x14ac:dyDescent="0.25">
      <c r="F2394" s="2"/>
    </row>
    <row r="2395" spans="6:6" x14ac:dyDescent="0.25">
      <c r="F2395" s="2"/>
    </row>
    <row r="2396" spans="6:6" x14ac:dyDescent="0.25">
      <c r="F2396" s="2"/>
    </row>
    <row r="2397" spans="6:6" x14ac:dyDescent="0.25">
      <c r="F2397" s="2"/>
    </row>
    <row r="2398" spans="6:6" x14ac:dyDescent="0.25">
      <c r="F2398" s="2"/>
    </row>
    <row r="2399" spans="6:6" x14ac:dyDescent="0.25">
      <c r="F2399" s="2"/>
    </row>
    <row r="2400" spans="6:6" x14ac:dyDescent="0.25">
      <c r="F2400" s="2"/>
    </row>
    <row r="2401" spans="6:6" x14ac:dyDescent="0.25">
      <c r="F2401" s="2"/>
    </row>
    <row r="2402" spans="6:6" x14ac:dyDescent="0.25">
      <c r="F2402" s="2"/>
    </row>
    <row r="2403" spans="6:6" x14ac:dyDescent="0.25">
      <c r="F2403" s="2"/>
    </row>
    <row r="2404" spans="6:6" x14ac:dyDescent="0.25">
      <c r="F2404" s="2"/>
    </row>
    <row r="2405" spans="6:6" x14ac:dyDescent="0.25">
      <c r="F2405" s="2"/>
    </row>
    <row r="2406" spans="6:6" x14ac:dyDescent="0.25">
      <c r="F2406" s="2"/>
    </row>
    <row r="2407" spans="6:6" x14ac:dyDescent="0.25">
      <c r="F2407" s="2"/>
    </row>
    <row r="2408" spans="6:6" x14ac:dyDescent="0.25">
      <c r="F2408" s="2"/>
    </row>
    <row r="2409" spans="6:6" x14ac:dyDescent="0.25">
      <c r="F2409" s="2"/>
    </row>
    <row r="2410" spans="6:6" x14ac:dyDescent="0.25">
      <c r="F2410" s="2"/>
    </row>
    <row r="2411" spans="6:6" x14ac:dyDescent="0.25">
      <c r="F2411" s="2"/>
    </row>
    <row r="2412" spans="6:6" x14ac:dyDescent="0.25">
      <c r="F2412" s="2"/>
    </row>
    <row r="2413" spans="6:6" x14ac:dyDescent="0.25">
      <c r="F2413" s="2"/>
    </row>
    <row r="2414" spans="6:6" x14ac:dyDescent="0.25">
      <c r="F2414" s="2"/>
    </row>
    <row r="2415" spans="6:6" x14ac:dyDescent="0.25">
      <c r="F2415" s="2"/>
    </row>
    <row r="2416" spans="6:6" x14ac:dyDescent="0.25">
      <c r="F2416" s="2"/>
    </row>
    <row r="2417" spans="6:6" x14ac:dyDescent="0.25">
      <c r="F2417" s="2"/>
    </row>
    <row r="2418" spans="6:6" x14ac:dyDescent="0.25">
      <c r="F2418" s="2"/>
    </row>
    <row r="2419" spans="6:6" x14ac:dyDescent="0.25">
      <c r="F2419" s="2"/>
    </row>
    <row r="2420" spans="6:6" x14ac:dyDescent="0.25">
      <c r="F2420" s="2"/>
    </row>
    <row r="2421" spans="6:6" x14ac:dyDescent="0.25">
      <c r="F2421" s="2"/>
    </row>
    <row r="2422" spans="6:6" x14ac:dyDescent="0.25">
      <c r="F2422" s="2"/>
    </row>
    <row r="2423" spans="6:6" x14ac:dyDescent="0.25">
      <c r="F2423" s="2"/>
    </row>
    <row r="2424" spans="6:6" x14ac:dyDescent="0.25">
      <c r="F2424" s="2"/>
    </row>
    <row r="2425" spans="6:6" x14ac:dyDescent="0.25">
      <c r="F2425" s="2"/>
    </row>
    <row r="2426" spans="6:6" x14ac:dyDescent="0.25">
      <c r="F2426" s="2"/>
    </row>
    <row r="2427" spans="6:6" x14ac:dyDescent="0.25">
      <c r="F2427" s="2"/>
    </row>
    <row r="2428" spans="6:6" x14ac:dyDescent="0.25">
      <c r="F2428" s="2"/>
    </row>
    <row r="2429" spans="6:6" x14ac:dyDescent="0.25">
      <c r="F2429" s="2"/>
    </row>
    <row r="2430" spans="6:6" x14ac:dyDescent="0.25">
      <c r="F2430" s="2"/>
    </row>
    <row r="2431" spans="6:6" x14ac:dyDescent="0.25">
      <c r="F2431" s="2"/>
    </row>
    <row r="2432" spans="6:6" x14ac:dyDescent="0.25">
      <c r="F2432" s="2"/>
    </row>
    <row r="2433" spans="6:6" x14ac:dyDescent="0.25">
      <c r="F2433" s="2"/>
    </row>
    <row r="2434" spans="6:6" x14ac:dyDescent="0.25">
      <c r="F2434" s="2"/>
    </row>
    <row r="2435" spans="6:6" x14ac:dyDescent="0.25">
      <c r="F2435" s="2"/>
    </row>
    <row r="2436" spans="6:6" x14ac:dyDescent="0.25">
      <c r="F2436" s="2"/>
    </row>
    <row r="2437" spans="6:6" x14ac:dyDescent="0.25">
      <c r="F2437" s="2"/>
    </row>
    <row r="2438" spans="6:6" x14ac:dyDescent="0.25">
      <c r="F2438" s="2"/>
    </row>
    <row r="2439" spans="6:6" x14ac:dyDescent="0.25">
      <c r="F2439" s="2"/>
    </row>
    <row r="2440" spans="6:6" x14ac:dyDescent="0.25">
      <c r="F2440" s="2"/>
    </row>
    <row r="2441" spans="6:6" x14ac:dyDescent="0.25">
      <c r="F2441" s="2"/>
    </row>
    <row r="2442" spans="6:6" x14ac:dyDescent="0.25">
      <c r="F2442" s="2"/>
    </row>
    <row r="2443" spans="6:6" x14ac:dyDescent="0.25">
      <c r="F2443" s="2"/>
    </row>
    <row r="2444" spans="6:6" x14ac:dyDescent="0.25">
      <c r="F2444" s="2"/>
    </row>
    <row r="2445" spans="6:6" x14ac:dyDescent="0.25">
      <c r="F2445" s="2"/>
    </row>
    <row r="2446" spans="6:6" x14ac:dyDescent="0.25">
      <c r="F2446" s="2"/>
    </row>
    <row r="2447" spans="6:6" x14ac:dyDescent="0.25">
      <c r="F2447" s="2"/>
    </row>
    <row r="2448" spans="6:6" x14ac:dyDescent="0.25">
      <c r="F2448" s="2"/>
    </row>
    <row r="2449" spans="6:6" x14ac:dyDescent="0.25">
      <c r="F2449" s="2"/>
    </row>
    <row r="2450" spans="6:6" x14ac:dyDescent="0.25">
      <c r="F2450" s="2"/>
    </row>
    <row r="2451" spans="6:6" x14ac:dyDescent="0.25">
      <c r="F2451" s="2"/>
    </row>
    <row r="2452" spans="6:6" x14ac:dyDescent="0.25">
      <c r="F2452" s="2"/>
    </row>
    <row r="2453" spans="6:6" x14ac:dyDescent="0.25">
      <c r="F2453" s="2"/>
    </row>
    <row r="2454" spans="6:6" x14ac:dyDescent="0.25">
      <c r="F2454" s="2"/>
    </row>
    <row r="2455" spans="6:6" x14ac:dyDescent="0.25">
      <c r="F2455" s="2"/>
    </row>
    <row r="2456" spans="6:6" x14ac:dyDescent="0.25">
      <c r="F2456" s="2"/>
    </row>
    <row r="2457" spans="6:6" x14ac:dyDescent="0.25">
      <c r="F2457" s="2"/>
    </row>
    <row r="2458" spans="6:6" x14ac:dyDescent="0.25">
      <c r="F2458" s="2"/>
    </row>
    <row r="2459" spans="6:6" x14ac:dyDescent="0.25">
      <c r="F2459" s="2"/>
    </row>
    <row r="2460" spans="6:6" x14ac:dyDescent="0.25">
      <c r="F2460" s="2"/>
    </row>
    <row r="2461" spans="6:6" x14ac:dyDescent="0.25">
      <c r="F2461" s="2"/>
    </row>
    <row r="2462" spans="6:6" x14ac:dyDescent="0.25">
      <c r="F2462" s="2"/>
    </row>
    <row r="2463" spans="6:6" x14ac:dyDescent="0.25">
      <c r="F2463" s="2"/>
    </row>
    <row r="2464" spans="6:6" x14ac:dyDescent="0.25">
      <c r="F2464" s="2"/>
    </row>
    <row r="2465" spans="6:6" x14ac:dyDescent="0.25">
      <c r="F2465" s="2"/>
    </row>
    <row r="2466" spans="6:6" x14ac:dyDescent="0.25">
      <c r="F2466" s="2"/>
    </row>
    <row r="2467" spans="6:6" x14ac:dyDescent="0.25">
      <c r="F2467" s="2"/>
    </row>
    <row r="2468" spans="6:6" x14ac:dyDescent="0.25">
      <c r="F2468" s="2"/>
    </row>
    <row r="2469" spans="6:6" x14ac:dyDescent="0.25">
      <c r="F2469" s="2"/>
    </row>
    <row r="2470" spans="6:6" x14ac:dyDescent="0.25">
      <c r="F2470" s="2"/>
    </row>
    <row r="2471" spans="6:6" x14ac:dyDescent="0.25">
      <c r="F2471" s="2"/>
    </row>
    <row r="2472" spans="6:6" x14ac:dyDescent="0.25">
      <c r="F2472" s="2"/>
    </row>
    <row r="2473" spans="6:6" x14ac:dyDescent="0.25">
      <c r="F2473" s="2"/>
    </row>
    <row r="2474" spans="6:6" x14ac:dyDescent="0.25">
      <c r="F2474" s="2"/>
    </row>
    <row r="2475" spans="6:6" x14ac:dyDescent="0.25">
      <c r="F2475" s="2"/>
    </row>
    <row r="2476" spans="6:6" x14ac:dyDescent="0.25">
      <c r="F2476" s="2"/>
    </row>
    <row r="2477" spans="6:6" x14ac:dyDescent="0.25">
      <c r="F2477" s="2"/>
    </row>
    <row r="2478" spans="6:6" x14ac:dyDescent="0.25">
      <c r="F2478" s="2"/>
    </row>
    <row r="2479" spans="6:6" x14ac:dyDescent="0.25">
      <c r="F2479" s="2"/>
    </row>
    <row r="2480" spans="6:6" x14ac:dyDescent="0.25">
      <c r="F2480" s="2"/>
    </row>
    <row r="2481" spans="6:6" x14ac:dyDescent="0.25">
      <c r="F2481" s="2"/>
    </row>
    <row r="2482" spans="6:6" x14ac:dyDescent="0.25">
      <c r="F2482" s="2"/>
    </row>
    <row r="2483" spans="6:6" x14ac:dyDescent="0.25">
      <c r="F2483" s="2"/>
    </row>
    <row r="2484" spans="6:6" x14ac:dyDescent="0.25">
      <c r="F2484" s="2"/>
    </row>
    <row r="2485" spans="6:6" x14ac:dyDescent="0.25">
      <c r="F2485" s="2"/>
    </row>
    <row r="2486" spans="6:6" x14ac:dyDescent="0.25">
      <c r="F2486" s="2"/>
    </row>
    <row r="2487" spans="6:6" x14ac:dyDescent="0.25">
      <c r="F2487" s="2"/>
    </row>
    <row r="2488" spans="6:6" x14ac:dyDescent="0.25">
      <c r="F2488" s="2"/>
    </row>
    <row r="2489" spans="6:6" x14ac:dyDescent="0.25">
      <c r="F2489" s="2"/>
    </row>
    <row r="2490" spans="6:6" x14ac:dyDescent="0.25">
      <c r="F2490" s="2"/>
    </row>
    <row r="2491" spans="6:6" x14ac:dyDescent="0.25">
      <c r="F2491" s="2"/>
    </row>
    <row r="2492" spans="6:6" x14ac:dyDescent="0.25">
      <c r="F2492" s="2"/>
    </row>
    <row r="2493" spans="6:6" x14ac:dyDescent="0.25">
      <c r="F2493" s="2"/>
    </row>
    <row r="2494" spans="6:6" x14ac:dyDescent="0.25">
      <c r="F2494" s="2"/>
    </row>
    <row r="2495" spans="6:6" x14ac:dyDescent="0.25">
      <c r="F2495" s="2"/>
    </row>
    <row r="2496" spans="6:6" x14ac:dyDescent="0.25">
      <c r="F2496" s="2"/>
    </row>
    <row r="2497" spans="6:6" x14ac:dyDescent="0.25">
      <c r="F2497" s="2"/>
    </row>
    <row r="2498" spans="6:6" x14ac:dyDescent="0.25">
      <c r="F2498" s="2"/>
    </row>
    <row r="2499" spans="6:6" x14ac:dyDescent="0.25">
      <c r="F2499" s="2"/>
    </row>
    <row r="2500" spans="6:6" x14ac:dyDescent="0.25">
      <c r="F2500" s="2"/>
    </row>
    <row r="2501" spans="6:6" x14ac:dyDescent="0.25">
      <c r="F2501" s="2"/>
    </row>
    <row r="2502" spans="6:6" x14ac:dyDescent="0.25">
      <c r="F2502" s="2"/>
    </row>
    <row r="2503" spans="6:6" x14ac:dyDescent="0.25">
      <c r="F2503" s="2"/>
    </row>
    <row r="2504" spans="6:6" x14ac:dyDescent="0.25">
      <c r="F2504" s="2"/>
    </row>
    <row r="2505" spans="6:6" x14ac:dyDescent="0.25">
      <c r="F2505" s="2"/>
    </row>
    <row r="2506" spans="6:6" x14ac:dyDescent="0.25">
      <c r="F2506" s="2"/>
    </row>
    <row r="2507" spans="6:6" x14ac:dyDescent="0.25">
      <c r="F2507" s="2"/>
    </row>
    <row r="2508" spans="6:6" x14ac:dyDescent="0.25">
      <c r="F2508" s="2"/>
    </row>
    <row r="2509" spans="6:6" x14ac:dyDescent="0.25">
      <c r="F2509" s="2"/>
    </row>
    <row r="2510" spans="6:6" x14ac:dyDescent="0.25">
      <c r="F2510" s="2"/>
    </row>
    <row r="2511" spans="6:6" x14ac:dyDescent="0.25">
      <c r="F2511" s="2"/>
    </row>
    <row r="2512" spans="6:6" x14ac:dyDescent="0.25">
      <c r="F2512" s="2"/>
    </row>
    <row r="2513" spans="6:6" x14ac:dyDescent="0.25">
      <c r="F2513" s="2"/>
    </row>
    <row r="2514" spans="6:6" x14ac:dyDescent="0.25">
      <c r="F2514" s="2"/>
    </row>
    <row r="2515" spans="6:6" x14ac:dyDescent="0.25">
      <c r="F2515" s="2"/>
    </row>
    <row r="2516" spans="6:6" x14ac:dyDescent="0.25">
      <c r="F2516" s="2"/>
    </row>
    <row r="2517" spans="6:6" x14ac:dyDescent="0.25">
      <c r="F2517" s="2"/>
    </row>
    <row r="2518" spans="6:6" x14ac:dyDescent="0.25">
      <c r="F2518" s="2"/>
    </row>
    <row r="2519" spans="6:6" x14ac:dyDescent="0.25">
      <c r="F2519" s="2"/>
    </row>
    <row r="2520" spans="6:6" x14ac:dyDescent="0.25">
      <c r="F2520" s="2"/>
    </row>
    <row r="2521" spans="6:6" x14ac:dyDescent="0.25">
      <c r="F2521" s="2"/>
    </row>
    <row r="2522" spans="6:6" x14ac:dyDescent="0.25">
      <c r="F2522" s="2"/>
    </row>
    <row r="2523" spans="6:6" x14ac:dyDescent="0.25">
      <c r="F2523" s="2"/>
    </row>
    <row r="2524" spans="6:6" x14ac:dyDescent="0.25">
      <c r="F2524" s="2"/>
    </row>
    <row r="2525" spans="6:6" x14ac:dyDescent="0.25">
      <c r="F2525" s="2"/>
    </row>
    <row r="2526" spans="6:6" x14ac:dyDescent="0.25">
      <c r="F2526" s="2"/>
    </row>
    <row r="2527" spans="6:6" x14ac:dyDescent="0.25">
      <c r="F2527" s="2"/>
    </row>
    <row r="2528" spans="6:6" x14ac:dyDescent="0.25">
      <c r="F2528" s="2"/>
    </row>
    <row r="2529" spans="6:6" x14ac:dyDescent="0.25">
      <c r="F2529" s="2"/>
    </row>
    <row r="2530" spans="6:6" x14ac:dyDescent="0.25">
      <c r="F2530" s="2"/>
    </row>
    <row r="2531" spans="6:6" x14ac:dyDescent="0.25">
      <c r="F2531" s="2"/>
    </row>
    <row r="2532" spans="6:6" x14ac:dyDescent="0.25">
      <c r="F2532" s="2"/>
    </row>
    <row r="2533" spans="6:6" x14ac:dyDescent="0.25">
      <c r="F2533" s="2"/>
    </row>
    <row r="2534" spans="6:6" x14ac:dyDescent="0.25">
      <c r="F2534" s="2"/>
    </row>
    <row r="2535" spans="6:6" x14ac:dyDescent="0.25">
      <c r="F2535" s="2"/>
    </row>
    <row r="2536" spans="6:6" x14ac:dyDescent="0.25">
      <c r="F2536" s="2"/>
    </row>
    <row r="2537" spans="6:6" x14ac:dyDescent="0.25">
      <c r="F2537" s="2"/>
    </row>
    <row r="2538" spans="6:6" x14ac:dyDescent="0.25">
      <c r="F2538" s="2"/>
    </row>
    <row r="2539" spans="6:6" x14ac:dyDescent="0.25">
      <c r="F2539" s="2"/>
    </row>
    <row r="2540" spans="6:6" x14ac:dyDescent="0.25">
      <c r="F2540" s="2"/>
    </row>
    <row r="2541" spans="6:6" x14ac:dyDescent="0.25">
      <c r="F2541" s="2"/>
    </row>
    <row r="2542" spans="6:6" x14ac:dyDescent="0.25">
      <c r="F2542" s="2"/>
    </row>
    <row r="2543" spans="6:6" x14ac:dyDescent="0.25">
      <c r="F2543" s="2"/>
    </row>
    <row r="2544" spans="6:6" x14ac:dyDescent="0.25">
      <c r="F2544" s="2"/>
    </row>
    <row r="2545" spans="6:6" x14ac:dyDescent="0.25">
      <c r="F2545" s="2"/>
    </row>
    <row r="2546" spans="6:6" x14ac:dyDescent="0.25">
      <c r="F2546" s="2"/>
    </row>
    <row r="2547" spans="6:6" x14ac:dyDescent="0.25">
      <c r="F2547" s="2"/>
    </row>
    <row r="2548" spans="6:6" x14ac:dyDescent="0.25">
      <c r="F2548" s="2"/>
    </row>
    <row r="2549" spans="6:6" x14ac:dyDescent="0.25">
      <c r="F2549" s="2"/>
    </row>
    <row r="2550" spans="6:6" x14ac:dyDescent="0.25">
      <c r="F2550" s="2"/>
    </row>
    <row r="2551" spans="6:6" x14ac:dyDescent="0.25">
      <c r="F2551" s="2"/>
    </row>
    <row r="2552" spans="6:6" x14ac:dyDescent="0.25">
      <c r="F2552" s="2"/>
    </row>
    <row r="2553" spans="6:6" x14ac:dyDescent="0.25">
      <c r="F2553" s="2"/>
    </row>
    <row r="2554" spans="6:6" x14ac:dyDescent="0.25">
      <c r="F2554" s="2"/>
    </row>
    <row r="2555" spans="6:6" x14ac:dyDescent="0.25">
      <c r="F2555" s="2"/>
    </row>
    <row r="2556" spans="6:6" x14ac:dyDescent="0.25">
      <c r="F2556" s="2"/>
    </row>
    <row r="2557" spans="6:6" x14ac:dyDescent="0.25">
      <c r="F2557" s="2"/>
    </row>
    <row r="2558" spans="6:6" x14ac:dyDescent="0.25">
      <c r="F2558" s="2"/>
    </row>
    <row r="2559" spans="6:6" x14ac:dyDescent="0.25">
      <c r="F2559" s="2"/>
    </row>
    <row r="2560" spans="6:6" x14ac:dyDescent="0.25">
      <c r="F2560" s="2"/>
    </row>
    <row r="2561" spans="6:6" x14ac:dyDescent="0.25">
      <c r="F2561" s="2"/>
    </row>
    <row r="2562" spans="6:6" x14ac:dyDescent="0.25">
      <c r="F2562" s="2"/>
    </row>
    <row r="2563" spans="6:6" x14ac:dyDescent="0.25">
      <c r="F2563" s="2"/>
    </row>
    <row r="2564" spans="6:6" x14ac:dyDescent="0.25">
      <c r="F2564" s="2"/>
    </row>
    <row r="2565" spans="6:6" x14ac:dyDescent="0.25">
      <c r="F2565" s="2"/>
    </row>
    <row r="2566" spans="6:6" x14ac:dyDescent="0.25">
      <c r="F2566" s="2"/>
    </row>
    <row r="2567" spans="6:6" x14ac:dyDescent="0.25">
      <c r="F2567" s="2"/>
    </row>
    <row r="2568" spans="6:6" x14ac:dyDescent="0.25">
      <c r="F2568" s="2"/>
    </row>
    <row r="2569" spans="6:6" x14ac:dyDescent="0.25">
      <c r="F2569" s="2"/>
    </row>
    <row r="2570" spans="6:6" x14ac:dyDescent="0.25">
      <c r="F2570" s="2"/>
    </row>
    <row r="2571" spans="6:6" x14ac:dyDescent="0.25">
      <c r="F2571" s="2"/>
    </row>
    <row r="2572" spans="6:6" x14ac:dyDescent="0.25">
      <c r="F2572" s="2"/>
    </row>
    <row r="2573" spans="6:6" x14ac:dyDescent="0.25">
      <c r="F2573" s="2"/>
    </row>
    <row r="2574" spans="6:6" x14ac:dyDescent="0.25">
      <c r="F2574" s="2"/>
    </row>
    <row r="2575" spans="6:6" x14ac:dyDescent="0.25">
      <c r="F2575" s="2"/>
    </row>
    <row r="2576" spans="6:6" x14ac:dyDescent="0.25">
      <c r="F2576" s="2"/>
    </row>
    <row r="2577" spans="6:6" x14ac:dyDescent="0.25">
      <c r="F2577" s="2"/>
    </row>
    <row r="2578" spans="6:6" x14ac:dyDescent="0.25">
      <c r="F2578" s="2"/>
    </row>
    <row r="2579" spans="6:6" x14ac:dyDescent="0.25">
      <c r="F2579" s="2"/>
    </row>
    <row r="2580" spans="6:6" x14ac:dyDescent="0.25">
      <c r="F2580" s="2"/>
    </row>
    <row r="2581" spans="6:6" x14ac:dyDescent="0.25">
      <c r="F2581" s="2"/>
    </row>
    <row r="2582" spans="6:6" x14ac:dyDescent="0.25">
      <c r="F2582" s="2"/>
    </row>
    <row r="2583" spans="6:6" x14ac:dyDescent="0.25">
      <c r="F2583" s="2"/>
    </row>
    <row r="2584" spans="6:6" x14ac:dyDescent="0.25">
      <c r="F2584" s="2"/>
    </row>
    <row r="2585" spans="6:6" x14ac:dyDescent="0.25">
      <c r="F2585" s="2"/>
    </row>
    <row r="2586" spans="6:6" x14ac:dyDescent="0.25">
      <c r="F2586" s="2"/>
    </row>
    <row r="2587" spans="6:6" x14ac:dyDescent="0.25">
      <c r="F2587" s="2"/>
    </row>
    <row r="2588" spans="6:6" x14ac:dyDescent="0.25">
      <c r="F2588" s="2"/>
    </row>
    <row r="2589" spans="6:6" x14ac:dyDescent="0.25">
      <c r="F2589" s="2"/>
    </row>
    <row r="2590" spans="6:6" x14ac:dyDescent="0.25">
      <c r="F2590" s="2"/>
    </row>
    <row r="2591" spans="6:6" x14ac:dyDescent="0.25">
      <c r="F2591" s="2"/>
    </row>
    <row r="2592" spans="6:6" x14ac:dyDescent="0.25">
      <c r="F2592" s="2"/>
    </row>
    <row r="2593" spans="6:6" x14ac:dyDescent="0.25">
      <c r="F2593" s="2"/>
    </row>
    <row r="2594" spans="6:6" x14ac:dyDescent="0.25">
      <c r="F2594" s="2"/>
    </row>
    <row r="2595" spans="6:6" x14ac:dyDescent="0.25">
      <c r="F2595" s="2"/>
    </row>
    <row r="2596" spans="6:6" x14ac:dyDescent="0.25">
      <c r="F2596" s="2"/>
    </row>
    <row r="2597" spans="6:6" x14ac:dyDescent="0.25">
      <c r="F2597" s="2"/>
    </row>
    <row r="2598" spans="6:6" x14ac:dyDescent="0.25">
      <c r="F2598" s="2"/>
    </row>
    <row r="2599" spans="6:6" x14ac:dyDescent="0.25">
      <c r="F2599" s="2"/>
    </row>
    <row r="2600" spans="6:6" x14ac:dyDescent="0.25">
      <c r="F2600" s="2"/>
    </row>
    <row r="2601" spans="6:6" x14ac:dyDescent="0.25">
      <c r="F2601" s="2"/>
    </row>
    <row r="2602" spans="6:6" x14ac:dyDescent="0.25">
      <c r="F2602" s="2"/>
    </row>
    <row r="2603" spans="6:6" x14ac:dyDescent="0.25">
      <c r="F2603" s="2"/>
    </row>
    <row r="2604" spans="6:6" x14ac:dyDescent="0.25">
      <c r="F2604" s="2"/>
    </row>
    <row r="2605" spans="6:6" x14ac:dyDescent="0.25">
      <c r="F2605" s="2"/>
    </row>
    <row r="2606" spans="6:6" x14ac:dyDescent="0.25">
      <c r="F2606" s="2"/>
    </row>
    <row r="2607" spans="6:6" x14ac:dyDescent="0.25">
      <c r="F2607" s="2"/>
    </row>
    <row r="2608" spans="6:6" x14ac:dyDescent="0.25">
      <c r="F2608" s="2"/>
    </row>
    <row r="2609" spans="6:6" x14ac:dyDescent="0.25">
      <c r="F2609" s="2"/>
    </row>
    <row r="2610" spans="6:6" x14ac:dyDescent="0.25">
      <c r="F2610" s="2"/>
    </row>
    <row r="2611" spans="6:6" x14ac:dyDescent="0.25">
      <c r="F2611" s="2"/>
    </row>
    <row r="2612" spans="6:6" x14ac:dyDescent="0.25">
      <c r="F2612" s="2"/>
    </row>
    <row r="2613" spans="6:6" x14ac:dyDescent="0.25">
      <c r="F2613" s="2"/>
    </row>
    <row r="2614" spans="6:6" x14ac:dyDescent="0.25">
      <c r="F2614" s="2"/>
    </row>
    <row r="2615" spans="6:6" x14ac:dyDescent="0.25">
      <c r="F2615" s="2"/>
    </row>
    <row r="2616" spans="6:6" x14ac:dyDescent="0.25">
      <c r="F2616" s="2"/>
    </row>
    <row r="2617" spans="6:6" x14ac:dyDescent="0.25">
      <c r="F2617" s="2"/>
    </row>
    <row r="2618" spans="6:6" x14ac:dyDescent="0.25">
      <c r="F2618" s="2"/>
    </row>
    <row r="2619" spans="6:6" x14ac:dyDescent="0.25">
      <c r="F2619" s="2"/>
    </row>
    <row r="2620" spans="6:6" x14ac:dyDescent="0.25">
      <c r="F2620" s="2"/>
    </row>
    <row r="2621" spans="6:6" x14ac:dyDescent="0.25">
      <c r="F2621" s="2"/>
    </row>
    <row r="2622" spans="6:6" x14ac:dyDescent="0.25">
      <c r="F2622" s="2"/>
    </row>
    <row r="2623" spans="6:6" x14ac:dyDescent="0.25">
      <c r="F2623" s="2"/>
    </row>
    <row r="2624" spans="6:6" x14ac:dyDescent="0.25">
      <c r="F2624" s="2"/>
    </row>
    <row r="2625" spans="6:6" x14ac:dyDescent="0.25">
      <c r="F2625" s="2"/>
    </row>
    <row r="2626" spans="6:6" x14ac:dyDescent="0.25">
      <c r="F2626" s="2"/>
    </row>
    <row r="2627" spans="6:6" x14ac:dyDescent="0.25">
      <c r="F2627" s="2"/>
    </row>
    <row r="2628" spans="6:6" x14ac:dyDescent="0.25">
      <c r="F2628" s="2"/>
    </row>
    <row r="2629" spans="6:6" x14ac:dyDescent="0.25">
      <c r="F2629" s="2"/>
    </row>
    <row r="2630" spans="6:6" x14ac:dyDescent="0.25">
      <c r="F2630" s="2"/>
    </row>
    <row r="2631" spans="6:6" x14ac:dyDescent="0.25">
      <c r="F2631" s="2"/>
    </row>
    <row r="2632" spans="6:6" x14ac:dyDescent="0.25">
      <c r="F2632" s="2"/>
    </row>
    <row r="2633" spans="6:6" x14ac:dyDescent="0.25">
      <c r="F2633" s="2"/>
    </row>
    <row r="2634" spans="6:6" x14ac:dyDescent="0.25">
      <c r="F2634" s="2"/>
    </row>
    <row r="2635" spans="6:6" x14ac:dyDescent="0.25">
      <c r="F2635" s="2"/>
    </row>
    <row r="2636" spans="6:6" x14ac:dyDescent="0.25">
      <c r="F2636" s="2"/>
    </row>
    <row r="2637" spans="6:6" x14ac:dyDescent="0.25">
      <c r="F2637" s="2"/>
    </row>
    <row r="2638" spans="6:6" x14ac:dyDescent="0.25">
      <c r="F2638" s="2"/>
    </row>
    <row r="2639" spans="6:6" x14ac:dyDescent="0.25">
      <c r="F2639" s="2"/>
    </row>
    <row r="2640" spans="6:6" x14ac:dyDescent="0.25">
      <c r="F2640" s="2"/>
    </row>
    <row r="2641" spans="6:6" x14ac:dyDescent="0.25">
      <c r="F2641" s="2"/>
    </row>
    <row r="2642" spans="6:6" x14ac:dyDescent="0.25">
      <c r="F2642" s="2"/>
    </row>
    <row r="2643" spans="6:6" x14ac:dyDescent="0.25">
      <c r="F2643" s="2"/>
    </row>
    <row r="2644" spans="6:6" x14ac:dyDescent="0.25">
      <c r="F2644" s="2"/>
    </row>
    <row r="2645" spans="6:6" x14ac:dyDescent="0.25">
      <c r="F2645" s="2"/>
    </row>
    <row r="2646" spans="6:6" x14ac:dyDescent="0.25">
      <c r="F2646" s="2"/>
    </row>
    <row r="2647" spans="6:6" x14ac:dyDescent="0.25">
      <c r="F2647" s="2"/>
    </row>
    <row r="2648" spans="6:6" x14ac:dyDescent="0.25">
      <c r="F2648" s="2"/>
    </row>
    <row r="2649" spans="6:6" x14ac:dyDescent="0.25">
      <c r="F2649" s="2"/>
    </row>
    <row r="2650" spans="6:6" x14ac:dyDescent="0.25">
      <c r="F2650" s="2"/>
    </row>
    <row r="2651" spans="6:6" x14ac:dyDescent="0.25">
      <c r="F2651" s="2"/>
    </row>
    <row r="2652" spans="6:6" x14ac:dyDescent="0.25">
      <c r="F2652" s="2"/>
    </row>
    <row r="2653" spans="6:6" x14ac:dyDescent="0.25">
      <c r="F2653" s="2"/>
    </row>
    <row r="2654" spans="6:6" x14ac:dyDescent="0.25">
      <c r="F2654" s="2"/>
    </row>
    <row r="2655" spans="6:6" x14ac:dyDescent="0.25">
      <c r="F2655" s="2"/>
    </row>
    <row r="2656" spans="6:6" x14ac:dyDescent="0.25">
      <c r="F2656" s="2"/>
    </row>
    <row r="2657" spans="6:6" x14ac:dyDescent="0.25">
      <c r="F2657" s="2"/>
    </row>
    <row r="2658" spans="6:6" x14ac:dyDescent="0.25">
      <c r="F2658" s="2"/>
    </row>
    <row r="2659" spans="6:6" x14ac:dyDescent="0.25">
      <c r="F2659" s="2"/>
    </row>
    <row r="2660" spans="6:6" x14ac:dyDescent="0.25">
      <c r="F2660" s="2"/>
    </row>
    <row r="2661" spans="6:6" x14ac:dyDescent="0.25">
      <c r="F2661" s="2"/>
    </row>
    <row r="2662" spans="6:6" x14ac:dyDescent="0.25">
      <c r="F2662" s="2"/>
    </row>
    <row r="2663" spans="6:6" x14ac:dyDescent="0.25">
      <c r="F2663" s="2"/>
    </row>
    <row r="2664" spans="6:6" x14ac:dyDescent="0.25">
      <c r="F2664" s="2"/>
    </row>
    <row r="2665" spans="6:6" x14ac:dyDescent="0.25">
      <c r="F2665" s="2"/>
    </row>
    <row r="2666" spans="6:6" x14ac:dyDescent="0.25">
      <c r="F2666" s="2"/>
    </row>
    <row r="2667" spans="6:6" x14ac:dyDescent="0.25">
      <c r="F2667" s="2"/>
    </row>
    <row r="2668" spans="6:6" x14ac:dyDescent="0.25">
      <c r="F2668" s="2"/>
    </row>
    <row r="2669" spans="6:6" x14ac:dyDescent="0.25">
      <c r="F2669" s="2"/>
    </row>
    <row r="2670" spans="6:6" x14ac:dyDescent="0.25">
      <c r="F2670" s="2"/>
    </row>
    <row r="2671" spans="6:6" x14ac:dyDescent="0.25">
      <c r="F2671" s="2"/>
    </row>
    <row r="2672" spans="6:6" x14ac:dyDescent="0.25">
      <c r="F2672" s="2"/>
    </row>
    <row r="2673" spans="6:6" x14ac:dyDescent="0.25">
      <c r="F2673" s="2"/>
    </row>
    <row r="2674" spans="6:6" x14ac:dyDescent="0.25">
      <c r="F2674" s="2"/>
    </row>
    <row r="2675" spans="6:6" x14ac:dyDescent="0.25">
      <c r="F2675" s="2"/>
    </row>
    <row r="2676" spans="6:6" x14ac:dyDescent="0.25">
      <c r="F2676" s="2"/>
    </row>
    <row r="2677" spans="6:6" x14ac:dyDescent="0.25">
      <c r="F2677" s="2"/>
    </row>
    <row r="2678" spans="6:6" x14ac:dyDescent="0.25">
      <c r="F2678" s="2"/>
    </row>
    <row r="2679" spans="6:6" x14ac:dyDescent="0.25">
      <c r="F2679" s="2"/>
    </row>
    <row r="2680" spans="6:6" x14ac:dyDescent="0.25">
      <c r="F2680" s="2"/>
    </row>
    <row r="2681" spans="6:6" x14ac:dyDescent="0.25">
      <c r="F2681" s="2"/>
    </row>
    <row r="2682" spans="6:6" x14ac:dyDescent="0.25">
      <c r="F2682" s="2"/>
    </row>
    <row r="2683" spans="6:6" x14ac:dyDescent="0.25">
      <c r="F2683" s="2"/>
    </row>
    <row r="2684" spans="6:6" x14ac:dyDescent="0.25">
      <c r="F2684" s="2"/>
    </row>
    <row r="2685" spans="6:6" x14ac:dyDescent="0.25">
      <c r="F2685" s="2"/>
    </row>
    <row r="2686" spans="6:6" x14ac:dyDescent="0.25">
      <c r="F2686" s="2"/>
    </row>
    <row r="2687" spans="6:6" x14ac:dyDescent="0.25">
      <c r="F2687" s="2"/>
    </row>
    <row r="2688" spans="6:6" x14ac:dyDescent="0.25">
      <c r="F2688" s="2"/>
    </row>
    <row r="2689" spans="6:6" x14ac:dyDescent="0.25">
      <c r="F2689" s="2"/>
    </row>
    <row r="2690" spans="6:6" x14ac:dyDescent="0.25">
      <c r="F2690" s="2"/>
    </row>
    <row r="2691" spans="6:6" x14ac:dyDescent="0.25">
      <c r="F2691" s="2"/>
    </row>
    <row r="2692" spans="6:6" x14ac:dyDescent="0.25">
      <c r="F2692" s="2"/>
    </row>
    <row r="2693" spans="6:6" x14ac:dyDescent="0.25">
      <c r="F2693" s="2"/>
    </row>
    <row r="2694" spans="6:6" x14ac:dyDescent="0.25">
      <c r="F2694" s="2"/>
    </row>
    <row r="2695" spans="6:6" x14ac:dyDescent="0.25">
      <c r="F2695" s="2"/>
    </row>
    <row r="2696" spans="6:6" x14ac:dyDescent="0.25">
      <c r="F2696" s="2"/>
    </row>
    <row r="2697" spans="6:6" x14ac:dyDescent="0.25">
      <c r="F2697" s="2"/>
    </row>
    <row r="2698" spans="6:6" x14ac:dyDescent="0.25">
      <c r="F2698" s="2"/>
    </row>
    <row r="2699" spans="6:6" x14ac:dyDescent="0.25">
      <c r="F2699" s="2"/>
    </row>
    <row r="2700" spans="6:6" x14ac:dyDescent="0.25">
      <c r="F2700" s="2"/>
    </row>
    <row r="2701" spans="6:6" x14ac:dyDescent="0.25">
      <c r="F2701" s="2"/>
    </row>
    <row r="2702" spans="6:6" x14ac:dyDescent="0.25">
      <c r="F2702" s="2"/>
    </row>
    <row r="2703" spans="6:6" x14ac:dyDescent="0.25">
      <c r="F2703" s="2"/>
    </row>
    <row r="2704" spans="6:6" x14ac:dyDescent="0.25">
      <c r="F2704" s="2"/>
    </row>
    <row r="2705" spans="6:6" x14ac:dyDescent="0.25">
      <c r="F2705" s="2"/>
    </row>
    <row r="2706" spans="6:6" x14ac:dyDescent="0.25">
      <c r="F2706" s="2"/>
    </row>
    <row r="2707" spans="6:6" x14ac:dyDescent="0.25">
      <c r="F2707" s="2"/>
    </row>
    <row r="2708" spans="6:6" x14ac:dyDescent="0.25">
      <c r="F2708" s="2"/>
    </row>
    <row r="2709" spans="6:6" x14ac:dyDescent="0.25">
      <c r="F2709" s="2"/>
    </row>
    <row r="2710" spans="6:6" x14ac:dyDescent="0.25">
      <c r="F2710" s="2"/>
    </row>
    <row r="2711" spans="6:6" x14ac:dyDescent="0.25">
      <c r="F2711" s="2"/>
    </row>
    <row r="2712" spans="6:6" x14ac:dyDescent="0.25">
      <c r="F2712" s="2"/>
    </row>
    <row r="2713" spans="6:6" x14ac:dyDescent="0.25">
      <c r="F2713" s="2"/>
    </row>
    <row r="2714" spans="6:6" x14ac:dyDescent="0.25">
      <c r="F2714" s="2"/>
    </row>
    <row r="2715" spans="6:6" x14ac:dyDescent="0.25">
      <c r="F2715" s="2"/>
    </row>
    <row r="2716" spans="6:6" x14ac:dyDescent="0.25">
      <c r="F2716" s="2"/>
    </row>
    <row r="2717" spans="6:6" x14ac:dyDescent="0.25">
      <c r="F2717" s="2"/>
    </row>
    <row r="2718" spans="6:6" x14ac:dyDescent="0.25">
      <c r="F2718" s="2"/>
    </row>
    <row r="2719" spans="6:6" x14ac:dyDescent="0.25">
      <c r="F2719" s="2"/>
    </row>
    <row r="2720" spans="6:6" x14ac:dyDescent="0.25">
      <c r="F2720" s="2"/>
    </row>
    <row r="2721" spans="6:6" x14ac:dyDescent="0.25">
      <c r="F2721" s="2"/>
    </row>
    <row r="2722" spans="6:6" x14ac:dyDescent="0.25">
      <c r="F2722" s="2"/>
    </row>
    <row r="2723" spans="6:6" x14ac:dyDescent="0.25">
      <c r="F2723" s="2"/>
    </row>
    <row r="2724" spans="6:6" x14ac:dyDescent="0.25">
      <c r="F2724" s="2"/>
    </row>
    <row r="2725" spans="6:6" x14ac:dyDescent="0.25">
      <c r="F2725" s="2"/>
    </row>
    <row r="2726" spans="6:6" x14ac:dyDescent="0.25">
      <c r="F2726" s="2"/>
    </row>
    <row r="2727" spans="6:6" x14ac:dyDescent="0.25">
      <c r="F2727" s="2"/>
    </row>
    <row r="2728" spans="6:6" x14ac:dyDescent="0.25">
      <c r="F2728" s="2"/>
    </row>
    <row r="2729" spans="6:6" x14ac:dyDescent="0.25">
      <c r="F2729" s="2"/>
    </row>
    <row r="2730" spans="6:6" x14ac:dyDescent="0.25">
      <c r="F2730" s="2"/>
    </row>
    <row r="2731" spans="6:6" x14ac:dyDescent="0.25">
      <c r="F2731" s="2"/>
    </row>
    <row r="2732" spans="6:6" x14ac:dyDescent="0.25">
      <c r="F2732" s="2"/>
    </row>
    <row r="2733" spans="6:6" x14ac:dyDescent="0.25">
      <c r="F2733" s="2"/>
    </row>
    <row r="2734" spans="6:6" x14ac:dyDescent="0.25">
      <c r="F2734" s="2"/>
    </row>
    <row r="2735" spans="6:6" x14ac:dyDescent="0.25">
      <c r="F2735" s="2"/>
    </row>
    <row r="2736" spans="6:6" x14ac:dyDescent="0.25">
      <c r="F2736" s="2"/>
    </row>
    <row r="2737" spans="6:6" x14ac:dyDescent="0.25">
      <c r="F2737" s="2"/>
    </row>
    <row r="2738" spans="6:6" x14ac:dyDescent="0.25">
      <c r="F2738" s="2"/>
    </row>
    <row r="2739" spans="6:6" x14ac:dyDescent="0.25">
      <c r="F2739" s="2"/>
    </row>
    <row r="2740" spans="6:6" x14ac:dyDescent="0.25">
      <c r="F2740" s="2"/>
    </row>
    <row r="2741" spans="6:6" x14ac:dyDescent="0.25">
      <c r="F2741" s="2"/>
    </row>
    <row r="2742" spans="6:6" x14ac:dyDescent="0.25">
      <c r="F2742" s="2"/>
    </row>
    <row r="2743" spans="6:6" x14ac:dyDescent="0.25">
      <c r="F2743" s="2"/>
    </row>
    <row r="2744" spans="6:6" x14ac:dyDescent="0.25">
      <c r="F2744" s="2"/>
    </row>
    <row r="2745" spans="6:6" x14ac:dyDescent="0.25">
      <c r="F2745" s="2"/>
    </row>
    <row r="2746" spans="6:6" x14ac:dyDescent="0.25">
      <c r="F2746" s="2"/>
    </row>
    <row r="2747" spans="6:6" x14ac:dyDescent="0.25">
      <c r="F2747" s="2"/>
    </row>
    <row r="2748" spans="6:6" x14ac:dyDescent="0.25">
      <c r="F2748" s="2"/>
    </row>
    <row r="2749" spans="6:6" x14ac:dyDescent="0.25">
      <c r="F2749" s="2"/>
    </row>
    <row r="2750" spans="6:6" x14ac:dyDescent="0.25">
      <c r="F2750" s="2"/>
    </row>
    <row r="2751" spans="6:6" x14ac:dyDescent="0.25">
      <c r="F2751" s="2"/>
    </row>
    <row r="2752" spans="6:6" x14ac:dyDescent="0.25">
      <c r="F2752" s="2"/>
    </row>
    <row r="2753" spans="6:6" x14ac:dyDescent="0.25">
      <c r="F2753" s="2"/>
    </row>
    <row r="2754" spans="6:6" x14ac:dyDescent="0.25">
      <c r="F2754" s="2"/>
    </row>
    <row r="2755" spans="6:6" x14ac:dyDescent="0.25">
      <c r="F2755" s="2"/>
    </row>
    <row r="2756" spans="6:6" x14ac:dyDescent="0.25">
      <c r="F2756" s="2"/>
    </row>
    <row r="2757" spans="6:6" x14ac:dyDescent="0.25">
      <c r="F2757" s="2"/>
    </row>
    <row r="2758" spans="6:6" x14ac:dyDescent="0.25">
      <c r="F2758" s="2"/>
    </row>
    <row r="2759" spans="6:6" x14ac:dyDescent="0.25">
      <c r="F2759" s="2"/>
    </row>
    <row r="2760" spans="6:6" x14ac:dyDescent="0.25">
      <c r="F2760" s="2"/>
    </row>
    <row r="2761" spans="6:6" x14ac:dyDescent="0.25">
      <c r="F2761" s="2"/>
    </row>
    <row r="2762" spans="6:6" x14ac:dyDescent="0.25">
      <c r="F2762" s="2"/>
    </row>
    <row r="2763" spans="6:6" x14ac:dyDescent="0.25">
      <c r="F2763" s="2"/>
    </row>
    <row r="2764" spans="6:6" x14ac:dyDescent="0.25">
      <c r="F2764" s="2"/>
    </row>
    <row r="2765" spans="6:6" x14ac:dyDescent="0.25">
      <c r="F2765" s="2"/>
    </row>
    <row r="2766" spans="6:6" x14ac:dyDescent="0.25">
      <c r="F2766" s="2"/>
    </row>
    <row r="2767" spans="6:6" x14ac:dyDescent="0.25">
      <c r="F2767" s="2"/>
    </row>
    <row r="2768" spans="6:6" x14ac:dyDescent="0.25">
      <c r="F2768" s="2"/>
    </row>
    <row r="2769" spans="6:6" x14ac:dyDescent="0.25">
      <c r="F2769" s="2"/>
    </row>
    <row r="2770" spans="6:6" x14ac:dyDescent="0.25">
      <c r="F2770" s="2"/>
    </row>
    <row r="2771" spans="6:6" x14ac:dyDescent="0.25">
      <c r="F2771" s="2"/>
    </row>
    <row r="2772" spans="6:6" x14ac:dyDescent="0.25">
      <c r="F2772" s="2"/>
    </row>
    <row r="2773" spans="6:6" x14ac:dyDescent="0.25">
      <c r="F2773" s="2"/>
    </row>
    <row r="2774" spans="6:6" x14ac:dyDescent="0.25">
      <c r="F2774" s="2"/>
    </row>
    <row r="2775" spans="6:6" x14ac:dyDescent="0.25">
      <c r="F2775" s="2"/>
    </row>
    <row r="2776" spans="6:6" x14ac:dyDescent="0.25">
      <c r="F2776" s="2"/>
    </row>
    <row r="2777" spans="6:6" x14ac:dyDescent="0.25">
      <c r="F2777" s="2"/>
    </row>
    <row r="2778" spans="6:6" x14ac:dyDescent="0.25">
      <c r="F2778" s="2"/>
    </row>
    <row r="2779" spans="6:6" x14ac:dyDescent="0.25">
      <c r="F2779" s="2"/>
    </row>
    <row r="2780" spans="6:6" x14ac:dyDescent="0.25">
      <c r="F2780" s="2"/>
    </row>
    <row r="2781" spans="6:6" x14ac:dyDescent="0.25">
      <c r="F2781" s="2"/>
    </row>
    <row r="2782" spans="6:6" x14ac:dyDescent="0.25">
      <c r="F2782" s="2"/>
    </row>
    <row r="2783" spans="6:6" x14ac:dyDescent="0.25">
      <c r="F2783" s="2"/>
    </row>
    <row r="2784" spans="6:6" x14ac:dyDescent="0.25">
      <c r="F2784" s="2"/>
    </row>
    <row r="2785" spans="6:6" x14ac:dyDescent="0.25">
      <c r="F2785" s="2"/>
    </row>
    <row r="2786" spans="6:6" x14ac:dyDescent="0.25">
      <c r="F2786" s="2"/>
    </row>
    <row r="2787" spans="6:6" x14ac:dyDescent="0.25">
      <c r="F2787" s="2"/>
    </row>
    <row r="2788" spans="6:6" x14ac:dyDescent="0.25">
      <c r="F2788" s="2"/>
    </row>
    <row r="2789" spans="6:6" x14ac:dyDescent="0.25">
      <c r="F2789" s="2"/>
    </row>
    <row r="2790" spans="6:6" x14ac:dyDescent="0.25">
      <c r="F2790" s="2"/>
    </row>
    <row r="2791" spans="6:6" x14ac:dyDescent="0.25">
      <c r="F2791" s="2"/>
    </row>
    <row r="2792" spans="6:6" x14ac:dyDescent="0.25">
      <c r="F2792" s="2"/>
    </row>
    <row r="2793" spans="6:6" x14ac:dyDescent="0.25">
      <c r="F2793" s="2"/>
    </row>
    <row r="2794" spans="6:6" x14ac:dyDescent="0.25">
      <c r="F2794" s="2"/>
    </row>
    <row r="2795" spans="6:6" x14ac:dyDescent="0.25">
      <c r="F2795" s="2"/>
    </row>
    <row r="2796" spans="6:6" x14ac:dyDescent="0.25">
      <c r="F2796" s="2"/>
    </row>
    <row r="2797" spans="6:6" x14ac:dyDescent="0.25">
      <c r="F2797" s="2"/>
    </row>
    <row r="2798" spans="6:6" x14ac:dyDescent="0.25">
      <c r="F2798" s="2"/>
    </row>
    <row r="2799" spans="6:6" x14ac:dyDescent="0.25">
      <c r="F2799" s="2"/>
    </row>
    <row r="2800" spans="6:6" x14ac:dyDescent="0.25">
      <c r="F2800" s="2"/>
    </row>
    <row r="2801" spans="6:6" x14ac:dyDescent="0.25">
      <c r="F2801" s="2"/>
    </row>
    <row r="2802" spans="6:6" x14ac:dyDescent="0.25">
      <c r="F2802" s="2"/>
    </row>
    <row r="2803" spans="6:6" x14ac:dyDescent="0.25">
      <c r="F2803" s="2"/>
    </row>
    <row r="2804" spans="6:6" x14ac:dyDescent="0.25">
      <c r="F2804" s="2"/>
    </row>
    <row r="2805" spans="6:6" x14ac:dyDescent="0.25">
      <c r="F2805" s="2"/>
    </row>
    <row r="2806" spans="6:6" x14ac:dyDescent="0.25">
      <c r="F2806" s="2"/>
    </row>
    <row r="2807" spans="6:6" x14ac:dyDescent="0.25">
      <c r="F2807" s="2"/>
    </row>
    <row r="2808" spans="6:6" x14ac:dyDescent="0.25">
      <c r="F2808" s="2"/>
    </row>
    <row r="2809" spans="6:6" x14ac:dyDescent="0.25">
      <c r="F2809" s="2"/>
    </row>
    <row r="2810" spans="6:6" x14ac:dyDescent="0.25">
      <c r="F2810" s="2"/>
    </row>
    <row r="2811" spans="6:6" x14ac:dyDescent="0.25">
      <c r="F2811" s="2"/>
    </row>
    <row r="2812" spans="6:6" x14ac:dyDescent="0.25">
      <c r="F2812" s="2"/>
    </row>
    <row r="2813" spans="6:6" x14ac:dyDescent="0.25">
      <c r="F2813" s="2"/>
    </row>
    <row r="2814" spans="6:6" x14ac:dyDescent="0.25">
      <c r="F2814" s="2"/>
    </row>
    <row r="2815" spans="6:6" x14ac:dyDescent="0.25">
      <c r="F2815" s="2"/>
    </row>
    <row r="2816" spans="6:6" x14ac:dyDescent="0.25">
      <c r="F2816" s="2"/>
    </row>
    <row r="2817" spans="6:6" x14ac:dyDescent="0.25">
      <c r="F2817" s="2"/>
    </row>
    <row r="2818" spans="6:6" x14ac:dyDescent="0.25">
      <c r="F2818" s="2"/>
    </row>
    <row r="2819" spans="6:6" x14ac:dyDescent="0.25">
      <c r="F2819" s="2"/>
    </row>
    <row r="2820" spans="6:6" x14ac:dyDescent="0.25">
      <c r="F2820" s="2"/>
    </row>
    <row r="2821" spans="6:6" x14ac:dyDescent="0.25">
      <c r="F2821" s="2"/>
    </row>
    <row r="2822" spans="6:6" x14ac:dyDescent="0.25">
      <c r="F2822" s="2"/>
    </row>
    <row r="2823" spans="6:6" x14ac:dyDescent="0.25">
      <c r="F2823" s="2"/>
    </row>
    <row r="2824" spans="6:6" x14ac:dyDescent="0.25">
      <c r="F2824" s="2"/>
    </row>
    <row r="2825" spans="6:6" x14ac:dyDescent="0.25">
      <c r="F2825" s="2"/>
    </row>
    <row r="2826" spans="6:6" x14ac:dyDescent="0.25">
      <c r="F2826" s="2"/>
    </row>
    <row r="2827" spans="6:6" x14ac:dyDescent="0.25">
      <c r="F2827" s="2"/>
    </row>
    <row r="2828" spans="6:6" x14ac:dyDescent="0.25">
      <c r="F2828" s="2"/>
    </row>
    <row r="2829" spans="6:6" x14ac:dyDescent="0.25">
      <c r="F2829" s="2"/>
    </row>
    <row r="2830" spans="6:6" x14ac:dyDescent="0.25">
      <c r="F2830" s="2"/>
    </row>
    <row r="2831" spans="6:6" x14ac:dyDescent="0.25">
      <c r="F2831" s="2"/>
    </row>
    <row r="2832" spans="6:6" x14ac:dyDescent="0.25">
      <c r="F2832" s="2"/>
    </row>
    <row r="2833" spans="6:6" x14ac:dyDescent="0.25">
      <c r="F2833" s="2"/>
    </row>
    <row r="2834" spans="6:6" x14ac:dyDescent="0.25">
      <c r="F2834" s="2"/>
    </row>
    <row r="2835" spans="6:6" x14ac:dyDescent="0.25">
      <c r="F2835" s="2"/>
    </row>
    <row r="2836" spans="6:6" x14ac:dyDescent="0.25">
      <c r="F2836" s="2"/>
    </row>
    <row r="2837" spans="6:6" x14ac:dyDescent="0.25">
      <c r="F2837" s="2"/>
    </row>
    <row r="2838" spans="6:6" x14ac:dyDescent="0.25">
      <c r="F2838" s="2"/>
    </row>
    <row r="2839" spans="6:6" x14ac:dyDescent="0.25">
      <c r="F2839" s="2"/>
    </row>
    <row r="2840" spans="6:6" x14ac:dyDescent="0.25">
      <c r="F2840" s="2"/>
    </row>
    <row r="2841" spans="6:6" x14ac:dyDescent="0.25">
      <c r="F2841" s="2"/>
    </row>
    <row r="2842" spans="6:6" x14ac:dyDescent="0.25">
      <c r="F2842" s="2"/>
    </row>
    <row r="2843" spans="6:6" x14ac:dyDescent="0.25">
      <c r="F2843" s="2"/>
    </row>
    <row r="2844" spans="6:6" x14ac:dyDescent="0.25">
      <c r="F2844" s="2"/>
    </row>
    <row r="2845" spans="6:6" x14ac:dyDescent="0.25">
      <c r="F2845" s="2"/>
    </row>
    <row r="2846" spans="6:6" x14ac:dyDescent="0.25">
      <c r="F2846" s="2"/>
    </row>
    <row r="2847" spans="6:6" x14ac:dyDescent="0.25">
      <c r="F2847" s="2"/>
    </row>
    <row r="2848" spans="6:6" x14ac:dyDescent="0.25">
      <c r="F2848" s="2"/>
    </row>
    <row r="2849" spans="6:6" x14ac:dyDescent="0.25">
      <c r="F2849" s="2"/>
    </row>
    <row r="2850" spans="6:6" x14ac:dyDescent="0.25">
      <c r="F2850" s="2"/>
    </row>
    <row r="2851" spans="6:6" x14ac:dyDescent="0.25">
      <c r="F2851" s="2"/>
    </row>
    <row r="2852" spans="6:6" x14ac:dyDescent="0.25">
      <c r="F2852" s="2"/>
    </row>
    <row r="2853" spans="6:6" x14ac:dyDescent="0.25">
      <c r="F2853" s="2"/>
    </row>
    <row r="2854" spans="6:6" x14ac:dyDescent="0.25">
      <c r="F2854" s="2"/>
    </row>
    <row r="2855" spans="6:6" x14ac:dyDescent="0.25">
      <c r="F2855" s="2"/>
    </row>
    <row r="2856" spans="6:6" x14ac:dyDescent="0.25">
      <c r="F2856" s="2"/>
    </row>
    <row r="2857" spans="6:6" x14ac:dyDescent="0.25">
      <c r="F2857" s="2"/>
    </row>
    <row r="2858" spans="6:6" x14ac:dyDescent="0.25">
      <c r="F2858" s="2"/>
    </row>
    <row r="2859" spans="6:6" x14ac:dyDescent="0.25">
      <c r="F2859" s="2"/>
    </row>
    <row r="2860" spans="6:6" x14ac:dyDescent="0.25">
      <c r="F2860" s="2"/>
    </row>
    <row r="2861" spans="6:6" x14ac:dyDescent="0.25">
      <c r="F2861" s="2"/>
    </row>
    <row r="2862" spans="6:6" x14ac:dyDescent="0.25">
      <c r="F2862" s="2"/>
    </row>
    <row r="2863" spans="6:6" x14ac:dyDescent="0.25">
      <c r="F2863" s="2"/>
    </row>
    <row r="2864" spans="6:6" x14ac:dyDescent="0.25">
      <c r="F2864" s="2"/>
    </row>
    <row r="2865" spans="6:6" x14ac:dyDescent="0.25">
      <c r="F2865" s="2"/>
    </row>
    <row r="2866" spans="6:6" x14ac:dyDescent="0.25">
      <c r="F2866" s="2"/>
    </row>
    <row r="2867" spans="6:6" x14ac:dyDescent="0.25">
      <c r="F2867" s="2"/>
    </row>
    <row r="2868" spans="6:6" x14ac:dyDescent="0.25">
      <c r="F2868" s="2"/>
    </row>
    <row r="2869" spans="6:6" x14ac:dyDescent="0.25">
      <c r="F2869" s="2"/>
    </row>
    <row r="2870" spans="6:6" x14ac:dyDescent="0.25">
      <c r="F2870" s="2"/>
    </row>
    <row r="2871" spans="6:6" x14ac:dyDescent="0.25">
      <c r="F2871" s="2"/>
    </row>
    <row r="2872" spans="6:6" x14ac:dyDescent="0.25">
      <c r="F2872" s="2"/>
    </row>
    <row r="2873" spans="6:6" x14ac:dyDescent="0.25">
      <c r="F2873" s="2"/>
    </row>
    <row r="2874" spans="6:6" x14ac:dyDescent="0.25">
      <c r="F2874" s="2"/>
    </row>
    <row r="2875" spans="6:6" x14ac:dyDescent="0.25">
      <c r="F2875" s="2"/>
    </row>
    <row r="2876" spans="6:6" x14ac:dyDescent="0.25">
      <c r="F2876" s="2"/>
    </row>
    <row r="2877" spans="6:6" x14ac:dyDescent="0.25">
      <c r="F2877" s="2"/>
    </row>
    <row r="2878" spans="6:6" x14ac:dyDescent="0.25">
      <c r="F2878" s="2"/>
    </row>
    <row r="2879" spans="6:6" x14ac:dyDescent="0.25">
      <c r="F2879" s="2"/>
    </row>
    <row r="2880" spans="6:6" x14ac:dyDescent="0.25">
      <c r="F2880" s="2"/>
    </row>
    <row r="2881" spans="6:6" x14ac:dyDescent="0.25">
      <c r="F2881" s="2"/>
    </row>
    <row r="2882" spans="6:6" x14ac:dyDescent="0.25">
      <c r="F2882" s="2"/>
    </row>
    <row r="2883" spans="6:6" x14ac:dyDescent="0.25">
      <c r="F2883" s="2"/>
    </row>
    <row r="2884" spans="6:6" x14ac:dyDescent="0.25">
      <c r="F2884" s="2"/>
    </row>
    <row r="2885" spans="6:6" x14ac:dyDescent="0.25">
      <c r="F2885" s="2"/>
    </row>
    <row r="2886" spans="6:6" x14ac:dyDescent="0.25">
      <c r="F2886" s="2"/>
    </row>
    <row r="2887" spans="6:6" x14ac:dyDescent="0.25">
      <c r="F2887" s="2"/>
    </row>
    <row r="2888" spans="6:6" x14ac:dyDescent="0.25">
      <c r="F2888" s="2"/>
    </row>
    <row r="2889" spans="6:6" x14ac:dyDescent="0.25">
      <c r="F2889" s="2"/>
    </row>
    <row r="2890" spans="6:6" x14ac:dyDescent="0.25">
      <c r="F2890" s="2"/>
    </row>
    <row r="2891" spans="6:6" x14ac:dyDescent="0.25">
      <c r="F2891" s="2"/>
    </row>
    <row r="2892" spans="6:6" x14ac:dyDescent="0.25">
      <c r="F2892" s="2"/>
    </row>
    <row r="2893" spans="6:6" x14ac:dyDescent="0.25">
      <c r="F2893" s="2"/>
    </row>
    <row r="2894" spans="6:6" x14ac:dyDescent="0.25">
      <c r="F2894" s="2"/>
    </row>
    <row r="2895" spans="6:6" x14ac:dyDescent="0.25">
      <c r="F2895" s="2"/>
    </row>
    <row r="2896" spans="6:6" x14ac:dyDescent="0.25">
      <c r="F2896" s="2"/>
    </row>
    <row r="2897" spans="6:6" x14ac:dyDescent="0.25">
      <c r="F2897" s="2"/>
    </row>
    <row r="2898" spans="6:6" x14ac:dyDescent="0.25">
      <c r="F2898" s="2"/>
    </row>
    <row r="2899" spans="6:6" x14ac:dyDescent="0.25">
      <c r="F2899" s="2"/>
    </row>
    <row r="2900" spans="6:6" x14ac:dyDescent="0.25">
      <c r="F2900" s="2"/>
    </row>
    <row r="2901" spans="6:6" x14ac:dyDescent="0.25">
      <c r="F2901" s="2"/>
    </row>
    <row r="2902" spans="6:6" x14ac:dyDescent="0.25">
      <c r="F2902" s="2"/>
    </row>
    <row r="2903" spans="6:6" x14ac:dyDescent="0.25">
      <c r="F2903" s="2"/>
    </row>
    <row r="2904" spans="6:6" x14ac:dyDescent="0.25">
      <c r="F2904" s="2"/>
    </row>
    <row r="2905" spans="6:6" x14ac:dyDescent="0.25">
      <c r="F2905" s="2"/>
    </row>
    <row r="2906" spans="6:6" x14ac:dyDescent="0.25">
      <c r="F2906" s="2"/>
    </row>
    <row r="2907" spans="6:6" x14ac:dyDescent="0.25">
      <c r="F2907" s="2"/>
    </row>
    <row r="2908" spans="6:6" x14ac:dyDescent="0.25">
      <c r="F2908" s="2"/>
    </row>
    <row r="2909" spans="6:6" x14ac:dyDescent="0.25">
      <c r="F2909" s="2"/>
    </row>
    <row r="2910" spans="6:6" x14ac:dyDescent="0.25">
      <c r="F2910" s="2"/>
    </row>
    <row r="2911" spans="6:6" x14ac:dyDescent="0.25">
      <c r="F2911" s="2"/>
    </row>
    <row r="2912" spans="6:6" x14ac:dyDescent="0.25">
      <c r="F2912" s="2"/>
    </row>
    <row r="2913" spans="6:6" x14ac:dyDescent="0.25">
      <c r="F2913" s="2"/>
    </row>
    <row r="2914" spans="6:6" x14ac:dyDescent="0.25">
      <c r="F2914" s="2"/>
    </row>
    <row r="2915" spans="6:6" x14ac:dyDescent="0.25">
      <c r="F2915" s="2"/>
    </row>
    <row r="2916" spans="6:6" x14ac:dyDescent="0.25">
      <c r="F2916" s="2"/>
    </row>
    <row r="2917" spans="6:6" x14ac:dyDescent="0.25">
      <c r="F2917" s="2"/>
    </row>
    <row r="2918" spans="6:6" x14ac:dyDescent="0.25">
      <c r="F2918" s="2"/>
    </row>
    <row r="2919" spans="6:6" x14ac:dyDescent="0.25">
      <c r="F2919" s="2"/>
    </row>
    <row r="2920" spans="6:6" x14ac:dyDescent="0.25">
      <c r="F2920" s="2"/>
    </row>
    <row r="2921" spans="6:6" x14ac:dyDescent="0.25">
      <c r="F2921" s="2"/>
    </row>
    <row r="2922" spans="6:6" x14ac:dyDescent="0.25">
      <c r="F2922" s="2"/>
    </row>
    <row r="2923" spans="6:6" x14ac:dyDescent="0.25">
      <c r="F2923" s="2"/>
    </row>
    <row r="2924" spans="6:6" x14ac:dyDescent="0.25">
      <c r="F2924" s="2"/>
    </row>
    <row r="2925" spans="6:6" x14ac:dyDescent="0.25">
      <c r="F2925" s="2"/>
    </row>
    <row r="2926" spans="6:6" x14ac:dyDescent="0.25">
      <c r="F2926" s="2"/>
    </row>
    <row r="2927" spans="6:6" x14ac:dyDescent="0.25">
      <c r="F2927" s="2"/>
    </row>
    <row r="2928" spans="6:6" x14ac:dyDescent="0.25">
      <c r="F2928" s="2"/>
    </row>
    <row r="2929" spans="6:6" x14ac:dyDescent="0.25">
      <c r="F2929" s="2"/>
    </row>
    <row r="2930" spans="6:6" x14ac:dyDescent="0.25">
      <c r="F2930" s="2"/>
    </row>
    <row r="2931" spans="6:6" x14ac:dyDescent="0.25">
      <c r="F2931" s="2"/>
    </row>
    <row r="2932" spans="6:6" x14ac:dyDescent="0.25">
      <c r="F2932" s="2"/>
    </row>
    <row r="2933" spans="6:6" x14ac:dyDescent="0.25">
      <c r="F2933" s="2"/>
    </row>
    <row r="2934" spans="6:6" x14ac:dyDescent="0.25">
      <c r="F2934" s="2"/>
    </row>
    <row r="2935" spans="6:6" x14ac:dyDescent="0.25">
      <c r="F2935" s="2"/>
    </row>
    <row r="2936" spans="6:6" x14ac:dyDescent="0.25">
      <c r="F2936" s="2"/>
    </row>
    <row r="2937" spans="6:6" x14ac:dyDescent="0.25">
      <c r="F2937" s="2"/>
    </row>
    <row r="2938" spans="6:6" x14ac:dyDescent="0.25">
      <c r="F2938" s="2"/>
    </row>
    <row r="2939" spans="6:6" x14ac:dyDescent="0.25">
      <c r="F2939" s="2"/>
    </row>
    <row r="2940" spans="6:6" x14ac:dyDescent="0.25">
      <c r="F2940" s="2"/>
    </row>
    <row r="2941" spans="6:6" x14ac:dyDescent="0.25">
      <c r="F2941" s="2"/>
    </row>
    <row r="2942" spans="6:6" x14ac:dyDescent="0.25">
      <c r="F2942" s="2"/>
    </row>
    <row r="2943" spans="6:6" x14ac:dyDescent="0.25">
      <c r="F2943" s="2"/>
    </row>
    <row r="2944" spans="6:6" x14ac:dyDescent="0.25">
      <c r="F2944" s="2"/>
    </row>
    <row r="2945" spans="6:6" x14ac:dyDescent="0.25">
      <c r="F2945" s="2"/>
    </row>
    <row r="2946" spans="6:6" x14ac:dyDescent="0.25">
      <c r="F2946" s="2"/>
    </row>
    <row r="2947" spans="6:6" x14ac:dyDescent="0.25">
      <c r="F2947" s="2"/>
    </row>
    <row r="2948" spans="6:6" x14ac:dyDescent="0.25">
      <c r="F2948" s="2"/>
    </row>
    <row r="2949" spans="6:6" x14ac:dyDescent="0.25">
      <c r="F2949" s="2"/>
    </row>
    <row r="2950" spans="6:6" x14ac:dyDescent="0.25">
      <c r="F2950" s="2"/>
    </row>
    <row r="2951" spans="6:6" x14ac:dyDescent="0.25">
      <c r="F2951" s="2"/>
    </row>
    <row r="2952" spans="6:6" x14ac:dyDescent="0.25">
      <c r="F2952" s="2"/>
    </row>
    <row r="2953" spans="6:6" x14ac:dyDescent="0.25">
      <c r="F2953" s="2"/>
    </row>
    <row r="2954" spans="6:6" x14ac:dyDescent="0.25">
      <c r="F2954" s="2"/>
    </row>
    <row r="2955" spans="6:6" x14ac:dyDescent="0.25">
      <c r="F2955" s="2"/>
    </row>
    <row r="2956" spans="6:6" x14ac:dyDescent="0.25">
      <c r="F2956" s="2"/>
    </row>
    <row r="2957" spans="6:6" x14ac:dyDescent="0.25">
      <c r="F2957" s="2"/>
    </row>
    <row r="2958" spans="6:6" x14ac:dyDescent="0.25">
      <c r="F2958" s="2"/>
    </row>
    <row r="2959" spans="6:6" x14ac:dyDescent="0.25">
      <c r="F2959" s="2"/>
    </row>
    <row r="2960" spans="6:6" x14ac:dyDescent="0.25">
      <c r="F2960" s="2"/>
    </row>
    <row r="2961" spans="6:6" x14ac:dyDescent="0.25">
      <c r="F2961" s="2"/>
    </row>
    <row r="2962" spans="6:6" x14ac:dyDescent="0.25">
      <c r="F2962" s="2"/>
    </row>
    <row r="2963" spans="6:6" x14ac:dyDescent="0.25">
      <c r="F2963" s="2"/>
    </row>
    <row r="2964" spans="6:6" x14ac:dyDescent="0.25">
      <c r="F2964" s="2"/>
    </row>
    <row r="2965" spans="6:6" x14ac:dyDescent="0.25">
      <c r="F2965" s="2"/>
    </row>
    <row r="2966" spans="6:6" x14ac:dyDescent="0.25">
      <c r="F2966" s="2"/>
    </row>
    <row r="2967" spans="6:6" x14ac:dyDescent="0.25">
      <c r="F2967" s="2"/>
    </row>
    <row r="2968" spans="6:6" x14ac:dyDescent="0.25">
      <c r="F2968" s="2"/>
    </row>
    <row r="2969" spans="6:6" x14ac:dyDescent="0.25">
      <c r="F2969" s="2"/>
    </row>
    <row r="2970" spans="6:6" x14ac:dyDescent="0.25">
      <c r="F2970" s="2"/>
    </row>
    <row r="2971" spans="6:6" x14ac:dyDescent="0.25">
      <c r="F2971" s="2"/>
    </row>
    <row r="2972" spans="6:6" x14ac:dyDescent="0.25">
      <c r="F2972" s="2"/>
    </row>
    <row r="2973" spans="6:6" x14ac:dyDescent="0.25">
      <c r="F2973" s="2"/>
    </row>
    <row r="2974" spans="6:6" x14ac:dyDescent="0.25">
      <c r="F2974" s="2"/>
    </row>
    <row r="2975" spans="6:6" x14ac:dyDescent="0.25">
      <c r="F2975" s="2"/>
    </row>
    <row r="2976" spans="6:6" x14ac:dyDescent="0.25">
      <c r="F2976" s="2"/>
    </row>
    <row r="2977" spans="6:6" x14ac:dyDescent="0.25">
      <c r="F2977" s="2"/>
    </row>
    <row r="2978" spans="6:6" x14ac:dyDescent="0.25">
      <c r="F2978" s="2"/>
    </row>
    <row r="2979" spans="6:6" x14ac:dyDescent="0.25">
      <c r="F2979" s="2"/>
    </row>
    <row r="2980" spans="6:6" x14ac:dyDescent="0.25">
      <c r="F2980" s="2"/>
    </row>
    <row r="2981" spans="6:6" x14ac:dyDescent="0.25">
      <c r="F2981" s="2"/>
    </row>
    <row r="2982" spans="6:6" x14ac:dyDescent="0.25">
      <c r="F2982" s="2"/>
    </row>
    <row r="2983" spans="6:6" x14ac:dyDescent="0.25">
      <c r="F2983" s="2"/>
    </row>
    <row r="2984" spans="6:6" x14ac:dyDescent="0.25">
      <c r="F2984" s="2"/>
    </row>
    <row r="2985" spans="6:6" x14ac:dyDescent="0.25">
      <c r="F2985" s="2"/>
    </row>
    <row r="2986" spans="6:6" x14ac:dyDescent="0.25">
      <c r="F2986" s="2"/>
    </row>
    <row r="2987" spans="6:6" x14ac:dyDescent="0.25">
      <c r="F2987" s="2"/>
    </row>
    <row r="2988" spans="6:6" x14ac:dyDescent="0.25">
      <c r="F2988" s="2"/>
    </row>
    <row r="2989" spans="6:6" x14ac:dyDescent="0.25">
      <c r="F2989" s="2"/>
    </row>
    <row r="2990" spans="6:6" x14ac:dyDescent="0.25">
      <c r="F2990" s="2"/>
    </row>
    <row r="2991" spans="6:6" x14ac:dyDescent="0.25">
      <c r="F2991" s="2"/>
    </row>
    <row r="2992" spans="6:6" x14ac:dyDescent="0.25">
      <c r="F2992" s="2"/>
    </row>
    <row r="2993" spans="6:6" x14ac:dyDescent="0.25">
      <c r="F2993" s="2"/>
    </row>
    <row r="2994" spans="6:6" x14ac:dyDescent="0.25">
      <c r="F2994" s="2"/>
    </row>
    <row r="2995" spans="6:6" x14ac:dyDescent="0.25">
      <c r="F2995" s="2"/>
    </row>
    <row r="2996" spans="6:6" x14ac:dyDescent="0.25">
      <c r="F2996" s="2"/>
    </row>
    <row r="2997" spans="6:6" x14ac:dyDescent="0.25">
      <c r="F2997" s="2"/>
    </row>
    <row r="2998" spans="6:6" x14ac:dyDescent="0.25">
      <c r="F2998" s="2"/>
    </row>
    <row r="2999" spans="6:6" x14ac:dyDescent="0.25">
      <c r="F2999" s="2"/>
    </row>
    <row r="3000" spans="6:6" x14ac:dyDescent="0.25">
      <c r="F3000" s="2"/>
    </row>
    <row r="3001" spans="6:6" x14ac:dyDescent="0.25">
      <c r="F3001" s="2"/>
    </row>
    <row r="3002" spans="6:6" x14ac:dyDescent="0.25">
      <c r="F3002" s="2"/>
    </row>
    <row r="3003" spans="6:6" x14ac:dyDescent="0.25">
      <c r="F3003" s="2"/>
    </row>
    <row r="3004" spans="6:6" x14ac:dyDescent="0.25">
      <c r="F3004" s="2"/>
    </row>
    <row r="3005" spans="6:6" x14ac:dyDescent="0.25">
      <c r="F3005" s="2"/>
    </row>
    <row r="3006" spans="6:6" x14ac:dyDescent="0.25">
      <c r="F3006" s="2"/>
    </row>
    <row r="3007" spans="6:6" x14ac:dyDescent="0.25">
      <c r="F3007" s="2"/>
    </row>
    <row r="3008" spans="6:6" x14ac:dyDescent="0.25">
      <c r="F3008" s="2"/>
    </row>
    <row r="3009" spans="6:6" x14ac:dyDescent="0.25">
      <c r="F3009" s="2"/>
    </row>
    <row r="3010" spans="6:6" x14ac:dyDescent="0.25">
      <c r="F3010" s="2"/>
    </row>
    <row r="3011" spans="6:6" x14ac:dyDescent="0.25">
      <c r="F3011" s="2"/>
    </row>
    <row r="3012" spans="6:6" x14ac:dyDescent="0.25">
      <c r="F3012" s="2"/>
    </row>
    <row r="3013" spans="6:6" x14ac:dyDescent="0.25">
      <c r="F3013" s="2"/>
    </row>
    <row r="3014" spans="6:6" x14ac:dyDescent="0.25">
      <c r="F3014" s="2"/>
    </row>
    <row r="3015" spans="6:6" x14ac:dyDescent="0.25">
      <c r="F3015" s="2"/>
    </row>
    <row r="3016" spans="6:6" x14ac:dyDescent="0.25">
      <c r="F3016" s="2"/>
    </row>
    <row r="3017" spans="6:6" x14ac:dyDescent="0.25">
      <c r="F3017" s="2"/>
    </row>
    <row r="3018" spans="6:6" x14ac:dyDescent="0.25">
      <c r="F3018" s="2"/>
    </row>
    <row r="3019" spans="6:6" x14ac:dyDescent="0.25">
      <c r="F3019" s="2"/>
    </row>
    <row r="3020" spans="6:6" x14ac:dyDescent="0.25">
      <c r="F3020" s="2"/>
    </row>
    <row r="3021" spans="6:6" x14ac:dyDescent="0.25">
      <c r="F3021" s="2"/>
    </row>
    <row r="3022" spans="6:6" x14ac:dyDescent="0.25">
      <c r="F3022" s="2"/>
    </row>
    <row r="3023" spans="6:6" x14ac:dyDescent="0.25">
      <c r="F3023" s="2"/>
    </row>
    <row r="3024" spans="6:6" x14ac:dyDescent="0.25">
      <c r="F3024" s="2"/>
    </row>
    <row r="3025" spans="6:6" x14ac:dyDescent="0.25">
      <c r="F3025" s="2"/>
    </row>
    <row r="3026" spans="6:6" x14ac:dyDescent="0.25">
      <c r="F3026" s="2"/>
    </row>
    <row r="3027" spans="6:6" x14ac:dyDescent="0.25">
      <c r="F3027" s="2"/>
    </row>
    <row r="3028" spans="6:6" x14ac:dyDescent="0.25">
      <c r="F3028" s="2"/>
    </row>
    <row r="3029" spans="6:6" x14ac:dyDescent="0.25">
      <c r="F3029" s="2"/>
    </row>
    <row r="3030" spans="6:6" x14ac:dyDescent="0.25">
      <c r="F3030" s="2"/>
    </row>
    <row r="3031" spans="6:6" x14ac:dyDescent="0.25">
      <c r="F3031" s="2"/>
    </row>
    <row r="3032" spans="6:6" x14ac:dyDescent="0.25">
      <c r="F3032" s="2"/>
    </row>
    <row r="3033" spans="6:6" x14ac:dyDescent="0.25">
      <c r="F3033" s="2"/>
    </row>
    <row r="3034" spans="6:6" x14ac:dyDescent="0.25">
      <c r="F3034" s="2"/>
    </row>
    <row r="3035" spans="6:6" x14ac:dyDescent="0.25">
      <c r="F3035" s="2"/>
    </row>
    <row r="3036" spans="6:6" x14ac:dyDescent="0.25">
      <c r="F3036" s="2"/>
    </row>
    <row r="3037" spans="6:6" x14ac:dyDescent="0.25">
      <c r="F3037" s="2"/>
    </row>
    <row r="3038" spans="6:6" x14ac:dyDescent="0.25">
      <c r="F3038" s="2"/>
    </row>
    <row r="3039" spans="6:6" x14ac:dyDescent="0.25">
      <c r="F3039" s="2"/>
    </row>
    <row r="3040" spans="6:6" x14ac:dyDescent="0.25">
      <c r="F3040" s="2"/>
    </row>
    <row r="3041" spans="6:6" x14ac:dyDescent="0.25">
      <c r="F3041" s="2"/>
    </row>
    <row r="3042" spans="6:6" x14ac:dyDescent="0.25">
      <c r="F3042" s="2"/>
    </row>
    <row r="3043" spans="6:6" x14ac:dyDescent="0.25">
      <c r="F3043" s="2"/>
    </row>
    <row r="3044" spans="6:6" x14ac:dyDescent="0.25">
      <c r="F3044" s="2"/>
    </row>
    <row r="3045" spans="6:6" x14ac:dyDescent="0.25">
      <c r="F3045" s="2"/>
    </row>
    <row r="3046" spans="6:6" x14ac:dyDescent="0.25">
      <c r="F3046" s="2"/>
    </row>
    <row r="3047" spans="6:6" x14ac:dyDescent="0.25">
      <c r="F3047" s="2"/>
    </row>
    <row r="3048" spans="6:6" x14ac:dyDescent="0.25">
      <c r="F3048" s="2"/>
    </row>
    <row r="3049" spans="6:6" x14ac:dyDescent="0.25">
      <c r="F3049" s="2"/>
    </row>
    <row r="3050" spans="6:6" x14ac:dyDescent="0.25">
      <c r="F3050" s="2"/>
    </row>
    <row r="3051" spans="6:6" x14ac:dyDescent="0.25">
      <c r="F3051" s="2"/>
    </row>
    <row r="3052" spans="6:6" x14ac:dyDescent="0.25">
      <c r="F3052" s="2"/>
    </row>
    <row r="3053" spans="6:6" x14ac:dyDescent="0.25">
      <c r="F3053" s="2"/>
    </row>
    <row r="3054" spans="6:6" x14ac:dyDescent="0.25">
      <c r="F3054" s="2"/>
    </row>
    <row r="3055" spans="6:6" x14ac:dyDescent="0.25">
      <c r="F3055" s="2"/>
    </row>
    <row r="3056" spans="6:6" x14ac:dyDescent="0.25">
      <c r="F3056" s="2"/>
    </row>
    <row r="3057" spans="6:6" x14ac:dyDescent="0.25">
      <c r="F3057" s="2"/>
    </row>
    <row r="3058" spans="6:6" x14ac:dyDescent="0.25">
      <c r="F3058" s="2"/>
    </row>
    <row r="3059" spans="6:6" x14ac:dyDescent="0.25">
      <c r="F3059" s="2"/>
    </row>
    <row r="3060" spans="6:6" x14ac:dyDescent="0.25">
      <c r="F3060" s="2"/>
    </row>
    <row r="3061" spans="6:6" x14ac:dyDescent="0.25">
      <c r="F3061" s="2"/>
    </row>
    <row r="3062" spans="6:6" x14ac:dyDescent="0.25">
      <c r="F3062" s="2"/>
    </row>
    <row r="3063" spans="6:6" x14ac:dyDescent="0.25">
      <c r="F3063" s="2"/>
    </row>
    <row r="3064" spans="6:6" x14ac:dyDescent="0.25">
      <c r="F3064" s="2"/>
    </row>
    <row r="3065" spans="6:6" x14ac:dyDescent="0.25">
      <c r="F3065" s="2"/>
    </row>
    <row r="3066" spans="6:6" x14ac:dyDescent="0.25">
      <c r="F3066" s="2"/>
    </row>
    <row r="3067" spans="6:6" x14ac:dyDescent="0.25">
      <c r="F3067" s="2"/>
    </row>
    <row r="3068" spans="6:6" x14ac:dyDescent="0.25">
      <c r="F3068" s="2"/>
    </row>
    <row r="3069" spans="6:6" x14ac:dyDescent="0.25">
      <c r="F3069" s="2"/>
    </row>
    <row r="3070" spans="6:6" x14ac:dyDescent="0.25">
      <c r="F3070" s="2"/>
    </row>
    <row r="3071" spans="6:6" x14ac:dyDescent="0.25">
      <c r="F3071" s="2"/>
    </row>
    <row r="3072" spans="6:6" x14ac:dyDescent="0.25">
      <c r="F3072" s="2"/>
    </row>
    <row r="3073" spans="6:6" x14ac:dyDescent="0.25">
      <c r="F3073" s="2"/>
    </row>
    <row r="3074" spans="6:6" x14ac:dyDescent="0.25">
      <c r="F3074" s="2"/>
    </row>
    <row r="3075" spans="6:6" x14ac:dyDescent="0.25">
      <c r="F3075" s="2"/>
    </row>
    <row r="3076" spans="6:6" x14ac:dyDescent="0.25">
      <c r="F3076" s="2"/>
    </row>
    <row r="3077" spans="6:6" x14ac:dyDescent="0.25">
      <c r="F3077" s="2"/>
    </row>
    <row r="3078" spans="6:6" x14ac:dyDescent="0.25">
      <c r="F3078" s="2"/>
    </row>
    <row r="3079" spans="6:6" x14ac:dyDescent="0.25">
      <c r="F3079" s="2"/>
    </row>
    <row r="3080" spans="6:6" x14ac:dyDescent="0.25">
      <c r="F3080" s="2"/>
    </row>
    <row r="3081" spans="6:6" x14ac:dyDescent="0.25">
      <c r="F3081" s="2"/>
    </row>
    <row r="3082" spans="6:6" x14ac:dyDescent="0.25">
      <c r="F3082" s="2"/>
    </row>
    <row r="3083" spans="6:6" x14ac:dyDescent="0.25">
      <c r="F3083" s="2"/>
    </row>
    <row r="3084" spans="6:6" x14ac:dyDescent="0.25">
      <c r="F3084" s="2"/>
    </row>
    <row r="3085" spans="6:6" x14ac:dyDescent="0.25">
      <c r="F3085" s="2"/>
    </row>
    <row r="3086" spans="6:6" x14ac:dyDescent="0.25">
      <c r="F3086" s="2"/>
    </row>
    <row r="3087" spans="6:6" x14ac:dyDescent="0.25">
      <c r="F3087" s="2"/>
    </row>
    <row r="3088" spans="6:6" x14ac:dyDescent="0.25">
      <c r="F3088" s="2"/>
    </row>
    <row r="3089" spans="6:6" x14ac:dyDescent="0.25">
      <c r="F3089" s="2"/>
    </row>
    <row r="3090" spans="6:6" x14ac:dyDescent="0.25">
      <c r="F3090" s="2"/>
    </row>
    <row r="3091" spans="6:6" x14ac:dyDescent="0.25">
      <c r="F3091" s="2"/>
    </row>
    <row r="3092" spans="6:6" x14ac:dyDescent="0.25">
      <c r="F3092" s="2"/>
    </row>
    <row r="3093" spans="6:6" x14ac:dyDescent="0.25">
      <c r="F3093" s="2"/>
    </row>
    <row r="3094" spans="6:6" x14ac:dyDescent="0.25">
      <c r="F3094" s="2"/>
    </row>
    <row r="3095" spans="6:6" x14ac:dyDescent="0.25">
      <c r="F3095" s="2"/>
    </row>
    <row r="3096" spans="6:6" x14ac:dyDescent="0.25">
      <c r="F3096" s="2"/>
    </row>
    <row r="3097" spans="6:6" x14ac:dyDescent="0.25">
      <c r="F3097" s="2"/>
    </row>
    <row r="3098" spans="6:6" x14ac:dyDescent="0.25">
      <c r="F3098" s="2"/>
    </row>
    <row r="3099" spans="6:6" x14ac:dyDescent="0.25">
      <c r="F3099" s="2"/>
    </row>
    <row r="3100" spans="6:6" x14ac:dyDescent="0.25">
      <c r="F3100" s="2"/>
    </row>
    <row r="3101" spans="6:6" x14ac:dyDescent="0.25">
      <c r="F3101" s="2"/>
    </row>
    <row r="3102" spans="6:6" x14ac:dyDescent="0.25">
      <c r="F3102" s="2"/>
    </row>
    <row r="3103" spans="6:6" x14ac:dyDescent="0.25">
      <c r="F3103" s="2"/>
    </row>
    <row r="3104" spans="6:6" x14ac:dyDescent="0.25">
      <c r="F3104" s="2"/>
    </row>
    <row r="3105" spans="6:6" x14ac:dyDescent="0.25">
      <c r="F3105" s="2"/>
    </row>
    <row r="3106" spans="6:6" x14ac:dyDescent="0.25">
      <c r="F3106" s="2"/>
    </row>
    <row r="3107" spans="6:6" x14ac:dyDescent="0.25">
      <c r="F3107" s="2"/>
    </row>
    <row r="3108" spans="6:6" x14ac:dyDescent="0.25">
      <c r="F3108" s="2"/>
    </row>
    <row r="3109" spans="6:6" x14ac:dyDescent="0.25">
      <c r="F3109" s="2"/>
    </row>
    <row r="3110" spans="6:6" x14ac:dyDescent="0.25">
      <c r="F3110" s="2"/>
    </row>
    <row r="3111" spans="6:6" x14ac:dyDescent="0.25">
      <c r="F3111" s="2"/>
    </row>
    <row r="3112" spans="6:6" x14ac:dyDescent="0.25">
      <c r="F3112" s="2"/>
    </row>
    <row r="3113" spans="6:6" x14ac:dyDescent="0.25">
      <c r="F3113" s="2"/>
    </row>
    <row r="3114" spans="6:6" x14ac:dyDescent="0.25">
      <c r="F3114" s="2"/>
    </row>
    <row r="3115" spans="6:6" x14ac:dyDescent="0.25">
      <c r="F3115" s="2"/>
    </row>
    <row r="3116" spans="6:6" x14ac:dyDescent="0.25">
      <c r="F3116" s="2"/>
    </row>
    <row r="3117" spans="6:6" x14ac:dyDescent="0.25">
      <c r="F3117" s="2"/>
    </row>
    <row r="3118" spans="6:6" x14ac:dyDescent="0.25">
      <c r="F3118" s="2"/>
    </row>
    <row r="3119" spans="6:6" x14ac:dyDescent="0.25">
      <c r="F3119" s="2"/>
    </row>
    <row r="3120" spans="6:6" x14ac:dyDescent="0.25">
      <c r="F3120" s="2"/>
    </row>
    <row r="3121" spans="6:6" x14ac:dyDescent="0.25">
      <c r="F3121" s="2"/>
    </row>
    <row r="3122" spans="6:6" x14ac:dyDescent="0.25">
      <c r="F3122" s="2"/>
    </row>
    <row r="3123" spans="6:6" x14ac:dyDescent="0.25">
      <c r="F3123" s="2"/>
    </row>
    <row r="3124" spans="6:6" x14ac:dyDescent="0.25">
      <c r="F3124" s="2"/>
    </row>
    <row r="3125" spans="6:6" x14ac:dyDescent="0.25">
      <c r="F3125" s="2"/>
    </row>
    <row r="3126" spans="6:6" x14ac:dyDescent="0.25">
      <c r="F3126" s="2"/>
    </row>
    <row r="3127" spans="6:6" x14ac:dyDescent="0.25">
      <c r="F3127" s="2"/>
    </row>
    <row r="3128" spans="6:6" x14ac:dyDescent="0.25">
      <c r="F3128" s="2"/>
    </row>
    <row r="3129" spans="6:6" x14ac:dyDescent="0.25">
      <c r="F3129" s="2"/>
    </row>
    <row r="3130" spans="6:6" x14ac:dyDescent="0.25">
      <c r="F3130" s="2"/>
    </row>
    <row r="3131" spans="6:6" x14ac:dyDescent="0.25">
      <c r="F3131" s="2"/>
    </row>
    <row r="3132" spans="6:6" x14ac:dyDescent="0.25">
      <c r="F3132" s="2"/>
    </row>
    <row r="3133" spans="6:6" x14ac:dyDescent="0.25">
      <c r="F3133" s="2"/>
    </row>
    <row r="3134" spans="6:6" x14ac:dyDescent="0.25">
      <c r="F3134" s="2"/>
    </row>
    <row r="3135" spans="6:6" x14ac:dyDescent="0.25">
      <c r="F3135" s="2"/>
    </row>
    <row r="3136" spans="6:6" x14ac:dyDescent="0.25">
      <c r="F3136" s="2"/>
    </row>
    <row r="3137" spans="6:6" x14ac:dyDescent="0.25">
      <c r="F3137" s="2"/>
    </row>
    <row r="3138" spans="6:6" x14ac:dyDescent="0.25">
      <c r="F3138" s="2"/>
    </row>
    <row r="3139" spans="6:6" x14ac:dyDescent="0.25">
      <c r="F3139" s="2"/>
    </row>
    <row r="3140" spans="6:6" x14ac:dyDescent="0.25">
      <c r="F3140" s="2"/>
    </row>
    <row r="3141" spans="6:6" x14ac:dyDescent="0.25">
      <c r="F3141" s="2"/>
    </row>
    <row r="3142" spans="6:6" x14ac:dyDescent="0.25">
      <c r="F3142" s="2"/>
    </row>
    <row r="3143" spans="6:6" x14ac:dyDescent="0.25">
      <c r="F3143" s="2"/>
    </row>
    <row r="3144" spans="6:6" x14ac:dyDescent="0.25">
      <c r="F3144" s="2"/>
    </row>
    <row r="3145" spans="6:6" x14ac:dyDescent="0.25">
      <c r="F3145" s="2"/>
    </row>
    <row r="3146" spans="6:6" x14ac:dyDescent="0.25">
      <c r="F3146" s="2"/>
    </row>
    <row r="3147" spans="6:6" x14ac:dyDescent="0.25">
      <c r="F3147" s="2"/>
    </row>
    <row r="3148" spans="6:6" x14ac:dyDescent="0.25">
      <c r="F3148" s="2"/>
    </row>
    <row r="3149" spans="6:6" x14ac:dyDescent="0.25">
      <c r="F3149" s="2"/>
    </row>
    <row r="3150" spans="6:6" x14ac:dyDescent="0.25">
      <c r="F3150" s="2"/>
    </row>
    <row r="3151" spans="6:6" x14ac:dyDescent="0.25">
      <c r="F3151" s="2"/>
    </row>
    <row r="3152" spans="6:6" x14ac:dyDescent="0.25">
      <c r="F3152" s="2"/>
    </row>
    <row r="3153" spans="6:6" x14ac:dyDescent="0.25">
      <c r="F3153" s="2"/>
    </row>
    <row r="3154" spans="6:6" x14ac:dyDescent="0.25">
      <c r="F3154" s="2"/>
    </row>
    <row r="3155" spans="6:6" x14ac:dyDescent="0.25">
      <c r="F3155" s="2"/>
    </row>
    <row r="3156" spans="6:6" x14ac:dyDescent="0.25">
      <c r="F3156" s="2"/>
    </row>
    <row r="3157" spans="6:6" x14ac:dyDescent="0.25">
      <c r="F3157" s="2"/>
    </row>
    <row r="3158" spans="6:6" x14ac:dyDescent="0.25">
      <c r="F3158" s="2"/>
    </row>
    <row r="3159" spans="6:6" x14ac:dyDescent="0.25">
      <c r="F3159" s="2"/>
    </row>
    <row r="3160" spans="6:6" x14ac:dyDescent="0.25">
      <c r="F3160" s="2"/>
    </row>
    <row r="3161" spans="6:6" x14ac:dyDescent="0.25">
      <c r="F3161" s="2"/>
    </row>
    <row r="3162" spans="6:6" x14ac:dyDescent="0.25">
      <c r="F3162" s="2"/>
    </row>
    <row r="3163" spans="6:6" x14ac:dyDescent="0.25">
      <c r="F3163" s="2"/>
    </row>
    <row r="3164" spans="6:6" x14ac:dyDescent="0.25">
      <c r="F3164" s="2"/>
    </row>
    <row r="3165" spans="6:6" x14ac:dyDescent="0.25">
      <c r="F3165" s="2"/>
    </row>
    <row r="3166" spans="6:6" x14ac:dyDescent="0.25">
      <c r="F3166" s="2"/>
    </row>
    <row r="3167" spans="6:6" x14ac:dyDescent="0.25">
      <c r="F3167" s="2"/>
    </row>
    <row r="3168" spans="6:6" x14ac:dyDescent="0.25">
      <c r="F3168" s="2"/>
    </row>
    <row r="3169" spans="6:6" x14ac:dyDescent="0.25">
      <c r="F3169" s="2"/>
    </row>
    <row r="3170" spans="6:6" x14ac:dyDescent="0.25">
      <c r="F3170" s="2"/>
    </row>
    <row r="3171" spans="6:6" x14ac:dyDescent="0.25">
      <c r="F3171" s="2"/>
    </row>
    <row r="3172" spans="6:6" x14ac:dyDescent="0.25">
      <c r="F3172" s="2"/>
    </row>
    <row r="3173" spans="6:6" x14ac:dyDescent="0.25">
      <c r="F3173" s="2"/>
    </row>
    <row r="3174" spans="6:6" x14ac:dyDescent="0.25">
      <c r="F3174" s="2"/>
    </row>
    <row r="3175" spans="6:6" x14ac:dyDescent="0.25">
      <c r="F3175" s="2"/>
    </row>
    <row r="3176" spans="6:6" x14ac:dyDescent="0.25">
      <c r="F3176" s="2"/>
    </row>
    <row r="3177" spans="6:6" x14ac:dyDescent="0.25">
      <c r="F3177" s="2"/>
    </row>
    <row r="3178" spans="6:6" x14ac:dyDescent="0.25">
      <c r="F3178" s="2"/>
    </row>
    <row r="3179" spans="6:6" x14ac:dyDescent="0.25">
      <c r="F3179" s="2"/>
    </row>
    <row r="3180" spans="6:6" x14ac:dyDescent="0.25">
      <c r="F3180" s="2"/>
    </row>
    <row r="3181" spans="6:6" x14ac:dyDescent="0.25">
      <c r="F3181" s="2"/>
    </row>
    <row r="3182" spans="6:6" x14ac:dyDescent="0.25">
      <c r="F3182" s="2"/>
    </row>
    <row r="3183" spans="6:6" x14ac:dyDescent="0.25">
      <c r="F3183" s="2"/>
    </row>
    <row r="3184" spans="6:6" x14ac:dyDescent="0.25">
      <c r="F3184" s="2"/>
    </row>
    <row r="3185" spans="6:6" x14ac:dyDescent="0.25">
      <c r="F3185" s="2"/>
    </row>
    <row r="3186" spans="6:6" x14ac:dyDescent="0.25">
      <c r="F3186" s="2"/>
    </row>
    <row r="3187" spans="6:6" x14ac:dyDescent="0.25">
      <c r="F3187" s="2"/>
    </row>
    <row r="3188" spans="6:6" x14ac:dyDescent="0.25">
      <c r="F3188" s="2"/>
    </row>
    <row r="3189" spans="6:6" x14ac:dyDescent="0.25">
      <c r="F3189" s="2"/>
    </row>
    <row r="3190" spans="6:6" x14ac:dyDescent="0.25">
      <c r="F3190" s="2"/>
    </row>
    <row r="3191" spans="6:6" x14ac:dyDescent="0.25">
      <c r="F3191" s="2"/>
    </row>
    <row r="3192" spans="6:6" x14ac:dyDescent="0.25">
      <c r="F3192" s="2"/>
    </row>
    <row r="3193" spans="6:6" x14ac:dyDescent="0.25">
      <c r="F3193" s="2"/>
    </row>
    <row r="3194" spans="6:6" x14ac:dyDescent="0.25">
      <c r="F3194" s="2"/>
    </row>
    <row r="3195" spans="6:6" x14ac:dyDescent="0.25">
      <c r="F3195" s="2"/>
    </row>
    <row r="3196" spans="6:6" x14ac:dyDescent="0.25">
      <c r="F3196" s="2"/>
    </row>
    <row r="3197" spans="6:6" x14ac:dyDescent="0.25">
      <c r="F3197" s="2"/>
    </row>
    <row r="3198" spans="6:6" x14ac:dyDescent="0.25">
      <c r="F3198" s="2"/>
    </row>
    <row r="3199" spans="6:6" x14ac:dyDescent="0.25">
      <c r="F3199" s="2"/>
    </row>
    <row r="3200" spans="6:6" x14ac:dyDescent="0.25">
      <c r="F3200" s="2"/>
    </row>
    <row r="3201" spans="6:6" x14ac:dyDescent="0.25">
      <c r="F3201" s="2"/>
    </row>
    <row r="3202" spans="6:6" x14ac:dyDescent="0.25">
      <c r="F3202" s="2"/>
    </row>
    <row r="3203" spans="6:6" x14ac:dyDescent="0.25">
      <c r="F3203" s="2"/>
    </row>
    <row r="3204" spans="6:6" x14ac:dyDescent="0.25">
      <c r="F3204" s="2"/>
    </row>
    <row r="3205" spans="6:6" x14ac:dyDescent="0.25">
      <c r="F3205" s="2"/>
    </row>
    <row r="3206" spans="6:6" x14ac:dyDescent="0.25">
      <c r="F3206" s="2"/>
    </row>
    <row r="3207" spans="6:6" x14ac:dyDescent="0.25">
      <c r="F3207" s="2"/>
    </row>
    <row r="3208" spans="6:6" x14ac:dyDescent="0.25">
      <c r="F3208" s="2"/>
    </row>
    <row r="3209" spans="6:6" x14ac:dyDescent="0.25">
      <c r="F3209" s="2"/>
    </row>
    <row r="3210" spans="6:6" x14ac:dyDescent="0.25">
      <c r="F3210" s="2"/>
    </row>
    <row r="3211" spans="6:6" x14ac:dyDescent="0.25">
      <c r="F3211" s="2"/>
    </row>
    <row r="3212" spans="6:6" x14ac:dyDescent="0.25">
      <c r="F3212" s="2"/>
    </row>
    <row r="3213" spans="6:6" x14ac:dyDescent="0.25">
      <c r="F3213" s="2"/>
    </row>
    <row r="3214" spans="6:6" x14ac:dyDescent="0.25">
      <c r="F3214" s="2"/>
    </row>
    <row r="3215" spans="6:6" x14ac:dyDescent="0.25">
      <c r="F3215" s="2"/>
    </row>
    <row r="3216" spans="6:6" x14ac:dyDescent="0.25">
      <c r="F3216" s="2"/>
    </row>
    <row r="3217" spans="6:6" x14ac:dyDescent="0.25">
      <c r="F3217" s="2"/>
    </row>
    <row r="3218" spans="6:6" x14ac:dyDescent="0.25">
      <c r="F3218" s="2"/>
    </row>
    <row r="3219" spans="6:6" x14ac:dyDescent="0.25">
      <c r="F3219" s="2"/>
    </row>
    <row r="3220" spans="6:6" x14ac:dyDescent="0.25">
      <c r="F3220" s="2"/>
    </row>
    <row r="3221" spans="6:6" x14ac:dyDescent="0.25">
      <c r="F3221" s="2"/>
    </row>
    <row r="3222" spans="6:6" x14ac:dyDescent="0.25">
      <c r="F3222" s="2"/>
    </row>
    <row r="3223" spans="6:6" x14ac:dyDescent="0.25">
      <c r="F3223" s="2"/>
    </row>
    <row r="3224" spans="6:6" x14ac:dyDescent="0.25">
      <c r="F3224" s="2"/>
    </row>
    <row r="3225" spans="6:6" x14ac:dyDescent="0.25">
      <c r="F3225" s="2"/>
    </row>
    <row r="3226" spans="6:6" x14ac:dyDescent="0.25">
      <c r="F3226" s="2"/>
    </row>
    <row r="3227" spans="6:6" x14ac:dyDescent="0.25">
      <c r="F3227" s="2"/>
    </row>
    <row r="3228" spans="6:6" x14ac:dyDescent="0.25">
      <c r="F3228" s="2"/>
    </row>
    <row r="3229" spans="6:6" x14ac:dyDescent="0.25">
      <c r="F3229" s="2"/>
    </row>
    <row r="3230" spans="6:6" x14ac:dyDescent="0.25">
      <c r="F3230" s="2"/>
    </row>
    <row r="3231" spans="6:6" x14ac:dyDescent="0.25">
      <c r="F3231" s="2"/>
    </row>
    <row r="3232" spans="6:6" x14ac:dyDescent="0.25">
      <c r="F3232" s="2"/>
    </row>
    <row r="3233" spans="6:6" x14ac:dyDescent="0.25">
      <c r="F3233" s="2"/>
    </row>
    <row r="3234" spans="6:6" x14ac:dyDescent="0.25">
      <c r="F3234" s="2"/>
    </row>
    <row r="3235" spans="6:6" x14ac:dyDescent="0.25">
      <c r="F3235" s="2"/>
    </row>
    <row r="3236" spans="6:6" x14ac:dyDescent="0.25">
      <c r="F3236" s="2"/>
    </row>
    <row r="3237" spans="6:6" x14ac:dyDescent="0.25">
      <c r="F3237" s="2"/>
    </row>
    <row r="3238" spans="6:6" x14ac:dyDescent="0.25">
      <c r="F3238" s="2"/>
    </row>
    <row r="3239" spans="6:6" x14ac:dyDescent="0.25">
      <c r="F3239" s="2"/>
    </row>
    <row r="3240" spans="6:6" x14ac:dyDescent="0.25">
      <c r="F3240" s="2"/>
    </row>
    <row r="3241" spans="6:6" x14ac:dyDescent="0.25">
      <c r="F3241" s="2"/>
    </row>
    <row r="3242" spans="6:6" x14ac:dyDescent="0.25">
      <c r="F3242" s="2"/>
    </row>
    <row r="3243" spans="6:6" x14ac:dyDescent="0.25">
      <c r="F3243" s="2"/>
    </row>
    <row r="3244" spans="6:6" x14ac:dyDescent="0.25">
      <c r="F3244" s="2"/>
    </row>
    <row r="3245" spans="6:6" x14ac:dyDescent="0.25">
      <c r="F3245" s="2"/>
    </row>
    <row r="3246" spans="6:6" x14ac:dyDescent="0.25">
      <c r="F3246" s="2"/>
    </row>
    <row r="3247" spans="6:6" x14ac:dyDescent="0.25">
      <c r="F3247" s="2"/>
    </row>
    <row r="3248" spans="6:6" x14ac:dyDescent="0.25">
      <c r="F3248" s="2"/>
    </row>
    <row r="3249" spans="6:6" x14ac:dyDescent="0.25">
      <c r="F3249" s="2"/>
    </row>
    <row r="3250" spans="6:6" x14ac:dyDescent="0.25">
      <c r="F3250" s="2"/>
    </row>
    <row r="3251" spans="6:6" x14ac:dyDescent="0.25">
      <c r="F3251" s="2"/>
    </row>
    <row r="3252" spans="6:6" x14ac:dyDescent="0.25">
      <c r="F3252" s="2"/>
    </row>
    <row r="3253" spans="6:6" x14ac:dyDescent="0.25">
      <c r="F3253" s="2"/>
    </row>
    <row r="3254" spans="6:6" x14ac:dyDescent="0.25">
      <c r="F3254" s="2"/>
    </row>
    <row r="3255" spans="6:6" x14ac:dyDescent="0.25">
      <c r="F3255" s="2"/>
    </row>
    <row r="3256" spans="6:6" x14ac:dyDescent="0.25">
      <c r="F3256" s="2"/>
    </row>
    <row r="3257" spans="6:6" x14ac:dyDescent="0.25">
      <c r="F3257" s="2"/>
    </row>
    <row r="3258" spans="6:6" x14ac:dyDescent="0.25">
      <c r="F3258" s="2"/>
    </row>
    <row r="3259" spans="6:6" x14ac:dyDescent="0.25">
      <c r="F3259" s="2"/>
    </row>
    <row r="3260" spans="6:6" x14ac:dyDescent="0.25">
      <c r="F3260" s="2"/>
    </row>
    <row r="3261" spans="6:6" x14ac:dyDescent="0.25">
      <c r="F3261" s="2"/>
    </row>
    <row r="3262" spans="6:6" x14ac:dyDescent="0.25">
      <c r="F3262" s="2"/>
    </row>
    <row r="3263" spans="6:6" x14ac:dyDescent="0.25">
      <c r="F3263" s="2"/>
    </row>
    <row r="3264" spans="6:6" x14ac:dyDescent="0.25">
      <c r="F3264" s="2"/>
    </row>
    <row r="3265" spans="6:6" x14ac:dyDescent="0.25">
      <c r="F3265" s="2"/>
    </row>
    <row r="3266" spans="6:6" x14ac:dyDescent="0.25">
      <c r="F3266" s="2"/>
    </row>
    <row r="3267" spans="6:6" x14ac:dyDescent="0.25">
      <c r="F3267" s="2"/>
    </row>
    <row r="3268" spans="6:6" x14ac:dyDescent="0.25">
      <c r="F3268" s="2"/>
    </row>
    <row r="3269" spans="6:6" x14ac:dyDescent="0.25">
      <c r="F3269" s="2"/>
    </row>
    <row r="3270" spans="6:6" x14ac:dyDescent="0.25">
      <c r="F3270" s="2"/>
    </row>
    <row r="3271" spans="6:6" x14ac:dyDescent="0.25">
      <c r="F3271" s="2"/>
    </row>
    <row r="3272" spans="6:6" x14ac:dyDescent="0.25">
      <c r="F3272" s="2"/>
    </row>
    <row r="3273" spans="6:6" x14ac:dyDescent="0.25">
      <c r="F3273" s="2"/>
    </row>
    <row r="3274" spans="6:6" x14ac:dyDescent="0.25">
      <c r="F3274" s="2"/>
    </row>
    <row r="3275" spans="6:6" x14ac:dyDescent="0.25">
      <c r="F3275" s="2"/>
    </row>
    <row r="3276" spans="6:6" x14ac:dyDescent="0.25">
      <c r="F3276" s="2"/>
    </row>
    <row r="3277" spans="6:6" x14ac:dyDescent="0.25">
      <c r="F3277" s="2"/>
    </row>
    <row r="3278" spans="6:6" x14ac:dyDescent="0.25">
      <c r="F3278" s="2"/>
    </row>
    <row r="3279" spans="6:6" x14ac:dyDescent="0.25">
      <c r="F3279" s="2"/>
    </row>
    <row r="3280" spans="6:6" x14ac:dyDescent="0.25">
      <c r="F3280" s="2"/>
    </row>
    <row r="3281" spans="6:6" x14ac:dyDescent="0.25">
      <c r="F3281" s="2"/>
    </row>
    <row r="3282" spans="6:6" x14ac:dyDescent="0.25">
      <c r="F3282" s="2"/>
    </row>
    <row r="3283" spans="6:6" x14ac:dyDescent="0.25">
      <c r="F3283" s="2"/>
    </row>
    <row r="3284" spans="6:6" x14ac:dyDescent="0.25">
      <c r="F3284" s="2"/>
    </row>
    <row r="3285" spans="6:6" x14ac:dyDescent="0.25">
      <c r="F3285" s="2"/>
    </row>
    <row r="3286" spans="6:6" x14ac:dyDescent="0.25">
      <c r="F3286" s="2"/>
    </row>
    <row r="3287" spans="6:6" x14ac:dyDescent="0.25">
      <c r="F3287" s="2"/>
    </row>
    <row r="3288" spans="6:6" x14ac:dyDescent="0.25">
      <c r="F3288" s="2"/>
    </row>
    <row r="3289" spans="6:6" x14ac:dyDescent="0.25">
      <c r="F3289" s="2"/>
    </row>
    <row r="3290" spans="6:6" x14ac:dyDescent="0.25">
      <c r="F3290" s="2"/>
    </row>
    <row r="3291" spans="6:6" x14ac:dyDescent="0.25">
      <c r="F3291" s="2"/>
    </row>
    <row r="3292" spans="6:6" x14ac:dyDescent="0.25">
      <c r="F3292" s="2"/>
    </row>
    <row r="3293" spans="6:6" x14ac:dyDescent="0.25">
      <c r="F3293" s="2"/>
    </row>
    <row r="3294" spans="6:6" x14ac:dyDescent="0.25">
      <c r="F3294" s="2"/>
    </row>
    <row r="3295" spans="6:6" x14ac:dyDescent="0.25">
      <c r="F3295" s="2"/>
    </row>
    <row r="3296" spans="6:6" x14ac:dyDescent="0.25">
      <c r="F3296" s="2"/>
    </row>
    <row r="3297" spans="6:6" x14ac:dyDescent="0.25">
      <c r="F3297" s="2"/>
    </row>
    <row r="3298" spans="6:6" x14ac:dyDescent="0.25">
      <c r="F3298" s="2"/>
    </row>
    <row r="3299" spans="6:6" x14ac:dyDescent="0.25">
      <c r="F3299" s="2"/>
    </row>
    <row r="3300" spans="6:6" x14ac:dyDescent="0.25">
      <c r="F3300" s="2"/>
    </row>
    <row r="3301" spans="6:6" x14ac:dyDescent="0.25">
      <c r="F3301" s="2"/>
    </row>
    <row r="3302" spans="6:6" x14ac:dyDescent="0.25">
      <c r="F3302" s="2"/>
    </row>
    <row r="3303" spans="6:6" x14ac:dyDescent="0.25">
      <c r="F3303" s="2"/>
    </row>
    <row r="3304" spans="6:6" x14ac:dyDescent="0.25">
      <c r="F3304" s="2"/>
    </row>
    <row r="3305" spans="6:6" x14ac:dyDescent="0.25">
      <c r="F3305" s="2"/>
    </row>
    <row r="3306" spans="6:6" x14ac:dyDescent="0.25">
      <c r="F3306" s="2"/>
    </row>
    <row r="3307" spans="6:6" x14ac:dyDescent="0.25">
      <c r="F3307" s="2"/>
    </row>
    <row r="3308" spans="6:6" x14ac:dyDescent="0.25">
      <c r="F3308" s="2"/>
    </row>
    <row r="3309" spans="6:6" x14ac:dyDescent="0.25">
      <c r="F3309" s="2"/>
    </row>
    <row r="3310" spans="6:6" x14ac:dyDescent="0.25">
      <c r="F3310" s="2"/>
    </row>
    <row r="3311" spans="6:6" x14ac:dyDescent="0.25">
      <c r="F3311" s="2"/>
    </row>
    <row r="3312" spans="6:6" x14ac:dyDescent="0.25">
      <c r="F3312" s="2"/>
    </row>
    <row r="3313" spans="6:6" x14ac:dyDescent="0.25">
      <c r="F3313" s="2"/>
    </row>
    <row r="3314" spans="6:6" x14ac:dyDescent="0.25">
      <c r="F3314" s="2"/>
    </row>
    <row r="3315" spans="6:6" x14ac:dyDescent="0.25">
      <c r="F3315" s="2"/>
    </row>
    <row r="3316" spans="6:6" x14ac:dyDescent="0.25">
      <c r="F3316" s="2"/>
    </row>
    <row r="3317" spans="6:6" x14ac:dyDescent="0.25">
      <c r="F3317" s="2"/>
    </row>
    <row r="3318" spans="6:6" x14ac:dyDescent="0.25">
      <c r="F3318" s="2"/>
    </row>
    <row r="3319" spans="6:6" x14ac:dyDescent="0.25">
      <c r="F3319" s="2"/>
    </row>
    <row r="3320" spans="6:6" x14ac:dyDescent="0.25">
      <c r="F3320" s="2"/>
    </row>
    <row r="3321" spans="6:6" x14ac:dyDescent="0.25">
      <c r="F3321" s="2"/>
    </row>
    <row r="3322" spans="6:6" x14ac:dyDescent="0.25">
      <c r="F3322" s="2"/>
    </row>
    <row r="3323" spans="6:6" x14ac:dyDescent="0.25">
      <c r="F3323" s="2"/>
    </row>
    <row r="3324" spans="6:6" x14ac:dyDescent="0.25">
      <c r="F3324" s="2"/>
    </row>
    <row r="3325" spans="6:6" x14ac:dyDescent="0.25">
      <c r="F3325" s="2"/>
    </row>
    <row r="3326" spans="6:6" x14ac:dyDescent="0.25">
      <c r="F3326" s="2"/>
    </row>
    <row r="3327" spans="6:6" x14ac:dyDescent="0.25">
      <c r="F3327" s="2"/>
    </row>
    <row r="3328" spans="6:6" x14ac:dyDescent="0.25">
      <c r="F3328" s="2"/>
    </row>
    <row r="3329" spans="6:6" x14ac:dyDescent="0.25">
      <c r="F3329" s="2"/>
    </row>
    <row r="3330" spans="6:6" x14ac:dyDescent="0.25">
      <c r="F3330" s="2"/>
    </row>
    <row r="3331" spans="6:6" x14ac:dyDescent="0.25">
      <c r="F3331" s="2"/>
    </row>
    <row r="3332" spans="6:6" x14ac:dyDescent="0.25">
      <c r="F3332" s="2"/>
    </row>
    <row r="3333" spans="6:6" x14ac:dyDescent="0.25">
      <c r="F3333" s="2"/>
    </row>
    <row r="3334" spans="6:6" x14ac:dyDescent="0.25">
      <c r="F3334" s="2"/>
    </row>
    <row r="3335" spans="6:6" x14ac:dyDescent="0.25">
      <c r="F3335" s="2"/>
    </row>
    <row r="3336" spans="6:6" x14ac:dyDescent="0.25">
      <c r="F3336" s="2"/>
    </row>
    <row r="3337" spans="6:6" x14ac:dyDescent="0.25">
      <c r="F3337" s="2"/>
    </row>
    <row r="3338" spans="6:6" x14ac:dyDescent="0.25">
      <c r="F3338" s="2"/>
    </row>
    <row r="3339" spans="6:6" x14ac:dyDescent="0.25">
      <c r="F3339" s="2"/>
    </row>
    <row r="3340" spans="6:6" x14ac:dyDescent="0.25">
      <c r="F3340" s="2"/>
    </row>
    <row r="3341" spans="6:6" x14ac:dyDescent="0.25">
      <c r="F3341" s="2"/>
    </row>
    <row r="3342" spans="6:6" x14ac:dyDescent="0.25">
      <c r="F3342" s="2"/>
    </row>
    <row r="3343" spans="6:6" x14ac:dyDescent="0.25">
      <c r="F3343" s="2"/>
    </row>
    <row r="3344" spans="6:6" x14ac:dyDescent="0.25">
      <c r="F3344" s="2"/>
    </row>
    <row r="3345" spans="6:6" x14ac:dyDescent="0.25">
      <c r="F3345" s="2"/>
    </row>
    <row r="3346" spans="6:6" x14ac:dyDescent="0.25">
      <c r="F3346" s="2"/>
    </row>
    <row r="3347" spans="6:6" x14ac:dyDescent="0.25">
      <c r="F3347" s="2"/>
    </row>
    <row r="3348" spans="6:6" x14ac:dyDescent="0.25">
      <c r="F3348" s="2"/>
    </row>
    <row r="3349" spans="6:6" x14ac:dyDescent="0.25">
      <c r="F3349" s="2"/>
    </row>
    <row r="3350" spans="6:6" x14ac:dyDescent="0.25">
      <c r="F3350" s="2"/>
    </row>
    <row r="3351" spans="6:6" x14ac:dyDescent="0.25">
      <c r="F3351" s="2"/>
    </row>
    <row r="3352" spans="6:6" x14ac:dyDescent="0.25">
      <c r="F3352" s="2"/>
    </row>
    <row r="3353" spans="6:6" x14ac:dyDescent="0.25">
      <c r="F3353" s="2"/>
    </row>
    <row r="3354" spans="6:6" x14ac:dyDescent="0.25">
      <c r="F3354" s="2"/>
    </row>
    <row r="3355" spans="6:6" x14ac:dyDescent="0.25">
      <c r="F3355" s="2"/>
    </row>
    <row r="3356" spans="6:6" x14ac:dyDescent="0.25">
      <c r="F3356" s="2"/>
    </row>
    <row r="3357" spans="6:6" x14ac:dyDescent="0.25">
      <c r="F3357" s="2"/>
    </row>
    <row r="3358" spans="6:6" x14ac:dyDescent="0.25">
      <c r="F3358" s="2"/>
    </row>
    <row r="3359" spans="6:6" x14ac:dyDescent="0.25">
      <c r="F3359" s="2"/>
    </row>
    <row r="3360" spans="6:6" x14ac:dyDescent="0.25">
      <c r="F3360" s="2"/>
    </row>
    <row r="3361" spans="6:6" x14ac:dyDescent="0.25">
      <c r="F3361" s="2"/>
    </row>
    <row r="3362" spans="6:6" x14ac:dyDescent="0.25">
      <c r="F3362" s="2"/>
    </row>
    <row r="3363" spans="6:6" x14ac:dyDescent="0.25">
      <c r="F3363" s="2"/>
    </row>
    <row r="3364" spans="6:6" x14ac:dyDescent="0.25">
      <c r="F3364" s="2"/>
    </row>
    <row r="3365" spans="6:6" x14ac:dyDescent="0.25">
      <c r="F3365" s="2"/>
    </row>
    <row r="3366" spans="6:6" x14ac:dyDescent="0.25">
      <c r="F3366" s="2"/>
    </row>
    <row r="3367" spans="6:6" x14ac:dyDescent="0.25">
      <c r="F3367" s="2"/>
    </row>
    <row r="3368" spans="6:6" x14ac:dyDescent="0.25">
      <c r="F3368" s="2"/>
    </row>
    <row r="3369" spans="6:6" x14ac:dyDescent="0.25">
      <c r="F3369" s="2"/>
    </row>
    <row r="3370" spans="6:6" x14ac:dyDescent="0.25">
      <c r="F3370" s="2"/>
    </row>
    <row r="3371" spans="6:6" x14ac:dyDescent="0.25">
      <c r="F3371" s="2"/>
    </row>
    <row r="3372" spans="6:6" x14ac:dyDescent="0.25">
      <c r="F3372" s="2"/>
    </row>
    <row r="3373" spans="6:6" x14ac:dyDescent="0.25">
      <c r="F3373" s="2"/>
    </row>
    <row r="3374" spans="6:6" x14ac:dyDescent="0.25">
      <c r="F3374" s="2"/>
    </row>
    <row r="3375" spans="6:6" x14ac:dyDescent="0.25">
      <c r="F3375" s="2"/>
    </row>
    <row r="3376" spans="6:6" x14ac:dyDescent="0.25">
      <c r="F3376" s="2"/>
    </row>
    <row r="3377" spans="6:6" x14ac:dyDescent="0.25">
      <c r="F3377" s="2"/>
    </row>
    <row r="3378" spans="6:6" x14ac:dyDescent="0.25">
      <c r="F3378" s="2"/>
    </row>
    <row r="3379" spans="6:6" x14ac:dyDescent="0.25">
      <c r="F3379" s="2"/>
    </row>
    <row r="3380" spans="6:6" x14ac:dyDescent="0.25">
      <c r="F3380" s="2"/>
    </row>
    <row r="3381" spans="6:6" x14ac:dyDescent="0.25">
      <c r="F3381" s="2"/>
    </row>
    <row r="3382" spans="6:6" x14ac:dyDescent="0.25">
      <c r="F3382" s="2"/>
    </row>
    <row r="3383" spans="6:6" x14ac:dyDescent="0.25">
      <c r="F3383" s="2"/>
    </row>
    <row r="3384" spans="6:6" x14ac:dyDescent="0.25">
      <c r="F3384" s="2"/>
    </row>
    <row r="3385" spans="6:6" x14ac:dyDescent="0.25">
      <c r="F3385" s="2"/>
    </row>
    <row r="3386" spans="6:6" x14ac:dyDescent="0.25">
      <c r="F3386" s="2"/>
    </row>
    <row r="3387" spans="6:6" x14ac:dyDescent="0.25">
      <c r="F3387" s="2"/>
    </row>
    <row r="3388" spans="6:6" x14ac:dyDescent="0.25">
      <c r="F3388" s="2"/>
    </row>
    <row r="3389" spans="6:6" x14ac:dyDescent="0.25">
      <c r="F3389" s="2"/>
    </row>
    <row r="3390" spans="6:6" x14ac:dyDescent="0.25">
      <c r="F3390" s="2"/>
    </row>
    <row r="3391" spans="6:6" x14ac:dyDescent="0.25">
      <c r="F3391" s="2"/>
    </row>
    <row r="3392" spans="6:6" x14ac:dyDescent="0.25">
      <c r="F3392" s="2"/>
    </row>
    <row r="3393" spans="6:6" x14ac:dyDescent="0.25">
      <c r="F3393" s="2"/>
    </row>
    <row r="3394" spans="6:6" x14ac:dyDescent="0.25">
      <c r="F3394" s="2"/>
    </row>
    <row r="3395" spans="6:6" x14ac:dyDescent="0.25">
      <c r="F3395" s="2"/>
    </row>
    <row r="3396" spans="6:6" x14ac:dyDescent="0.25">
      <c r="F3396" s="2"/>
    </row>
    <row r="3397" spans="6:6" x14ac:dyDescent="0.25">
      <c r="F3397" s="2"/>
    </row>
    <row r="3398" spans="6:6" x14ac:dyDescent="0.25">
      <c r="F3398" s="2"/>
    </row>
    <row r="3399" spans="6:6" x14ac:dyDescent="0.25">
      <c r="F3399" s="2"/>
    </row>
    <row r="3400" spans="6:6" x14ac:dyDescent="0.25">
      <c r="F3400" s="2"/>
    </row>
    <row r="3401" spans="6:6" x14ac:dyDescent="0.25">
      <c r="F3401" s="2"/>
    </row>
    <row r="3402" spans="6:6" x14ac:dyDescent="0.25">
      <c r="F3402" s="2"/>
    </row>
    <row r="3403" spans="6:6" x14ac:dyDescent="0.25">
      <c r="F3403" s="2"/>
    </row>
    <row r="3404" spans="6:6" x14ac:dyDescent="0.25">
      <c r="F3404" s="2"/>
    </row>
    <row r="3405" spans="6:6" x14ac:dyDescent="0.25">
      <c r="F3405" s="2"/>
    </row>
    <row r="3406" spans="6:6" x14ac:dyDescent="0.25">
      <c r="F3406" s="2"/>
    </row>
    <row r="3407" spans="6:6" x14ac:dyDescent="0.25">
      <c r="F3407" s="2"/>
    </row>
    <row r="3408" spans="6:6" x14ac:dyDescent="0.25">
      <c r="F3408" s="2"/>
    </row>
    <row r="3409" spans="6:6" x14ac:dyDescent="0.25">
      <c r="F3409" s="2"/>
    </row>
    <row r="3410" spans="6:6" x14ac:dyDescent="0.25">
      <c r="F3410" s="2"/>
    </row>
    <row r="3411" spans="6:6" x14ac:dyDescent="0.25">
      <c r="F3411" s="2"/>
    </row>
    <row r="3412" spans="6:6" x14ac:dyDescent="0.25">
      <c r="F3412" s="2"/>
    </row>
    <row r="3413" spans="6:6" x14ac:dyDescent="0.25">
      <c r="F3413" s="2"/>
    </row>
    <row r="3414" spans="6:6" x14ac:dyDescent="0.25">
      <c r="F3414" s="2"/>
    </row>
    <row r="3415" spans="6:6" x14ac:dyDescent="0.25">
      <c r="F3415" s="2"/>
    </row>
    <row r="3416" spans="6:6" x14ac:dyDescent="0.25">
      <c r="F3416" s="2"/>
    </row>
    <row r="3417" spans="6:6" x14ac:dyDescent="0.25">
      <c r="F3417" s="2"/>
    </row>
    <row r="3418" spans="6:6" x14ac:dyDescent="0.25">
      <c r="F3418" s="2"/>
    </row>
    <row r="3419" spans="6:6" x14ac:dyDescent="0.25">
      <c r="F3419" s="2"/>
    </row>
    <row r="3420" spans="6:6" x14ac:dyDescent="0.25">
      <c r="F3420" s="2"/>
    </row>
    <row r="3421" spans="6:6" x14ac:dyDescent="0.25">
      <c r="F3421" s="2"/>
    </row>
    <row r="3422" spans="6:6" x14ac:dyDescent="0.25">
      <c r="F3422" s="2"/>
    </row>
    <row r="3423" spans="6:6" x14ac:dyDescent="0.25">
      <c r="F3423" s="2"/>
    </row>
    <row r="3424" spans="6:6" x14ac:dyDescent="0.25">
      <c r="F3424" s="2"/>
    </row>
    <row r="3425" spans="6:6" x14ac:dyDescent="0.25">
      <c r="F3425" s="2"/>
    </row>
    <row r="3426" spans="6:6" x14ac:dyDescent="0.25">
      <c r="F3426" s="2"/>
    </row>
    <row r="3427" spans="6:6" x14ac:dyDescent="0.25">
      <c r="F3427" s="2"/>
    </row>
    <row r="3428" spans="6:6" x14ac:dyDescent="0.25">
      <c r="F3428" s="2"/>
    </row>
    <row r="3429" spans="6:6" x14ac:dyDescent="0.25">
      <c r="F3429" s="2"/>
    </row>
    <row r="3430" spans="6:6" x14ac:dyDescent="0.25">
      <c r="F3430" s="2"/>
    </row>
    <row r="3431" spans="6:6" x14ac:dyDescent="0.25">
      <c r="F3431" s="2"/>
    </row>
    <row r="3432" spans="6:6" x14ac:dyDescent="0.25">
      <c r="F3432" s="2"/>
    </row>
    <row r="3433" spans="6:6" x14ac:dyDescent="0.25">
      <c r="F3433" s="2"/>
    </row>
    <row r="3434" spans="6:6" x14ac:dyDescent="0.25">
      <c r="F3434" s="2"/>
    </row>
    <row r="3435" spans="6:6" x14ac:dyDescent="0.25">
      <c r="F3435" s="2"/>
    </row>
    <row r="3436" spans="6:6" x14ac:dyDescent="0.25">
      <c r="F3436" s="2"/>
    </row>
    <row r="3437" spans="6:6" x14ac:dyDescent="0.25">
      <c r="F3437" s="2"/>
    </row>
    <row r="3438" spans="6:6" x14ac:dyDescent="0.25">
      <c r="F3438" s="2"/>
    </row>
    <row r="3439" spans="6:6" x14ac:dyDescent="0.25">
      <c r="F3439" s="2"/>
    </row>
    <row r="3440" spans="6:6" x14ac:dyDescent="0.25">
      <c r="F3440" s="2"/>
    </row>
    <row r="3441" spans="6:6" x14ac:dyDescent="0.25">
      <c r="F3441" s="2"/>
    </row>
    <row r="3442" spans="6:6" x14ac:dyDescent="0.25">
      <c r="F3442" s="2"/>
    </row>
    <row r="3443" spans="6:6" x14ac:dyDescent="0.25">
      <c r="F3443" s="2"/>
    </row>
    <row r="3444" spans="6:6" x14ac:dyDescent="0.25">
      <c r="F3444" s="2"/>
    </row>
    <row r="3445" spans="6:6" x14ac:dyDescent="0.25">
      <c r="F3445" s="2"/>
    </row>
    <row r="3446" spans="6:6" x14ac:dyDescent="0.25">
      <c r="F3446" s="2"/>
    </row>
    <row r="3447" spans="6:6" x14ac:dyDescent="0.25">
      <c r="F3447" s="2"/>
    </row>
    <row r="3448" spans="6:6" x14ac:dyDescent="0.25">
      <c r="F3448" s="2"/>
    </row>
    <row r="3449" spans="6:6" x14ac:dyDescent="0.25">
      <c r="F3449" s="2"/>
    </row>
    <row r="3450" spans="6:6" x14ac:dyDescent="0.25">
      <c r="F3450" s="2"/>
    </row>
    <row r="3451" spans="6:6" x14ac:dyDescent="0.25">
      <c r="F3451" s="2"/>
    </row>
    <row r="3452" spans="6:6" x14ac:dyDescent="0.25">
      <c r="F3452" s="2"/>
    </row>
    <row r="3453" spans="6:6" x14ac:dyDescent="0.25">
      <c r="F3453" s="2"/>
    </row>
    <row r="3454" spans="6:6" x14ac:dyDescent="0.25">
      <c r="F3454" s="2"/>
    </row>
    <row r="3455" spans="6:6" x14ac:dyDescent="0.25">
      <c r="F3455" s="2"/>
    </row>
    <row r="3456" spans="6:6" x14ac:dyDescent="0.25">
      <c r="F3456" s="2"/>
    </row>
    <row r="3457" spans="6:6" x14ac:dyDescent="0.25">
      <c r="F3457" s="2"/>
    </row>
    <row r="3458" spans="6:6" x14ac:dyDescent="0.25">
      <c r="F3458" s="2"/>
    </row>
    <row r="3459" spans="6:6" x14ac:dyDescent="0.25">
      <c r="F3459" s="2"/>
    </row>
    <row r="3460" spans="6:6" x14ac:dyDescent="0.25">
      <c r="F3460" s="2"/>
    </row>
    <row r="3461" spans="6:6" x14ac:dyDescent="0.25">
      <c r="F3461" s="2"/>
    </row>
    <row r="3462" spans="6:6" x14ac:dyDescent="0.25">
      <c r="F3462" s="2"/>
    </row>
    <row r="3463" spans="6:6" x14ac:dyDescent="0.25">
      <c r="F3463" s="2"/>
    </row>
    <row r="3464" spans="6:6" x14ac:dyDescent="0.25">
      <c r="F3464" s="2"/>
    </row>
    <row r="3465" spans="6:6" x14ac:dyDescent="0.25">
      <c r="F3465" s="2"/>
    </row>
    <row r="3466" spans="6:6" x14ac:dyDescent="0.25">
      <c r="F3466" s="2"/>
    </row>
    <row r="3467" spans="6:6" x14ac:dyDescent="0.25">
      <c r="F3467" s="2"/>
    </row>
    <row r="3468" spans="6:6" x14ac:dyDescent="0.25">
      <c r="F3468" s="2"/>
    </row>
    <row r="3469" spans="6:6" x14ac:dyDescent="0.25">
      <c r="F3469" s="2"/>
    </row>
    <row r="3470" spans="6:6" x14ac:dyDescent="0.25">
      <c r="F3470" s="2"/>
    </row>
    <row r="3471" spans="6:6" x14ac:dyDescent="0.25">
      <c r="F3471" s="2"/>
    </row>
    <row r="3472" spans="6:6" x14ac:dyDescent="0.25">
      <c r="F3472" s="2"/>
    </row>
    <row r="3473" spans="6:6" x14ac:dyDescent="0.25">
      <c r="F3473" s="2"/>
    </row>
    <row r="3474" spans="6:6" x14ac:dyDescent="0.25">
      <c r="F3474" s="2"/>
    </row>
    <row r="3475" spans="6:6" x14ac:dyDescent="0.25">
      <c r="F3475" s="2"/>
    </row>
    <row r="3476" spans="6:6" x14ac:dyDescent="0.25">
      <c r="F3476" s="2"/>
    </row>
    <row r="3477" spans="6:6" x14ac:dyDescent="0.25">
      <c r="F3477" s="2"/>
    </row>
    <row r="3478" spans="6:6" x14ac:dyDescent="0.25">
      <c r="F3478" s="2"/>
    </row>
    <row r="3479" spans="6:6" x14ac:dyDescent="0.25">
      <c r="F3479" s="2"/>
    </row>
    <row r="3480" spans="6:6" x14ac:dyDescent="0.25">
      <c r="F3480" s="2"/>
    </row>
    <row r="3481" spans="6:6" x14ac:dyDescent="0.25">
      <c r="F3481" s="2"/>
    </row>
    <row r="3482" spans="6:6" x14ac:dyDescent="0.25">
      <c r="F3482" s="2"/>
    </row>
    <row r="3483" spans="6:6" x14ac:dyDescent="0.25">
      <c r="F3483" s="2"/>
    </row>
    <row r="3484" spans="6:6" x14ac:dyDescent="0.25">
      <c r="F3484" s="2"/>
    </row>
    <row r="3485" spans="6:6" x14ac:dyDescent="0.25">
      <c r="F3485" s="2"/>
    </row>
    <row r="3486" spans="6:6" x14ac:dyDescent="0.25">
      <c r="F3486" s="2"/>
    </row>
    <row r="3487" spans="6:6" x14ac:dyDescent="0.25">
      <c r="F3487" s="2"/>
    </row>
    <row r="3488" spans="6:6" x14ac:dyDescent="0.25">
      <c r="F3488" s="2"/>
    </row>
    <row r="3489" spans="6:6" x14ac:dyDescent="0.25">
      <c r="F3489" s="2"/>
    </row>
    <row r="3490" spans="6:6" x14ac:dyDescent="0.25">
      <c r="F3490" s="2"/>
    </row>
    <row r="3491" spans="6:6" x14ac:dyDescent="0.25">
      <c r="F3491" s="2"/>
    </row>
    <row r="3492" spans="6:6" x14ac:dyDescent="0.25">
      <c r="F3492" s="2"/>
    </row>
    <row r="3493" spans="6:6" x14ac:dyDescent="0.25">
      <c r="F3493" s="2"/>
    </row>
    <row r="3494" spans="6:6" x14ac:dyDescent="0.25">
      <c r="F3494" s="2"/>
    </row>
    <row r="3495" spans="6:6" x14ac:dyDescent="0.25">
      <c r="F3495" s="2"/>
    </row>
    <row r="3496" spans="6:6" x14ac:dyDescent="0.25">
      <c r="F3496" s="2"/>
    </row>
    <row r="3497" spans="6:6" x14ac:dyDescent="0.25">
      <c r="F3497" s="2"/>
    </row>
    <row r="3498" spans="6:6" x14ac:dyDescent="0.25">
      <c r="F3498" s="2"/>
    </row>
    <row r="3499" spans="6:6" x14ac:dyDescent="0.25">
      <c r="F3499" s="2"/>
    </row>
    <row r="3500" spans="6:6" x14ac:dyDescent="0.25">
      <c r="F3500" s="2"/>
    </row>
    <row r="3501" spans="6:6" x14ac:dyDescent="0.25">
      <c r="F3501" s="2"/>
    </row>
    <row r="3502" spans="6:6" x14ac:dyDescent="0.25">
      <c r="F3502" s="2"/>
    </row>
    <row r="3503" spans="6:6" x14ac:dyDescent="0.25">
      <c r="F3503" s="2"/>
    </row>
    <row r="3504" spans="6:6" x14ac:dyDescent="0.25">
      <c r="F3504" s="2"/>
    </row>
    <row r="3505" spans="6:6" x14ac:dyDescent="0.25">
      <c r="F3505" s="2"/>
    </row>
    <row r="3506" spans="6:6" x14ac:dyDescent="0.25">
      <c r="F3506" s="2"/>
    </row>
    <row r="3507" spans="6:6" x14ac:dyDescent="0.25">
      <c r="F3507" s="2"/>
    </row>
    <row r="3508" spans="6:6" x14ac:dyDescent="0.25">
      <c r="F3508" s="2"/>
    </row>
    <row r="3509" spans="6:6" x14ac:dyDescent="0.25">
      <c r="F3509" s="2"/>
    </row>
    <row r="3510" spans="6:6" x14ac:dyDescent="0.25">
      <c r="F3510" s="2"/>
    </row>
    <row r="3511" spans="6:6" x14ac:dyDescent="0.25">
      <c r="F3511" s="2"/>
    </row>
    <row r="3512" spans="6:6" x14ac:dyDescent="0.25">
      <c r="F3512" s="2"/>
    </row>
    <row r="3513" spans="6:6" x14ac:dyDescent="0.25">
      <c r="F3513" s="2"/>
    </row>
    <row r="3514" spans="6:6" x14ac:dyDescent="0.25">
      <c r="F3514" s="2"/>
    </row>
    <row r="3515" spans="6:6" x14ac:dyDescent="0.25">
      <c r="F3515" s="2"/>
    </row>
    <row r="3516" spans="6:6" x14ac:dyDescent="0.25">
      <c r="F3516" s="2"/>
    </row>
    <row r="3517" spans="6:6" x14ac:dyDescent="0.25">
      <c r="F3517" s="2"/>
    </row>
    <row r="3518" spans="6:6" x14ac:dyDescent="0.25">
      <c r="F3518" s="2"/>
    </row>
    <row r="3519" spans="6:6" x14ac:dyDescent="0.25">
      <c r="F3519" s="2"/>
    </row>
    <row r="3520" spans="6:6" x14ac:dyDescent="0.25">
      <c r="F3520" s="2"/>
    </row>
    <row r="3521" spans="6:6" x14ac:dyDescent="0.25">
      <c r="F3521" s="2"/>
    </row>
    <row r="3522" spans="6:6" x14ac:dyDescent="0.25">
      <c r="F3522" s="2"/>
    </row>
    <row r="3523" spans="6:6" x14ac:dyDescent="0.25">
      <c r="F3523" s="2"/>
    </row>
    <row r="3524" spans="6:6" x14ac:dyDescent="0.25">
      <c r="F3524" s="2"/>
    </row>
    <row r="3525" spans="6:6" x14ac:dyDescent="0.25">
      <c r="F3525" s="2"/>
    </row>
    <row r="3526" spans="6:6" x14ac:dyDescent="0.25">
      <c r="F3526" s="2"/>
    </row>
    <row r="3527" spans="6:6" x14ac:dyDescent="0.25">
      <c r="F3527" s="2"/>
    </row>
    <row r="3528" spans="6:6" x14ac:dyDescent="0.25">
      <c r="F3528" s="2"/>
    </row>
    <row r="3529" spans="6:6" x14ac:dyDescent="0.25">
      <c r="F3529" s="2"/>
    </row>
    <row r="3530" spans="6:6" x14ac:dyDescent="0.25">
      <c r="F3530" s="2"/>
    </row>
    <row r="3531" spans="6:6" x14ac:dyDescent="0.25">
      <c r="F3531" s="2"/>
    </row>
    <row r="3532" spans="6:6" x14ac:dyDescent="0.25">
      <c r="F3532" s="2"/>
    </row>
    <row r="3533" spans="6:6" x14ac:dyDescent="0.25">
      <c r="F3533" s="2"/>
    </row>
    <row r="3534" spans="6:6" x14ac:dyDescent="0.25">
      <c r="F3534" s="2"/>
    </row>
    <row r="3535" spans="6:6" x14ac:dyDescent="0.25">
      <c r="F3535" s="2"/>
    </row>
    <row r="3536" spans="6:6" x14ac:dyDescent="0.25">
      <c r="F3536" s="2"/>
    </row>
    <row r="3537" spans="6:6" x14ac:dyDescent="0.25">
      <c r="F3537" s="2"/>
    </row>
    <row r="3538" spans="6:6" x14ac:dyDescent="0.25">
      <c r="F3538" s="2"/>
    </row>
    <row r="3539" spans="6:6" x14ac:dyDescent="0.25">
      <c r="F3539" s="2"/>
    </row>
    <row r="3540" spans="6:6" x14ac:dyDescent="0.25">
      <c r="F3540" s="2"/>
    </row>
    <row r="3541" spans="6:6" x14ac:dyDescent="0.25">
      <c r="F3541" s="2"/>
    </row>
    <row r="3542" spans="6:6" x14ac:dyDescent="0.25">
      <c r="F3542" s="2"/>
    </row>
    <row r="3543" spans="6:6" x14ac:dyDescent="0.25">
      <c r="F3543" s="2"/>
    </row>
    <row r="3544" spans="6:6" x14ac:dyDescent="0.25">
      <c r="F3544" s="2"/>
    </row>
    <row r="3545" spans="6:6" x14ac:dyDescent="0.25">
      <c r="F3545" s="2"/>
    </row>
    <row r="3546" spans="6:6" x14ac:dyDescent="0.25">
      <c r="F3546" s="2"/>
    </row>
    <row r="3547" spans="6:6" x14ac:dyDescent="0.25">
      <c r="F3547" s="2"/>
    </row>
    <row r="3548" spans="6:6" x14ac:dyDescent="0.25">
      <c r="F3548" s="2"/>
    </row>
    <row r="3549" spans="6:6" x14ac:dyDescent="0.25">
      <c r="F3549" s="2"/>
    </row>
    <row r="3550" spans="6:6" x14ac:dyDescent="0.25">
      <c r="F3550" s="2"/>
    </row>
    <row r="3551" spans="6:6" x14ac:dyDescent="0.25">
      <c r="F3551" s="2"/>
    </row>
    <row r="3552" spans="6:6" x14ac:dyDescent="0.25">
      <c r="F3552" s="2"/>
    </row>
    <row r="3553" spans="6:6" x14ac:dyDescent="0.25">
      <c r="F3553" s="2"/>
    </row>
    <row r="3554" spans="6:6" x14ac:dyDescent="0.25">
      <c r="F3554" s="2"/>
    </row>
    <row r="3555" spans="6:6" x14ac:dyDescent="0.25">
      <c r="F3555" s="2"/>
    </row>
    <row r="3556" spans="6:6" x14ac:dyDescent="0.25">
      <c r="F3556" s="2"/>
    </row>
    <row r="3557" spans="6:6" x14ac:dyDescent="0.25">
      <c r="F3557" s="2"/>
    </row>
    <row r="3558" spans="6:6" x14ac:dyDescent="0.25">
      <c r="F3558" s="2"/>
    </row>
    <row r="3559" spans="6:6" x14ac:dyDescent="0.25">
      <c r="F3559" s="2"/>
    </row>
    <row r="3560" spans="6:6" x14ac:dyDescent="0.25">
      <c r="F3560" s="2"/>
    </row>
    <row r="3561" spans="6:6" x14ac:dyDescent="0.25">
      <c r="F3561" s="2"/>
    </row>
    <row r="3562" spans="6:6" x14ac:dyDescent="0.25">
      <c r="F3562" s="2"/>
    </row>
    <row r="3563" spans="6:6" x14ac:dyDescent="0.25">
      <c r="F3563" s="2"/>
    </row>
    <row r="3564" spans="6:6" x14ac:dyDescent="0.25">
      <c r="F3564" s="2"/>
    </row>
    <row r="3565" spans="6:6" x14ac:dyDescent="0.25">
      <c r="F3565" s="2"/>
    </row>
    <row r="3566" spans="6:6" x14ac:dyDescent="0.25">
      <c r="F3566" s="2"/>
    </row>
    <row r="3567" spans="6:6" x14ac:dyDescent="0.25">
      <c r="F3567" s="2"/>
    </row>
    <row r="3568" spans="6:6" x14ac:dyDescent="0.25">
      <c r="F3568" s="2"/>
    </row>
    <row r="3569" spans="6:6" x14ac:dyDescent="0.25">
      <c r="F3569" s="2"/>
    </row>
    <row r="3570" spans="6:6" x14ac:dyDescent="0.25">
      <c r="F3570" s="2"/>
    </row>
    <row r="3571" spans="6:6" x14ac:dyDescent="0.25">
      <c r="F3571" s="2"/>
    </row>
    <row r="3572" spans="6:6" x14ac:dyDescent="0.25">
      <c r="F3572" s="2"/>
    </row>
    <row r="3573" spans="6:6" x14ac:dyDescent="0.25">
      <c r="F3573" s="2"/>
    </row>
    <row r="3574" spans="6:6" x14ac:dyDescent="0.25">
      <c r="F3574" s="2"/>
    </row>
    <row r="3575" spans="6:6" x14ac:dyDescent="0.25">
      <c r="F3575" s="2"/>
    </row>
    <row r="3576" spans="6:6" x14ac:dyDescent="0.25">
      <c r="F3576" s="2"/>
    </row>
    <row r="3577" spans="6:6" x14ac:dyDescent="0.25">
      <c r="F3577" s="2"/>
    </row>
    <row r="3578" spans="6:6" x14ac:dyDescent="0.25">
      <c r="F3578" s="2"/>
    </row>
    <row r="3579" spans="6:6" x14ac:dyDescent="0.25">
      <c r="F3579" s="2"/>
    </row>
    <row r="3580" spans="6:6" x14ac:dyDescent="0.25">
      <c r="F3580" s="2"/>
    </row>
    <row r="3581" spans="6:6" x14ac:dyDescent="0.25">
      <c r="F3581" s="2"/>
    </row>
    <row r="3582" spans="6:6" x14ac:dyDescent="0.25">
      <c r="F3582" s="2"/>
    </row>
    <row r="3583" spans="6:6" x14ac:dyDescent="0.25">
      <c r="F3583" s="2"/>
    </row>
    <row r="3584" spans="6:6" x14ac:dyDescent="0.25">
      <c r="F3584" s="2"/>
    </row>
    <row r="3585" spans="6:6" x14ac:dyDescent="0.25">
      <c r="F3585" s="2"/>
    </row>
    <row r="3586" spans="6:6" x14ac:dyDescent="0.25">
      <c r="F3586" s="2"/>
    </row>
    <row r="3587" spans="6:6" x14ac:dyDescent="0.25">
      <c r="F3587" s="2"/>
    </row>
    <row r="3588" spans="6:6" x14ac:dyDescent="0.25">
      <c r="F3588" s="2"/>
    </row>
    <row r="3589" spans="6:6" x14ac:dyDescent="0.25">
      <c r="F3589" s="2"/>
    </row>
    <row r="3590" spans="6:6" x14ac:dyDescent="0.25">
      <c r="F3590" s="2"/>
    </row>
    <row r="3591" spans="6:6" x14ac:dyDescent="0.25">
      <c r="F3591" s="2"/>
    </row>
    <row r="3592" spans="6:6" x14ac:dyDescent="0.25">
      <c r="F3592" s="2"/>
    </row>
    <row r="3593" spans="6:6" x14ac:dyDescent="0.25">
      <c r="F3593" s="2"/>
    </row>
    <row r="3594" spans="6:6" x14ac:dyDescent="0.25">
      <c r="F3594" s="2"/>
    </row>
    <row r="3595" spans="6:6" x14ac:dyDescent="0.25">
      <c r="F3595" s="2"/>
    </row>
    <row r="3596" spans="6:6" x14ac:dyDescent="0.25">
      <c r="F3596" s="2"/>
    </row>
    <row r="3597" spans="6:6" x14ac:dyDescent="0.25">
      <c r="F3597" s="2"/>
    </row>
    <row r="3598" spans="6:6" x14ac:dyDescent="0.25">
      <c r="F3598" s="2"/>
    </row>
    <row r="3599" spans="6:6" x14ac:dyDescent="0.25">
      <c r="F3599" s="2"/>
    </row>
    <row r="3600" spans="6:6" x14ac:dyDescent="0.25">
      <c r="F3600" s="2"/>
    </row>
    <row r="3601" spans="6:6" x14ac:dyDescent="0.25">
      <c r="F3601" s="2"/>
    </row>
    <row r="3602" spans="6:6" x14ac:dyDescent="0.25">
      <c r="F3602" s="2"/>
    </row>
    <row r="3603" spans="6:6" x14ac:dyDescent="0.25">
      <c r="F3603" s="2"/>
    </row>
    <row r="3604" spans="6:6" x14ac:dyDescent="0.25">
      <c r="F3604" s="2"/>
    </row>
    <row r="3605" spans="6:6" x14ac:dyDescent="0.25">
      <c r="F3605" s="2"/>
    </row>
    <row r="3606" spans="6:6" x14ac:dyDescent="0.25">
      <c r="F3606" s="2"/>
    </row>
    <row r="3607" spans="6:6" x14ac:dyDescent="0.25">
      <c r="F3607" s="2"/>
    </row>
    <row r="3608" spans="6:6" x14ac:dyDescent="0.25">
      <c r="F3608" s="2"/>
    </row>
    <row r="3609" spans="6:6" x14ac:dyDescent="0.25">
      <c r="F3609" s="2"/>
    </row>
    <row r="3610" spans="6:6" x14ac:dyDescent="0.25">
      <c r="F3610" s="2"/>
    </row>
    <row r="3611" spans="6:6" x14ac:dyDescent="0.25">
      <c r="F3611" s="2"/>
    </row>
    <row r="3612" spans="6:6" x14ac:dyDescent="0.25">
      <c r="F3612" s="2"/>
    </row>
    <row r="3613" spans="6:6" x14ac:dyDescent="0.25">
      <c r="F3613" s="2"/>
    </row>
    <row r="3614" spans="6:6" x14ac:dyDescent="0.25">
      <c r="F3614" s="2"/>
    </row>
    <row r="3615" spans="6:6" x14ac:dyDescent="0.25">
      <c r="F3615" s="2"/>
    </row>
    <row r="3616" spans="6:6" x14ac:dyDescent="0.25">
      <c r="F3616" s="2"/>
    </row>
    <row r="3617" spans="6:6" x14ac:dyDescent="0.25">
      <c r="F3617" s="2"/>
    </row>
    <row r="3618" spans="6:6" x14ac:dyDescent="0.25">
      <c r="F3618" s="2"/>
    </row>
    <row r="3619" spans="6:6" x14ac:dyDescent="0.25">
      <c r="F3619" s="2"/>
    </row>
    <row r="3620" spans="6:6" x14ac:dyDescent="0.25">
      <c r="F3620" s="2"/>
    </row>
    <row r="3621" spans="6:6" x14ac:dyDescent="0.25">
      <c r="F3621" s="2"/>
    </row>
    <row r="3622" spans="6:6" x14ac:dyDescent="0.25">
      <c r="F3622" s="2"/>
    </row>
    <row r="3623" spans="6:6" x14ac:dyDescent="0.25">
      <c r="F3623" s="2"/>
    </row>
    <row r="3624" spans="6:6" x14ac:dyDescent="0.25">
      <c r="F3624" s="2"/>
    </row>
    <row r="3625" spans="6:6" x14ac:dyDescent="0.25">
      <c r="F3625" s="2"/>
    </row>
    <row r="3626" spans="6:6" x14ac:dyDescent="0.25">
      <c r="F3626" s="2"/>
    </row>
    <row r="3627" spans="6:6" x14ac:dyDescent="0.25">
      <c r="F3627" s="2"/>
    </row>
    <row r="3628" spans="6:6" x14ac:dyDescent="0.25">
      <c r="F3628" s="2"/>
    </row>
    <row r="3629" spans="6:6" x14ac:dyDescent="0.25">
      <c r="F3629" s="2"/>
    </row>
    <row r="3630" spans="6:6" x14ac:dyDescent="0.25">
      <c r="F3630" s="2"/>
    </row>
    <row r="3631" spans="6:6" x14ac:dyDescent="0.25">
      <c r="F3631" s="2"/>
    </row>
    <row r="3632" spans="6:6" x14ac:dyDescent="0.25">
      <c r="F3632" s="2"/>
    </row>
    <row r="3633" spans="6:6" x14ac:dyDescent="0.25">
      <c r="F3633" s="2"/>
    </row>
    <row r="3634" spans="6:6" x14ac:dyDescent="0.25">
      <c r="F3634" s="2"/>
    </row>
    <row r="3635" spans="6:6" x14ac:dyDescent="0.25">
      <c r="F3635" s="2"/>
    </row>
    <row r="3636" spans="6:6" x14ac:dyDescent="0.25">
      <c r="F3636" s="2"/>
    </row>
    <row r="3637" spans="6:6" x14ac:dyDescent="0.25">
      <c r="F3637" s="2"/>
    </row>
    <row r="3638" spans="6:6" x14ac:dyDescent="0.25">
      <c r="F3638" s="2"/>
    </row>
    <row r="3639" spans="6:6" x14ac:dyDescent="0.25">
      <c r="F3639" s="2"/>
    </row>
    <row r="3640" spans="6:6" x14ac:dyDescent="0.25">
      <c r="F3640" s="2"/>
    </row>
    <row r="3641" spans="6:6" x14ac:dyDescent="0.25">
      <c r="F3641" s="2"/>
    </row>
    <row r="3642" spans="6:6" x14ac:dyDescent="0.25">
      <c r="F3642" s="2"/>
    </row>
    <row r="3643" spans="6:6" x14ac:dyDescent="0.25">
      <c r="F3643" s="2"/>
    </row>
    <row r="3644" spans="6:6" x14ac:dyDescent="0.25">
      <c r="F3644" s="2"/>
    </row>
    <row r="3645" spans="6:6" x14ac:dyDescent="0.25">
      <c r="F3645" s="2"/>
    </row>
    <row r="3646" spans="6:6" x14ac:dyDescent="0.25">
      <c r="F3646" s="2"/>
    </row>
    <row r="3647" spans="6:6" x14ac:dyDescent="0.25">
      <c r="F3647" s="2"/>
    </row>
    <row r="3648" spans="6:6" x14ac:dyDescent="0.25">
      <c r="F3648" s="2"/>
    </row>
    <row r="3649" spans="6:6" x14ac:dyDescent="0.25">
      <c r="F3649" s="2"/>
    </row>
    <row r="3650" spans="6:6" x14ac:dyDescent="0.25">
      <c r="F3650" s="2"/>
    </row>
    <row r="3651" spans="6:6" x14ac:dyDescent="0.25">
      <c r="F3651" s="2"/>
    </row>
    <row r="3652" spans="6:6" x14ac:dyDescent="0.25">
      <c r="F3652" s="2"/>
    </row>
    <row r="3653" spans="6:6" x14ac:dyDescent="0.25">
      <c r="F3653" s="2"/>
    </row>
    <row r="3654" spans="6:6" x14ac:dyDescent="0.25">
      <c r="F3654" s="2"/>
    </row>
    <row r="3655" spans="6:6" x14ac:dyDescent="0.25">
      <c r="F3655" s="2"/>
    </row>
    <row r="3656" spans="6:6" x14ac:dyDescent="0.25">
      <c r="F3656" s="2"/>
    </row>
    <row r="3657" spans="6:6" x14ac:dyDescent="0.25">
      <c r="F3657" s="2"/>
    </row>
    <row r="3658" spans="6:6" x14ac:dyDescent="0.25">
      <c r="F3658" s="2"/>
    </row>
    <row r="3659" spans="6:6" x14ac:dyDescent="0.25">
      <c r="F3659" s="2"/>
    </row>
    <row r="3660" spans="6:6" x14ac:dyDescent="0.25">
      <c r="F3660" s="2"/>
    </row>
    <row r="3661" spans="6:6" x14ac:dyDescent="0.25">
      <c r="F3661" s="2"/>
    </row>
    <row r="3662" spans="6:6" x14ac:dyDescent="0.25">
      <c r="F3662" s="2"/>
    </row>
    <row r="3663" spans="6:6" x14ac:dyDescent="0.25">
      <c r="F3663" s="2"/>
    </row>
    <row r="3664" spans="6:6" x14ac:dyDescent="0.25">
      <c r="F3664" s="2"/>
    </row>
    <row r="3665" spans="6:6" x14ac:dyDescent="0.25">
      <c r="F3665" s="2"/>
    </row>
    <row r="3666" spans="6:6" x14ac:dyDescent="0.25">
      <c r="F3666" s="2"/>
    </row>
    <row r="3667" spans="6:6" x14ac:dyDescent="0.25">
      <c r="F3667" s="2"/>
    </row>
    <row r="3668" spans="6:6" x14ac:dyDescent="0.25">
      <c r="F3668" s="2"/>
    </row>
    <row r="3669" spans="6:6" x14ac:dyDescent="0.25">
      <c r="F3669" s="2"/>
    </row>
    <row r="3670" spans="6:6" x14ac:dyDescent="0.25">
      <c r="F3670" s="2"/>
    </row>
    <row r="3671" spans="6:6" x14ac:dyDescent="0.25">
      <c r="F3671" s="2"/>
    </row>
    <row r="3672" spans="6:6" x14ac:dyDescent="0.25">
      <c r="F3672" s="2"/>
    </row>
    <row r="3673" spans="6:6" x14ac:dyDescent="0.25">
      <c r="F3673" s="2"/>
    </row>
    <row r="3674" spans="6:6" x14ac:dyDescent="0.25">
      <c r="F3674" s="2"/>
    </row>
    <row r="3675" spans="6:6" x14ac:dyDescent="0.25">
      <c r="F3675" s="2"/>
    </row>
    <row r="3676" spans="6:6" x14ac:dyDescent="0.25">
      <c r="F3676" s="2"/>
    </row>
    <row r="3677" spans="6:6" x14ac:dyDescent="0.25">
      <c r="F3677" s="2"/>
    </row>
    <row r="3678" spans="6:6" x14ac:dyDescent="0.25">
      <c r="F3678" s="2"/>
    </row>
    <row r="3679" spans="6:6" x14ac:dyDescent="0.25">
      <c r="F3679" s="2"/>
    </row>
    <row r="3680" spans="6:6" x14ac:dyDescent="0.25">
      <c r="F3680" s="2"/>
    </row>
    <row r="3681" spans="6:6" x14ac:dyDescent="0.25">
      <c r="F3681" s="2"/>
    </row>
    <row r="3682" spans="6:6" x14ac:dyDescent="0.25">
      <c r="F3682" s="2"/>
    </row>
    <row r="3683" spans="6:6" x14ac:dyDescent="0.25">
      <c r="F3683" s="2"/>
    </row>
    <row r="3684" spans="6:6" x14ac:dyDescent="0.25">
      <c r="F3684" s="2"/>
    </row>
    <row r="3685" spans="6:6" x14ac:dyDescent="0.25">
      <c r="F3685" s="2"/>
    </row>
    <row r="3686" spans="6:6" x14ac:dyDescent="0.25">
      <c r="F3686" s="2"/>
    </row>
    <row r="3687" spans="6:6" x14ac:dyDescent="0.25">
      <c r="F3687" s="2"/>
    </row>
    <row r="3688" spans="6:6" x14ac:dyDescent="0.25">
      <c r="F3688" s="2"/>
    </row>
    <row r="3689" spans="6:6" x14ac:dyDescent="0.25">
      <c r="F3689" s="2"/>
    </row>
    <row r="3690" spans="6:6" x14ac:dyDescent="0.25">
      <c r="F3690" s="2"/>
    </row>
    <row r="3691" spans="6:6" x14ac:dyDescent="0.25">
      <c r="F3691" s="2"/>
    </row>
    <row r="3692" spans="6:6" x14ac:dyDescent="0.25">
      <c r="F3692" s="2"/>
    </row>
    <row r="3693" spans="6:6" x14ac:dyDescent="0.25">
      <c r="F3693" s="2"/>
    </row>
    <row r="3694" spans="6:6" x14ac:dyDescent="0.25">
      <c r="F3694" s="2"/>
    </row>
    <row r="3695" spans="6:6" x14ac:dyDescent="0.25">
      <c r="F3695" s="2"/>
    </row>
    <row r="3696" spans="6:6" x14ac:dyDescent="0.25">
      <c r="F3696" s="2"/>
    </row>
    <row r="3697" spans="6:6" x14ac:dyDescent="0.25">
      <c r="F3697" s="2"/>
    </row>
    <row r="3698" spans="6:6" x14ac:dyDescent="0.25">
      <c r="F3698" s="2"/>
    </row>
    <row r="3699" spans="6:6" x14ac:dyDescent="0.25">
      <c r="F3699" s="2"/>
    </row>
    <row r="3700" spans="6:6" x14ac:dyDescent="0.25">
      <c r="F3700" s="2"/>
    </row>
    <row r="3701" spans="6:6" x14ac:dyDescent="0.25">
      <c r="F3701" s="2"/>
    </row>
    <row r="3702" spans="6:6" x14ac:dyDescent="0.25">
      <c r="F3702" s="2"/>
    </row>
    <row r="3703" spans="6:6" x14ac:dyDescent="0.25">
      <c r="F3703" s="2"/>
    </row>
    <row r="3704" spans="6:6" x14ac:dyDescent="0.25">
      <c r="F3704" s="2"/>
    </row>
    <row r="3705" spans="6:6" x14ac:dyDescent="0.25">
      <c r="F3705" s="2"/>
    </row>
    <row r="3706" spans="6:6" x14ac:dyDescent="0.25">
      <c r="F3706" s="2"/>
    </row>
    <row r="3707" spans="6:6" x14ac:dyDescent="0.25">
      <c r="F3707" s="2"/>
    </row>
    <row r="3708" spans="6:6" x14ac:dyDescent="0.25">
      <c r="F3708" s="2"/>
    </row>
    <row r="3709" spans="6:6" x14ac:dyDescent="0.25">
      <c r="F3709" s="2"/>
    </row>
    <row r="3710" spans="6:6" x14ac:dyDescent="0.25">
      <c r="F3710" s="2"/>
    </row>
    <row r="3711" spans="6:6" x14ac:dyDescent="0.25">
      <c r="F3711" s="2"/>
    </row>
    <row r="3712" spans="6:6" x14ac:dyDescent="0.25">
      <c r="F3712" s="2"/>
    </row>
    <row r="3713" spans="6:6" x14ac:dyDescent="0.25">
      <c r="F3713" s="2"/>
    </row>
    <row r="3714" spans="6:6" x14ac:dyDescent="0.25">
      <c r="F3714" s="2"/>
    </row>
    <row r="3715" spans="6:6" x14ac:dyDescent="0.25">
      <c r="F3715" s="2"/>
    </row>
    <row r="3716" spans="6:6" x14ac:dyDescent="0.25">
      <c r="F3716" s="2"/>
    </row>
    <row r="3717" spans="6:6" x14ac:dyDescent="0.25">
      <c r="F3717" s="2"/>
    </row>
    <row r="3718" spans="6:6" x14ac:dyDescent="0.25">
      <c r="F3718" s="2"/>
    </row>
    <row r="3719" spans="6:6" x14ac:dyDescent="0.25">
      <c r="F3719" s="2"/>
    </row>
    <row r="3720" spans="6:6" x14ac:dyDescent="0.25">
      <c r="F3720" s="2"/>
    </row>
    <row r="3721" spans="6:6" x14ac:dyDescent="0.25">
      <c r="F3721" s="2"/>
    </row>
    <row r="3722" spans="6:6" x14ac:dyDescent="0.25">
      <c r="F3722" s="2"/>
    </row>
    <row r="3723" spans="6:6" x14ac:dyDescent="0.25">
      <c r="F3723" s="2"/>
    </row>
    <row r="3724" spans="6:6" x14ac:dyDescent="0.25">
      <c r="F3724" s="2"/>
    </row>
    <row r="3725" spans="6:6" x14ac:dyDescent="0.25">
      <c r="F3725" s="2"/>
    </row>
    <row r="3726" spans="6:6" x14ac:dyDescent="0.25">
      <c r="F3726" s="2"/>
    </row>
    <row r="3727" spans="6:6" x14ac:dyDescent="0.25">
      <c r="F3727" s="2"/>
    </row>
    <row r="3728" spans="6:6" x14ac:dyDescent="0.25">
      <c r="F3728" s="2"/>
    </row>
    <row r="3729" spans="6:6" x14ac:dyDescent="0.25">
      <c r="F3729" s="2"/>
    </row>
    <row r="3730" spans="6:6" x14ac:dyDescent="0.25">
      <c r="F3730" s="2"/>
    </row>
    <row r="3731" spans="6:6" x14ac:dyDescent="0.25">
      <c r="F3731" s="2"/>
    </row>
    <row r="3732" spans="6:6" x14ac:dyDescent="0.25">
      <c r="F3732" s="2"/>
    </row>
    <row r="3733" spans="6:6" x14ac:dyDescent="0.25">
      <c r="F3733" s="2"/>
    </row>
    <row r="3734" spans="6:6" x14ac:dyDescent="0.25">
      <c r="F3734" s="2"/>
    </row>
    <row r="3735" spans="6:6" x14ac:dyDescent="0.25">
      <c r="F3735" s="2"/>
    </row>
    <row r="3736" spans="6:6" x14ac:dyDescent="0.25">
      <c r="F3736" s="2"/>
    </row>
    <row r="3737" spans="6:6" x14ac:dyDescent="0.25">
      <c r="F3737" s="2"/>
    </row>
    <row r="3738" spans="6:6" x14ac:dyDescent="0.25">
      <c r="F3738" s="2"/>
    </row>
    <row r="3739" spans="6:6" x14ac:dyDescent="0.25">
      <c r="F3739" s="2"/>
    </row>
    <row r="3740" spans="6:6" x14ac:dyDescent="0.25">
      <c r="F3740" s="2"/>
    </row>
    <row r="3741" spans="6:6" x14ac:dyDescent="0.25">
      <c r="F3741" s="2"/>
    </row>
    <row r="3742" spans="6:6" x14ac:dyDescent="0.25">
      <c r="F3742" s="2"/>
    </row>
    <row r="3743" spans="6:6" x14ac:dyDescent="0.25">
      <c r="F3743" s="2"/>
    </row>
    <row r="3744" spans="6:6" x14ac:dyDescent="0.25">
      <c r="F3744" s="2"/>
    </row>
    <row r="3745" spans="6:6" x14ac:dyDescent="0.25">
      <c r="F3745" s="2"/>
    </row>
    <row r="3746" spans="6:6" x14ac:dyDescent="0.25">
      <c r="F3746" s="2"/>
    </row>
    <row r="3747" spans="6:6" x14ac:dyDescent="0.25">
      <c r="F3747" s="2"/>
    </row>
    <row r="3748" spans="6:6" x14ac:dyDescent="0.25">
      <c r="F3748" s="2"/>
    </row>
    <row r="3749" spans="6:6" x14ac:dyDescent="0.25">
      <c r="F3749" s="2"/>
    </row>
    <row r="3750" spans="6:6" x14ac:dyDescent="0.25">
      <c r="F3750" s="2"/>
    </row>
    <row r="3751" spans="6:6" x14ac:dyDescent="0.25">
      <c r="F3751" s="2"/>
    </row>
    <row r="3752" spans="6:6" x14ac:dyDescent="0.25">
      <c r="F3752" s="2"/>
    </row>
    <row r="3753" spans="6:6" x14ac:dyDescent="0.25">
      <c r="F3753" s="2"/>
    </row>
    <row r="3754" spans="6:6" x14ac:dyDescent="0.25">
      <c r="F3754" s="2"/>
    </row>
    <row r="3755" spans="6:6" x14ac:dyDescent="0.25">
      <c r="F3755" s="2"/>
    </row>
    <row r="3756" spans="6:6" x14ac:dyDescent="0.25">
      <c r="F3756" s="2"/>
    </row>
    <row r="3757" spans="6:6" x14ac:dyDescent="0.25">
      <c r="F3757" s="2"/>
    </row>
    <row r="3758" spans="6:6" x14ac:dyDescent="0.25">
      <c r="F3758" s="2"/>
    </row>
    <row r="3759" spans="6:6" x14ac:dyDescent="0.25">
      <c r="F3759" s="2"/>
    </row>
    <row r="3760" spans="6:6" x14ac:dyDescent="0.25">
      <c r="F3760" s="2"/>
    </row>
    <row r="3761" spans="6:6" x14ac:dyDescent="0.25">
      <c r="F3761" s="2"/>
    </row>
    <row r="3762" spans="6:6" x14ac:dyDescent="0.25">
      <c r="F3762" s="2"/>
    </row>
    <row r="3763" spans="6:6" x14ac:dyDescent="0.25">
      <c r="F3763" s="2"/>
    </row>
    <row r="3764" spans="6:6" x14ac:dyDescent="0.25">
      <c r="F3764" s="2"/>
    </row>
    <row r="3765" spans="6:6" x14ac:dyDescent="0.25">
      <c r="F3765" s="2"/>
    </row>
    <row r="3766" spans="6:6" x14ac:dyDescent="0.25">
      <c r="F3766" s="2"/>
    </row>
    <row r="3767" spans="6:6" x14ac:dyDescent="0.25">
      <c r="F3767" s="2"/>
    </row>
    <row r="3768" spans="6:6" x14ac:dyDescent="0.25">
      <c r="F3768" s="2"/>
    </row>
    <row r="3769" spans="6:6" x14ac:dyDescent="0.25">
      <c r="F3769" s="2"/>
    </row>
    <row r="3770" spans="6:6" x14ac:dyDescent="0.25">
      <c r="F3770" s="2"/>
    </row>
    <row r="3771" spans="6:6" x14ac:dyDescent="0.25">
      <c r="F3771" s="2"/>
    </row>
    <row r="3772" spans="6:6" x14ac:dyDescent="0.25">
      <c r="F3772" s="2"/>
    </row>
    <row r="3773" spans="6:6" x14ac:dyDescent="0.25">
      <c r="F3773" s="2"/>
    </row>
    <row r="3774" spans="6:6" x14ac:dyDescent="0.25">
      <c r="F3774" s="2"/>
    </row>
    <row r="3775" spans="6:6" x14ac:dyDescent="0.25">
      <c r="F3775" s="2"/>
    </row>
    <row r="3776" spans="6:6" x14ac:dyDescent="0.25">
      <c r="F3776" s="2"/>
    </row>
    <row r="3777" spans="6:6" x14ac:dyDescent="0.25">
      <c r="F3777" s="2"/>
    </row>
    <row r="3778" spans="6:6" x14ac:dyDescent="0.25">
      <c r="F3778" s="2"/>
    </row>
    <row r="3779" spans="6:6" x14ac:dyDescent="0.25">
      <c r="F3779" s="2"/>
    </row>
    <row r="3780" spans="6:6" x14ac:dyDescent="0.25">
      <c r="F3780" s="2"/>
    </row>
    <row r="3781" spans="6:6" x14ac:dyDescent="0.25">
      <c r="F3781" s="2"/>
    </row>
    <row r="3782" spans="6:6" x14ac:dyDescent="0.25">
      <c r="F3782" s="2"/>
    </row>
    <row r="3783" spans="6:6" x14ac:dyDescent="0.25">
      <c r="F3783" s="2"/>
    </row>
    <row r="3784" spans="6:6" x14ac:dyDescent="0.25">
      <c r="F3784" s="2"/>
    </row>
    <row r="3785" spans="6:6" x14ac:dyDescent="0.25">
      <c r="F3785" s="2"/>
    </row>
    <row r="3786" spans="6:6" x14ac:dyDescent="0.25">
      <c r="F3786" s="2"/>
    </row>
    <row r="3787" spans="6:6" x14ac:dyDescent="0.25">
      <c r="F3787" s="2"/>
    </row>
    <row r="3788" spans="6:6" x14ac:dyDescent="0.25">
      <c r="F3788" s="2"/>
    </row>
    <row r="3789" spans="6:6" x14ac:dyDescent="0.25">
      <c r="F3789" s="2"/>
    </row>
    <row r="3790" spans="6:6" x14ac:dyDescent="0.25">
      <c r="F3790" s="2"/>
    </row>
    <row r="3791" spans="6:6" x14ac:dyDescent="0.25">
      <c r="F3791" s="2"/>
    </row>
    <row r="3792" spans="6:6" x14ac:dyDescent="0.25">
      <c r="F3792" s="2"/>
    </row>
    <row r="3793" spans="6:6" x14ac:dyDescent="0.25">
      <c r="F3793" s="2"/>
    </row>
    <row r="3794" spans="6:6" x14ac:dyDescent="0.25">
      <c r="F3794" s="2"/>
    </row>
    <row r="3795" spans="6:6" x14ac:dyDescent="0.25">
      <c r="F3795" s="2"/>
    </row>
    <row r="3796" spans="6:6" x14ac:dyDescent="0.25">
      <c r="F3796" s="2"/>
    </row>
    <row r="3797" spans="6:6" x14ac:dyDescent="0.25">
      <c r="F3797" s="2"/>
    </row>
    <row r="3798" spans="6:6" x14ac:dyDescent="0.25">
      <c r="F3798" s="2"/>
    </row>
    <row r="3799" spans="6:6" x14ac:dyDescent="0.25">
      <c r="F3799" s="2"/>
    </row>
    <row r="3800" spans="6:6" x14ac:dyDescent="0.25">
      <c r="F3800" s="2"/>
    </row>
    <row r="3801" spans="6:6" x14ac:dyDescent="0.25">
      <c r="F3801" s="2"/>
    </row>
    <row r="3802" spans="6:6" x14ac:dyDescent="0.25">
      <c r="F3802" s="2"/>
    </row>
    <row r="3803" spans="6:6" x14ac:dyDescent="0.25">
      <c r="F3803" s="2"/>
    </row>
    <row r="3804" spans="6:6" x14ac:dyDescent="0.25">
      <c r="F3804" s="2"/>
    </row>
    <row r="3805" spans="6:6" x14ac:dyDescent="0.25">
      <c r="F3805" s="2"/>
    </row>
    <row r="3806" spans="6:6" x14ac:dyDescent="0.25">
      <c r="F3806" s="2"/>
    </row>
    <row r="3807" spans="6:6" x14ac:dyDescent="0.25">
      <c r="F3807" s="2"/>
    </row>
    <row r="3808" spans="6:6" x14ac:dyDescent="0.25">
      <c r="F3808" s="2"/>
    </row>
    <row r="3809" spans="6:6" x14ac:dyDescent="0.25">
      <c r="F3809" s="2"/>
    </row>
    <row r="3810" spans="6:6" x14ac:dyDescent="0.25">
      <c r="F3810" s="2"/>
    </row>
    <row r="3811" spans="6:6" x14ac:dyDescent="0.25">
      <c r="F3811" s="2"/>
    </row>
    <row r="3812" spans="6:6" x14ac:dyDescent="0.25">
      <c r="F3812" s="2"/>
    </row>
    <row r="3813" spans="6:6" x14ac:dyDescent="0.25">
      <c r="F3813" s="2"/>
    </row>
    <row r="3814" spans="6:6" x14ac:dyDescent="0.25">
      <c r="F3814" s="2"/>
    </row>
    <row r="3815" spans="6:6" x14ac:dyDescent="0.25">
      <c r="F3815" s="2"/>
    </row>
    <row r="3816" spans="6:6" x14ac:dyDescent="0.25">
      <c r="F3816" s="2"/>
    </row>
    <row r="3817" spans="6:6" x14ac:dyDescent="0.25">
      <c r="F3817" s="2"/>
    </row>
    <row r="3818" spans="6:6" x14ac:dyDescent="0.25">
      <c r="F3818" s="2"/>
    </row>
    <row r="3819" spans="6:6" x14ac:dyDescent="0.25">
      <c r="F3819" s="2"/>
    </row>
    <row r="3820" spans="6:6" x14ac:dyDescent="0.25">
      <c r="F3820" s="2"/>
    </row>
    <row r="3821" spans="6:6" x14ac:dyDescent="0.25">
      <c r="F3821" s="2"/>
    </row>
    <row r="3822" spans="6:6" x14ac:dyDescent="0.25">
      <c r="F3822" s="2"/>
    </row>
    <row r="3823" spans="6:6" x14ac:dyDescent="0.25">
      <c r="F3823" s="2"/>
    </row>
    <row r="3824" spans="6:6" x14ac:dyDescent="0.25">
      <c r="F3824" s="2"/>
    </row>
    <row r="3825" spans="6:6" x14ac:dyDescent="0.25">
      <c r="F3825" s="2"/>
    </row>
    <row r="3826" spans="6:6" x14ac:dyDescent="0.25">
      <c r="F3826" s="2"/>
    </row>
    <row r="3827" spans="6:6" x14ac:dyDescent="0.25">
      <c r="F3827" s="2"/>
    </row>
    <row r="3828" spans="6:6" x14ac:dyDescent="0.25">
      <c r="F3828" s="2"/>
    </row>
    <row r="3829" spans="6:6" x14ac:dyDescent="0.25">
      <c r="F3829" s="2"/>
    </row>
    <row r="3830" spans="6:6" x14ac:dyDescent="0.25">
      <c r="F3830" s="2"/>
    </row>
    <row r="3831" spans="6:6" x14ac:dyDescent="0.25">
      <c r="F3831" s="2"/>
    </row>
    <row r="3832" spans="6:6" x14ac:dyDescent="0.25">
      <c r="F3832" s="2"/>
    </row>
    <row r="3833" spans="6:6" x14ac:dyDescent="0.25">
      <c r="F3833" s="2"/>
    </row>
    <row r="3834" spans="6:6" x14ac:dyDescent="0.25">
      <c r="F3834" s="2"/>
    </row>
    <row r="3835" spans="6:6" x14ac:dyDescent="0.25">
      <c r="F3835" s="2"/>
    </row>
    <row r="3836" spans="6:6" x14ac:dyDescent="0.25">
      <c r="F3836" s="2"/>
    </row>
    <row r="3837" spans="6:6" x14ac:dyDescent="0.25">
      <c r="F3837" s="2"/>
    </row>
    <row r="3838" spans="6:6" x14ac:dyDescent="0.25">
      <c r="F3838" s="2"/>
    </row>
    <row r="3839" spans="6:6" x14ac:dyDescent="0.25">
      <c r="F3839" s="2"/>
    </row>
    <row r="3840" spans="6:6" x14ac:dyDescent="0.25">
      <c r="F3840" s="2"/>
    </row>
    <row r="3841" spans="6:6" x14ac:dyDescent="0.25">
      <c r="F3841" s="2"/>
    </row>
    <row r="3842" spans="6:6" x14ac:dyDescent="0.25">
      <c r="F3842" s="2"/>
    </row>
    <row r="3843" spans="6:6" x14ac:dyDescent="0.25">
      <c r="F3843" s="2"/>
    </row>
    <row r="3844" spans="6:6" x14ac:dyDescent="0.25">
      <c r="F3844" s="2"/>
    </row>
    <row r="3845" spans="6:6" x14ac:dyDescent="0.25">
      <c r="F3845" s="2"/>
    </row>
    <row r="3846" spans="6:6" x14ac:dyDescent="0.25">
      <c r="F3846" s="2"/>
    </row>
    <row r="3847" spans="6:6" x14ac:dyDescent="0.25">
      <c r="F3847" s="2"/>
    </row>
    <row r="3848" spans="6:6" x14ac:dyDescent="0.25">
      <c r="F3848" s="2"/>
    </row>
    <row r="3849" spans="6:6" x14ac:dyDescent="0.25">
      <c r="F3849" s="2"/>
    </row>
    <row r="3850" spans="6:6" x14ac:dyDescent="0.25">
      <c r="F3850" s="2"/>
    </row>
    <row r="3851" spans="6:6" x14ac:dyDescent="0.25">
      <c r="F3851" s="2"/>
    </row>
    <row r="3852" spans="6:6" x14ac:dyDescent="0.25">
      <c r="F3852" s="2"/>
    </row>
    <row r="3853" spans="6:6" x14ac:dyDescent="0.25">
      <c r="F3853" s="2"/>
    </row>
    <row r="3854" spans="6:6" x14ac:dyDescent="0.25">
      <c r="F3854" s="2"/>
    </row>
    <row r="3855" spans="6:6" x14ac:dyDescent="0.25">
      <c r="F3855" s="2"/>
    </row>
    <row r="3856" spans="6:6" x14ac:dyDescent="0.25">
      <c r="F3856" s="2"/>
    </row>
    <row r="3857" spans="6:6" x14ac:dyDescent="0.25">
      <c r="F3857" s="2"/>
    </row>
    <row r="3858" spans="6:6" x14ac:dyDescent="0.25">
      <c r="F3858" s="2"/>
    </row>
    <row r="3859" spans="6:6" x14ac:dyDescent="0.25">
      <c r="F3859" s="2"/>
    </row>
    <row r="3860" spans="6:6" x14ac:dyDescent="0.25">
      <c r="F3860" s="2"/>
    </row>
    <row r="3861" spans="6:6" x14ac:dyDescent="0.25">
      <c r="F3861" s="2"/>
    </row>
    <row r="3862" spans="6:6" x14ac:dyDescent="0.25">
      <c r="F3862" s="2"/>
    </row>
    <row r="3863" spans="6:6" x14ac:dyDescent="0.25">
      <c r="F3863" s="2"/>
    </row>
    <row r="3864" spans="6:6" x14ac:dyDescent="0.25">
      <c r="F3864" s="2"/>
    </row>
    <row r="3865" spans="6:6" x14ac:dyDescent="0.25">
      <c r="F3865" s="2"/>
    </row>
    <row r="3866" spans="6:6" x14ac:dyDescent="0.25">
      <c r="F3866" s="2"/>
    </row>
    <row r="3867" spans="6:6" x14ac:dyDescent="0.25">
      <c r="F3867" s="2"/>
    </row>
    <row r="3868" spans="6:6" x14ac:dyDescent="0.25">
      <c r="F3868" s="2"/>
    </row>
    <row r="3869" spans="6:6" x14ac:dyDescent="0.25">
      <c r="F3869" s="2"/>
    </row>
    <row r="3870" spans="6:6" x14ac:dyDescent="0.25">
      <c r="F3870" s="2"/>
    </row>
    <row r="3871" spans="6:6" x14ac:dyDescent="0.25">
      <c r="F3871" s="2"/>
    </row>
    <row r="3872" spans="6:6" x14ac:dyDescent="0.25">
      <c r="F3872" s="2"/>
    </row>
    <row r="3873" spans="6:6" x14ac:dyDescent="0.25">
      <c r="F3873" s="2"/>
    </row>
    <row r="3874" spans="6:6" x14ac:dyDescent="0.25">
      <c r="F3874" s="2"/>
    </row>
    <row r="3875" spans="6:6" x14ac:dyDescent="0.25">
      <c r="F3875" s="2"/>
    </row>
    <row r="3876" spans="6:6" x14ac:dyDescent="0.25">
      <c r="F3876" s="2"/>
    </row>
    <row r="3877" spans="6:6" x14ac:dyDescent="0.25">
      <c r="F3877" s="2"/>
    </row>
    <row r="3878" spans="6:6" x14ac:dyDescent="0.25">
      <c r="F3878" s="2"/>
    </row>
    <row r="3879" spans="6:6" x14ac:dyDescent="0.25">
      <c r="F3879" s="2"/>
    </row>
    <row r="3880" spans="6:6" x14ac:dyDescent="0.25">
      <c r="F3880" s="2"/>
    </row>
    <row r="3881" spans="6:6" x14ac:dyDescent="0.25">
      <c r="F3881" s="2"/>
    </row>
    <row r="3882" spans="6:6" x14ac:dyDescent="0.25">
      <c r="F3882" s="2"/>
    </row>
    <row r="3883" spans="6:6" x14ac:dyDescent="0.25">
      <c r="F3883" s="2"/>
    </row>
    <row r="3884" spans="6:6" x14ac:dyDescent="0.25">
      <c r="F3884" s="2"/>
    </row>
    <row r="3885" spans="6:6" x14ac:dyDescent="0.25">
      <c r="F3885" s="2"/>
    </row>
    <row r="3886" spans="6:6" x14ac:dyDescent="0.25">
      <c r="F3886" s="2"/>
    </row>
    <row r="3887" spans="6:6" x14ac:dyDescent="0.25">
      <c r="F3887" s="2"/>
    </row>
    <row r="3888" spans="6:6" x14ac:dyDescent="0.25">
      <c r="F3888" s="2"/>
    </row>
    <row r="3889" spans="6:6" x14ac:dyDescent="0.25">
      <c r="F3889" s="2"/>
    </row>
    <row r="3890" spans="6:6" x14ac:dyDescent="0.25">
      <c r="F3890" s="2"/>
    </row>
    <row r="3891" spans="6:6" x14ac:dyDescent="0.25">
      <c r="F3891" s="2"/>
    </row>
    <row r="3892" spans="6:6" x14ac:dyDescent="0.25">
      <c r="F3892" s="2"/>
    </row>
    <row r="3893" spans="6:6" x14ac:dyDescent="0.25">
      <c r="F3893" s="2"/>
    </row>
    <row r="3894" spans="6:6" x14ac:dyDescent="0.25">
      <c r="F3894" s="2"/>
    </row>
    <row r="3895" spans="6:6" x14ac:dyDescent="0.25">
      <c r="F3895" s="2"/>
    </row>
    <row r="3896" spans="6:6" x14ac:dyDescent="0.25">
      <c r="F3896" s="2"/>
    </row>
    <row r="3897" spans="6:6" x14ac:dyDescent="0.25">
      <c r="F3897" s="2"/>
    </row>
    <row r="3898" spans="6:6" x14ac:dyDescent="0.25">
      <c r="F3898" s="2"/>
    </row>
    <row r="3899" spans="6:6" x14ac:dyDescent="0.25">
      <c r="F3899" s="2"/>
    </row>
    <row r="3900" spans="6:6" x14ac:dyDescent="0.25">
      <c r="F3900" s="2"/>
    </row>
    <row r="3901" spans="6:6" x14ac:dyDescent="0.25">
      <c r="F3901" s="2"/>
    </row>
    <row r="3902" spans="6:6" x14ac:dyDescent="0.25">
      <c r="F3902" s="2"/>
    </row>
    <row r="3903" spans="6:6" x14ac:dyDescent="0.25">
      <c r="F3903" s="2"/>
    </row>
    <row r="3904" spans="6:6" x14ac:dyDescent="0.25">
      <c r="F3904" s="2"/>
    </row>
    <row r="3905" spans="6:6" x14ac:dyDescent="0.25">
      <c r="F3905" s="2"/>
    </row>
    <row r="3906" spans="6:6" x14ac:dyDescent="0.25">
      <c r="F3906" s="2"/>
    </row>
    <row r="3907" spans="6:6" x14ac:dyDescent="0.25">
      <c r="F3907" s="2"/>
    </row>
    <row r="3908" spans="6:6" x14ac:dyDescent="0.25">
      <c r="F3908" s="2"/>
    </row>
    <row r="3909" spans="6:6" x14ac:dyDescent="0.25">
      <c r="F3909" s="2"/>
    </row>
    <row r="3910" spans="6:6" x14ac:dyDescent="0.25">
      <c r="F3910" s="2"/>
    </row>
    <row r="3911" spans="6:6" x14ac:dyDescent="0.25">
      <c r="F3911" s="2"/>
    </row>
    <row r="3912" spans="6:6" x14ac:dyDescent="0.25">
      <c r="F3912" s="2"/>
    </row>
    <row r="3913" spans="6:6" x14ac:dyDescent="0.25">
      <c r="F3913" s="2"/>
    </row>
    <row r="3914" spans="6:6" x14ac:dyDescent="0.25">
      <c r="F3914" s="2"/>
    </row>
    <row r="3915" spans="6:6" x14ac:dyDescent="0.25">
      <c r="F3915" s="2"/>
    </row>
    <row r="3916" spans="6:6" x14ac:dyDescent="0.25">
      <c r="F3916" s="2"/>
    </row>
    <row r="3917" spans="6:6" x14ac:dyDescent="0.25">
      <c r="F3917" s="2"/>
    </row>
    <row r="3918" spans="6:6" x14ac:dyDescent="0.25">
      <c r="F3918" s="2"/>
    </row>
    <row r="3919" spans="6:6" x14ac:dyDescent="0.25">
      <c r="F3919" s="2"/>
    </row>
    <row r="3920" spans="6:6" x14ac:dyDescent="0.25">
      <c r="F3920" s="2"/>
    </row>
    <row r="3921" spans="6:6" x14ac:dyDescent="0.25">
      <c r="F3921" s="2"/>
    </row>
    <row r="3922" spans="6:6" x14ac:dyDescent="0.25">
      <c r="F3922" s="2"/>
    </row>
    <row r="3923" spans="6:6" x14ac:dyDescent="0.25">
      <c r="F3923" s="2"/>
    </row>
    <row r="3924" spans="6:6" x14ac:dyDescent="0.25">
      <c r="F3924" s="2"/>
    </row>
    <row r="3925" spans="6:6" x14ac:dyDescent="0.25">
      <c r="F3925" s="2"/>
    </row>
    <row r="3926" spans="6:6" x14ac:dyDescent="0.25">
      <c r="F3926" s="2"/>
    </row>
    <row r="3927" spans="6:6" x14ac:dyDescent="0.25">
      <c r="F3927" s="2"/>
    </row>
    <row r="3928" spans="6:6" x14ac:dyDescent="0.25">
      <c r="F3928" s="2"/>
    </row>
    <row r="3929" spans="6:6" x14ac:dyDescent="0.25">
      <c r="F3929" s="2"/>
    </row>
    <row r="3930" spans="6:6" x14ac:dyDescent="0.25">
      <c r="F3930" s="2"/>
    </row>
    <row r="3931" spans="6:6" x14ac:dyDescent="0.25">
      <c r="F3931" s="2"/>
    </row>
    <row r="3932" spans="6:6" x14ac:dyDescent="0.25">
      <c r="F3932" s="2"/>
    </row>
    <row r="3933" spans="6:6" x14ac:dyDescent="0.25">
      <c r="F3933" s="2"/>
    </row>
    <row r="3934" spans="6:6" x14ac:dyDescent="0.25">
      <c r="F3934" s="2"/>
    </row>
    <row r="3935" spans="6:6" x14ac:dyDescent="0.25">
      <c r="F3935" s="2"/>
    </row>
    <row r="3936" spans="6:6" x14ac:dyDescent="0.25">
      <c r="F3936" s="2"/>
    </row>
    <row r="3937" spans="6:6" x14ac:dyDescent="0.25">
      <c r="F3937" s="2"/>
    </row>
    <row r="3938" spans="6:6" x14ac:dyDescent="0.25">
      <c r="F3938" s="2"/>
    </row>
    <row r="3939" spans="6:6" x14ac:dyDescent="0.25">
      <c r="F3939" s="2"/>
    </row>
    <row r="3940" spans="6:6" x14ac:dyDescent="0.25">
      <c r="F3940" s="2"/>
    </row>
    <row r="3941" spans="6:6" x14ac:dyDescent="0.25">
      <c r="F3941" s="2"/>
    </row>
    <row r="3942" spans="6:6" x14ac:dyDescent="0.25">
      <c r="F3942" s="2"/>
    </row>
    <row r="3943" spans="6:6" x14ac:dyDescent="0.25">
      <c r="F3943" s="2"/>
    </row>
    <row r="3944" spans="6:6" x14ac:dyDescent="0.25">
      <c r="F3944" s="2"/>
    </row>
    <row r="3945" spans="6:6" x14ac:dyDescent="0.25">
      <c r="F3945" s="2"/>
    </row>
    <row r="3946" spans="6:6" x14ac:dyDescent="0.25">
      <c r="F3946" s="2"/>
    </row>
    <row r="3947" spans="6:6" x14ac:dyDescent="0.25">
      <c r="F3947" s="2"/>
    </row>
    <row r="3948" spans="6:6" x14ac:dyDescent="0.25">
      <c r="F3948" s="2"/>
    </row>
    <row r="3949" spans="6:6" x14ac:dyDescent="0.25">
      <c r="F3949" s="2"/>
    </row>
    <row r="3950" spans="6:6" x14ac:dyDescent="0.25">
      <c r="F3950" s="2"/>
    </row>
    <row r="3951" spans="6:6" x14ac:dyDescent="0.25">
      <c r="F3951" s="2"/>
    </row>
    <row r="3952" spans="6:6" x14ac:dyDescent="0.25">
      <c r="F3952" s="2"/>
    </row>
    <row r="3953" spans="6:6" x14ac:dyDescent="0.25">
      <c r="F3953" s="2"/>
    </row>
    <row r="3954" spans="6:6" x14ac:dyDescent="0.25">
      <c r="F3954" s="2"/>
    </row>
    <row r="3955" spans="6:6" x14ac:dyDescent="0.25">
      <c r="F3955" s="2"/>
    </row>
    <row r="3956" spans="6:6" x14ac:dyDescent="0.25">
      <c r="F3956" s="2"/>
    </row>
    <row r="3957" spans="6:6" x14ac:dyDescent="0.25">
      <c r="F3957" s="2"/>
    </row>
    <row r="3958" spans="6:6" x14ac:dyDescent="0.25">
      <c r="F3958" s="2"/>
    </row>
    <row r="3959" spans="6:6" x14ac:dyDescent="0.25">
      <c r="F3959" s="2"/>
    </row>
    <row r="3960" spans="6:6" x14ac:dyDescent="0.25">
      <c r="F3960" s="2"/>
    </row>
    <row r="3961" spans="6:6" x14ac:dyDescent="0.25">
      <c r="F3961" s="2"/>
    </row>
    <row r="3962" spans="6:6" x14ac:dyDescent="0.25">
      <c r="F3962" s="2"/>
    </row>
    <row r="3963" spans="6:6" x14ac:dyDescent="0.25">
      <c r="F3963" s="2"/>
    </row>
    <row r="3964" spans="6:6" x14ac:dyDescent="0.25">
      <c r="F3964" s="2"/>
    </row>
    <row r="3965" spans="6:6" x14ac:dyDescent="0.25">
      <c r="F3965" s="2"/>
    </row>
    <row r="3966" spans="6:6" x14ac:dyDescent="0.25">
      <c r="F3966" s="2"/>
    </row>
    <row r="3967" spans="6:6" x14ac:dyDescent="0.25">
      <c r="F3967" s="2"/>
    </row>
    <row r="3968" spans="6:6" x14ac:dyDescent="0.25">
      <c r="F3968" s="2"/>
    </row>
    <row r="3969" spans="6:6" x14ac:dyDescent="0.25">
      <c r="F3969" s="2"/>
    </row>
    <row r="3970" spans="6:6" x14ac:dyDescent="0.25">
      <c r="F3970" s="2"/>
    </row>
    <row r="3971" spans="6:6" x14ac:dyDescent="0.25">
      <c r="F3971" s="2"/>
    </row>
    <row r="3972" spans="6:6" x14ac:dyDescent="0.25">
      <c r="F3972" s="2"/>
    </row>
    <row r="3973" spans="6:6" x14ac:dyDescent="0.25">
      <c r="F3973" s="2"/>
    </row>
    <row r="3974" spans="6:6" x14ac:dyDescent="0.25">
      <c r="F3974" s="2"/>
    </row>
    <row r="3975" spans="6:6" x14ac:dyDescent="0.25">
      <c r="F3975" s="2"/>
    </row>
    <row r="3976" spans="6:6" x14ac:dyDescent="0.25">
      <c r="F3976" s="2"/>
    </row>
    <row r="3977" spans="6:6" x14ac:dyDescent="0.25">
      <c r="F3977" s="2"/>
    </row>
    <row r="3978" spans="6:6" x14ac:dyDescent="0.25">
      <c r="F3978" s="2"/>
    </row>
    <row r="3979" spans="6:6" x14ac:dyDescent="0.25">
      <c r="F3979" s="2"/>
    </row>
    <row r="3980" spans="6:6" x14ac:dyDescent="0.25">
      <c r="F3980" s="2"/>
    </row>
    <row r="3981" spans="6:6" x14ac:dyDescent="0.25">
      <c r="F3981" s="2"/>
    </row>
    <row r="3982" spans="6:6" x14ac:dyDescent="0.25">
      <c r="F3982" s="2"/>
    </row>
    <row r="3983" spans="6:6" x14ac:dyDescent="0.25">
      <c r="F3983" s="2"/>
    </row>
    <row r="3984" spans="6:6" x14ac:dyDescent="0.25">
      <c r="F3984" s="2"/>
    </row>
    <row r="3985" spans="6:6" x14ac:dyDescent="0.25">
      <c r="F3985" s="2"/>
    </row>
    <row r="3986" spans="6:6" x14ac:dyDescent="0.25">
      <c r="F3986" s="2"/>
    </row>
    <row r="3987" spans="6:6" x14ac:dyDescent="0.25">
      <c r="F3987" s="2"/>
    </row>
    <row r="3988" spans="6:6" x14ac:dyDescent="0.25">
      <c r="F3988" s="2"/>
    </row>
    <row r="3989" spans="6:6" x14ac:dyDescent="0.25">
      <c r="F3989" s="2"/>
    </row>
    <row r="3990" spans="6:6" x14ac:dyDescent="0.25">
      <c r="F3990" s="2"/>
    </row>
    <row r="3991" spans="6:6" x14ac:dyDescent="0.25">
      <c r="F3991" s="2"/>
    </row>
    <row r="3992" spans="6:6" x14ac:dyDescent="0.25">
      <c r="F3992" s="2"/>
    </row>
    <row r="3993" spans="6:6" x14ac:dyDescent="0.25">
      <c r="F3993" s="2"/>
    </row>
    <row r="3994" spans="6:6" x14ac:dyDescent="0.25">
      <c r="F3994" s="2"/>
    </row>
    <row r="3995" spans="6:6" x14ac:dyDescent="0.25">
      <c r="F3995" s="2"/>
    </row>
    <row r="3996" spans="6:6" x14ac:dyDescent="0.25">
      <c r="F3996" s="2"/>
    </row>
    <row r="3997" spans="6:6" x14ac:dyDescent="0.25">
      <c r="F3997" s="2"/>
    </row>
    <row r="3998" spans="6:6" x14ac:dyDescent="0.25">
      <c r="F3998" s="2"/>
    </row>
    <row r="3999" spans="6:6" x14ac:dyDescent="0.25">
      <c r="F3999" s="2"/>
    </row>
    <row r="4000" spans="6:6" x14ac:dyDescent="0.25">
      <c r="F4000" s="2"/>
    </row>
    <row r="4001" spans="6:6" x14ac:dyDescent="0.25">
      <c r="F4001" s="2"/>
    </row>
    <row r="4002" spans="6:6" x14ac:dyDescent="0.25">
      <c r="F4002" s="2"/>
    </row>
    <row r="4003" spans="6:6" x14ac:dyDescent="0.25">
      <c r="F4003" s="2"/>
    </row>
    <row r="4004" spans="6:6" x14ac:dyDescent="0.25">
      <c r="F4004" s="2"/>
    </row>
    <row r="4005" spans="6:6" x14ac:dyDescent="0.25">
      <c r="F4005" s="2"/>
    </row>
    <row r="4006" spans="6:6" x14ac:dyDescent="0.25">
      <c r="F4006" s="2"/>
    </row>
    <row r="4007" spans="6:6" x14ac:dyDescent="0.25">
      <c r="F4007" s="2"/>
    </row>
    <row r="4008" spans="6:6" x14ac:dyDescent="0.25">
      <c r="F4008" s="2"/>
    </row>
    <row r="4009" spans="6:6" x14ac:dyDescent="0.25">
      <c r="F4009" s="2"/>
    </row>
    <row r="4010" spans="6:6" x14ac:dyDescent="0.25">
      <c r="F4010" s="2"/>
    </row>
    <row r="4011" spans="6:6" x14ac:dyDescent="0.25">
      <c r="F4011" s="2"/>
    </row>
    <row r="4012" spans="6:6" x14ac:dyDescent="0.25">
      <c r="F4012" s="2"/>
    </row>
    <row r="4013" spans="6:6" x14ac:dyDescent="0.25">
      <c r="F4013" s="2"/>
    </row>
    <row r="4014" spans="6:6" x14ac:dyDescent="0.25">
      <c r="F4014" s="2"/>
    </row>
    <row r="4015" spans="6:6" x14ac:dyDescent="0.25">
      <c r="F4015" s="2"/>
    </row>
    <row r="4016" spans="6:6" x14ac:dyDescent="0.25">
      <c r="F4016" s="2"/>
    </row>
    <row r="4017" spans="6:6" x14ac:dyDescent="0.25">
      <c r="F4017" s="2"/>
    </row>
    <row r="4018" spans="6:6" x14ac:dyDescent="0.25">
      <c r="F4018" s="2"/>
    </row>
    <row r="4019" spans="6:6" x14ac:dyDescent="0.25">
      <c r="F4019" s="2"/>
    </row>
    <row r="4020" spans="6:6" x14ac:dyDescent="0.25">
      <c r="F4020" s="2"/>
    </row>
    <row r="4021" spans="6:6" x14ac:dyDescent="0.25">
      <c r="F4021" s="2"/>
    </row>
    <row r="4022" spans="6:6" x14ac:dyDescent="0.25">
      <c r="F4022" s="2"/>
    </row>
    <row r="4023" spans="6:6" x14ac:dyDescent="0.25">
      <c r="F4023" s="2"/>
    </row>
    <row r="4024" spans="6:6" x14ac:dyDescent="0.25">
      <c r="F4024" s="2"/>
    </row>
    <row r="4025" spans="6:6" x14ac:dyDescent="0.25">
      <c r="F4025" s="2"/>
    </row>
    <row r="4026" spans="6:6" x14ac:dyDescent="0.25">
      <c r="F4026" s="2"/>
    </row>
    <row r="4027" spans="6:6" x14ac:dyDescent="0.25">
      <c r="F4027" s="2"/>
    </row>
    <row r="4028" spans="6:6" x14ac:dyDescent="0.25">
      <c r="F4028" s="2"/>
    </row>
    <row r="4029" spans="6:6" x14ac:dyDescent="0.25">
      <c r="F4029" s="2"/>
    </row>
    <row r="4030" spans="6:6" x14ac:dyDescent="0.25">
      <c r="F4030" s="2"/>
    </row>
    <row r="4031" spans="6:6" x14ac:dyDescent="0.25">
      <c r="F4031" s="2"/>
    </row>
    <row r="4032" spans="6:6" x14ac:dyDescent="0.25">
      <c r="F4032" s="2"/>
    </row>
    <row r="4033" spans="6:6" x14ac:dyDescent="0.25">
      <c r="F4033" s="2"/>
    </row>
    <row r="4034" spans="6:6" x14ac:dyDescent="0.25">
      <c r="F4034" s="2"/>
    </row>
    <row r="4035" spans="6:6" x14ac:dyDescent="0.25">
      <c r="F4035" s="2"/>
    </row>
    <row r="4036" spans="6:6" x14ac:dyDescent="0.25">
      <c r="F4036" s="2"/>
    </row>
    <row r="4037" spans="6:6" x14ac:dyDescent="0.25">
      <c r="F4037" s="2"/>
    </row>
    <row r="4038" spans="6:6" x14ac:dyDescent="0.25">
      <c r="F4038" s="2"/>
    </row>
    <row r="4039" spans="6:6" x14ac:dyDescent="0.25">
      <c r="F4039" s="2"/>
    </row>
    <row r="4040" spans="6:6" x14ac:dyDescent="0.25">
      <c r="F4040" s="2"/>
    </row>
    <row r="4041" spans="6:6" x14ac:dyDescent="0.25">
      <c r="F4041" s="2"/>
    </row>
    <row r="4042" spans="6:6" x14ac:dyDescent="0.25">
      <c r="F4042" s="2"/>
    </row>
    <row r="4043" spans="6:6" x14ac:dyDescent="0.25">
      <c r="F4043" s="2"/>
    </row>
    <row r="4044" spans="6:6" x14ac:dyDescent="0.25">
      <c r="F4044" s="2"/>
    </row>
    <row r="4045" spans="6:6" x14ac:dyDescent="0.25">
      <c r="F4045" s="2"/>
    </row>
    <row r="4046" spans="6:6" x14ac:dyDescent="0.25">
      <c r="F4046" s="2"/>
    </row>
    <row r="4047" spans="6:6" x14ac:dyDescent="0.25">
      <c r="F4047" s="2"/>
    </row>
    <row r="4048" spans="6:6" x14ac:dyDescent="0.25">
      <c r="F4048" s="2"/>
    </row>
    <row r="4049" spans="6:6" x14ac:dyDescent="0.25">
      <c r="F4049" s="2"/>
    </row>
    <row r="4050" spans="6:6" x14ac:dyDescent="0.25">
      <c r="F4050" s="2"/>
    </row>
    <row r="4051" spans="6:6" x14ac:dyDescent="0.25">
      <c r="F4051" s="2"/>
    </row>
    <row r="4052" spans="6:6" x14ac:dyDescent="0.25">
      <c r="F4052" s="2"/>
    </row>
    <row r="4053" spans="6:6" x14ac:dyDescent="0.25">
      <c r="F4053" s="2"/>
    </row>
    <row r="4054" spans="6:6" x14ac:dyDescent="0.25">
      <c r="F4054" s="2"/>
    </row>
    <row r="4055" spans="6:6" x14ac:dyDescent="0.25">
      <c r="F4055" s="2"/>
    </row>
    <row r="4056" spans="6:6" x14ac:dyDescent="0.25">
      <c r="F4056" s="2"/>
    </row>
    <row r="4057" spans="6:6" x14ac:dyDescent="0.25">
      <c r="F4057" s="2"/>
    </row>
    <row r="4058" spans="6:6" x14ac:dyDescent="0.25">
      <c r="F4058" s="2"/>
    </row>
    <row r="4059" spans="6:6" x14ac:dyDescent="0.25">
      <c r="F4059" s="2"/>
    </row>
    <row r="4060" spans="6:6" x14ac:dyDescent="0.25">
      <c r="F4060" s="2"/>
    </row>
    <row r="4061" spans="6:6" x14ac:dyDescent="0.25">
      <c r="F4061" s="2"/>
    </row>
    <row r="4062" spans="6:6" x14ac:dyDescent="0.25">
      <c r="F4062" s="2"/>
    </row>
    <row r="4063" spans="6:6" x14ac:dyDescent="0.25">
      <c r="F4063" s="2"/>
    </row>
    <row r="4064" spans="6:6" x14ac:dyDescent="0.25">
      <c r="F4064" s="2"/>
    </row>
    <row r="4065" spans="6:6" x14ac:dyDescent="0.25">
      <c r="F4065" s="2"/>
    </row>
    <row r="4066" spans="6:6" x14ac:dyDescent="0.25">
      <c r="F4066" s="2"/>
    </row>
    <row r="4067" spans="6:6" x14ac:dyDescent="0.25">
      <c r="F4067" s="2"/>
    </row>
    <row r="4068" spans="6:6" x14ac:dyDescent="0.25">
      <c r="F4068" s="2"/>
    </row>
    <row r="4069" spans="6:6" x14ac:dyDescent="0.25">
      <c r="F4069" s="2"/>
    </row>
    <row r="4070" spans="6:6" x14ac:dyDescent="0.25">
      <c r="F4070" s="2"/>
    </row>
    <row r="4071" spans="6:6" x14ac:dyDescent="0.25">
      <c r="F4071" s="2"/>
    </row>
    <row r="4072" spans="6:6" x14ac:dyDescent="0.25">
      <c r="F4072" s="2"/>
    </row>
    <row r="4073" spans="6:6" x14ac:dyDescent="0.25">
      <c r="F4073" s="2"/>
    </row>
    <row r="4074" spans="6:6" x14ac:dyDescent="0.25">
      <c r="F4074" s="2"/>
    </row>
    <row r="4075" spans="6:6" x14ac:dyDescent="0.25">
      <c r="F4075" s="2"/>
    </row>
    <row r="4076" spans="6:6" x14ac:dyDescent="0.25">
      <c r="F4076" s="2"/>
    </row>
    <row r="4077" spans="6:6" x14ac:dyDescent="0.25">
      <c r="F4077" s="2"/>
    </row>
    <row r="4078" spans="6:6" x14ac:dyDescent="0.25">
      <c r="F4078" s="2"/>
    </row>
    <row r="4079" spans="6:6" x14ac:dyDescent="0.25">
      <c r="F4079" s="2"/>
    </row>
    <row r="4080" spans="6:6" x14ac:dyDescent="0.25">
      <c r="F4080" s="2"/>
    </row>
    <row r="4081" spans="6:6" x14ac:dyDescent="0.25">
      <c r="F4081" s="2"/>
    </row>
    <row r="4082" spans="6:6" x14ac:dyDescent="0.25">
      <c r="F4082" s="2"/>
    </row>
    <row r="4083" spans="6:6" x14ac:dyDescent="0.25">
      <c r="F4083" s="2"/>
    </row>
    <row r="4084" spans="6:6" x14ac:dyDescent="0.25">
      <c r="F4084" s="2"/>
    </row>
    <row r="4085" spans="6:6" x14ac:dyDescent="0.25">
      <c r="F4085" s="2"/>
    </row>
    <row r="4086" spans="6:6" x14ac:dyDescent="0.25">
      <c r="F4086" s="2"/>
    </row>
    <row r="4087" spans="6:6" x14ac:dyDescent="0.25">
      <c r="F4087" s="2"/>
    </row>
    <row r="4088" spans="6:6" x14ac:dyDescent="0.25">
      <c r="F4088" s="2"/>
    </row>
    <row r="4089" spans="6:6" x14ac:dyDescent="0.25">
      <c r="F4089" s="2"/>
    </row>
    <row r="4090" spans="6:6" x14ac:dyDescent="0.25">
      <c r="F4090" s="2"/>
    </row>
    <row r="4091" spans="6:6" x14ac:dyDescent="0.25">
      <c r="F4091" s="2"/>
    </row>
    <row r="4092" spans="6:6" x14ac:dyDescent="0.25">
      <c r="F4092" s="2"/>
    </row>
    <row r="4093" spans="6:6" x14ac:dyDescent="0.25">
      <c r="F4093" s="2"/>
    </row>
    <row r="4094" spans="6:6" x14ac:dyDescent="0.25">
      <c r="F4094" s="2"/>
    </row>
    <row r="4095" spans="6:6" x14ac:dyDescent="0.25">
      <c r="F4095" s="2"/>
    </row>
    <row r="4096" spans="6:6" x14ac:dyDescent="0.25">
      <c r="F4096" s="2"/>
    </row>
    <row r="4097" spans="6:6" x14ac:dyDescent="0.25">
      <c r="F4097" s="2"/>
    </row>
    <row r="4098" spans="6:6" x14ac:dyDescent="0.25">
      <c r="F4098" s="2"/>
    </row>
    <row r="4099" spans="6:6" x14ac:dyDescent="0.25">
      <c r="F4099" s="2"/>
    </row>
    <row r="4100" spans="6:6" x14ac:dyDescent="0.25">
      <c r="F4100" s="2"/>
    </row>
    <row r="4101" spans="6:6" x14ac:dyDescent="0.25">
      <c r="F4101" s="2"/>
    </row>
    <row r="4102" spans="6:6" x14ac:dyDescent="0.25">
      <c r="F4102" s="2"/>
    </row>
    <row r="4103" spans="6:6" x14ac:dyDescent="0.25">
      <c r="F4103" s="2"/>
    </row>
    <row r="4104" spans="6:6" x14ac:dyDescent="0.25">
      <c r="F4104" s="2"/>
    </row>
    <row r="4105" spans="6:6" x14ac:dyDescent="0.25">
      <c r="F4105" s="2"/>
    </row>
    <row r="4106" spans="6:6" x14ac:dyDescent="0.25">
      <c r="F4106" s="2"/>
    </row>
    <row r="4107" spans="6:6" x14ac:dyDescent="0.25">
      <c r="F4107" s="2"/>
    </row>
    <row r="4108" spans="6:6" x14ac:dyDescent="0.25">
      <c r="F4108" s="2"/>
    </row>
    <row r="4109" spans="6:6" x14ac:dyDescent="0.25">
      <c r="F4109" s="2"/>
    </row>
    <row r="4110" spans="6:6" x14ac:dyDescent="0.25">
      <c r="F4110" s="2"/>
    </row>
    <row r="4111" spans="6:6" x14ac:dyDescent="0.25">
      <c r="F4111" s="2"/>
    </row>
    <row r="4112" spans="6:6" x14ac:dyDescent="0.25">
      <c r="F4112" s="2"/>
    </row>
    <row r="4113" spans="6:6" x14ac:dyDescent="0.25">
      <c r="F4113" s="2"/>
    </row>
    <row r="4114" spans="6:6" x14ac:dyDescent="0.25">
      <c r="F4114" s="2"/>
    </row>
    <row r="4115" spans="6:6" x14ac:dyDescent="0.25">
      <c r="F4115" s="2"/>
    </row>
    <row r="4116" spans="6:6" x14ac:dyDescent="0.25">
      <c r="F4116" s="2"/>
    </row>
    <row r="4117" spans="6:6" x14ac:dyDescent="0.25">
      <c r="F4117" s="2"/>
    </row>
    <row r="4118" spans="6:6" x14ac:dyDescent="0.25">
      <c r="F4118" s="2"/>
    </row>
    <row r="4119" spans="6:6" x14ac:dyDescent="0.25">
      <c r="F4119" s="2"/>
    </row>
    <row r="4120" spans="6:6" x14ac:dyDescent="0.25">
      <c r="F4120" s="2"/>
    </row>
    <row r="4121" spans="6:6" x14ac:dyDescent="0.25">
      <c r="F4121" s="2"/>
    </row>
    <row r="4122" spans="6:6" x14ac:dyDescent="0.25">
      <c r="F4122" s="2"/>
    </row>
    <row r="4123" spans="6:6" x14ac:dyDescent="0.25">
      <c r="F4123" s="2"/>
    </row>
    <row r="4124" spans="6:6" x14ac:dyDescent="0.25">
      <c r="F4124" s="2"/>
    </row>
    <row r="4125" spans="6:6" x14ac:dyDescent="0.25">
      <c r="F4125" s="2"/>
    </row>
    <row r="4126" spans="6:6" x14ac:dyDescent="0.25">
      <c r="F4126" s="2"/>
    </row>
    <row r="4127" spans="6:6" x14ac:dyDescent="0.25">
      <c r="F4127" s="2"/>
    </row>
    <row r="4128" spans="6:6" x14ac:dyDescent="0.25">
      <c r="F4128" s="2"/>
    </row>
    <row r="4129" spans="6:6" x14ac:dyDescent="0.25">
      <c r="F4129" s="2"/>
    </row>
    <row r="4130" spans="6:6" x14ac:dyDescent="0.25">
      <c r="F4130" s="2"/>
    </row>
    <row r="4131" spans="6:6" x14ac:dyDescent="0.25">
      <c r="F4131" s="2"/>
    </row>
    <row r="4132" spans="6:6" x14ac:dyDescent="0.25">
      <c r="F4132" s="2"/>
    </row>
    <row r="4133" spans="6:6" x14ac:dyDescent="0.25">
      <c r="F4133" s="2"/>
    </row>
    <row r="4134" spans="6:6" x14ac:dyDescent="0.25">
      <c r="F4134" s="2"/>
    </row>
    <row r="4135" spans="6:6" x14ac:dyDescent="0.25">
      <c r="F4135" s="2"/>
    </row>
    <row r="4136" spans="6:6" x14ac:dyDescent="0.25">
      <c r="F4136" s="2"/>
    </row>
    <row r="4137" spans="6:6" x14ac:dyDescent="0.25">
      <c r="F4137" s="2"/>
    </row>
    <row r="4138" spans="6:6" x14ac:dyDescent="0.25">
      <c r="F4138" s="2"/>
    </row>
    <row r="4139" spans="6:6" x14ac:dyDescent="0.25">
      <c r="F4139" s="2"/>
    </row>
    <row r="4140" spans="6:6" x14ac:dyDescent="0.25">
      <c r="F4140" s="2"/>
    </row>
    <row r="4141" spans="6:6" x14ac:dyDescent="0.25">
      <c r="F4141" s="2"/>
    </row>
    <row r="4142" spans="6:6" x14ac:dyDescent="0.25">
      <c r="F4142" s="2"/>
    </row>
    <row r="4143" spans="6:6" x14ac:dyDescent="0.25">
      <c r="F4143" s="2"/>
    </row>
    <row r="4144" spans="6:6" x14ac:dyDescent="0.25">
      <c r="F4144" s="2"/>
    </row>
    <row r="4145" spans="6:6" x14ac:dyDescent="0.25">
      <c r="F4145" s="2"/>
    </row>
    <row r="4146" spans="6:6" x14ac:dyDescent="0.25">
      <c r="F4146" s="2"/>
    </row>
    <row r="4147" spans="6:6" x14ac:dyDescent="0.25">
      <c r="F4147" s="2"/>
    </row>
    <row r="4148" spans="6:6" x14ac:dyDescent="0.25">
      <c r="F4148" s="2"/>
    </row>
    <row r="4149" spans="6:6" x14ac:dyDescent="0.25">
      <c r="F4149" s="2"/>
    </row>
    <row r="4150" spans="6:6" x14ac:dyDescent="0.25">
      <c r="F4150" s="2"/>
    </row>
    <row r="4151" spans="6:6" x14ac:dyDescent="0.25">
      <c r="F4151" s="2"/>
    </row>
    <row r="4152" spans="6:6" x14ac:dyDescent="0.25">
      <c r="F4152" s="2"/>
    </row>
    <row r="4153" spans="6:6" x14ac:dyDescent="0.25">
      <c r="F4153" s="2"/>
    </row>
    <row r="4154" spans="6:6" x14ac:dyDescent="0.25">
      <c r="F4154" s="2"/>
    </row>
    <row r="4155" spans="6:6" x14ac:dyDescent="0.25">
      <c r="F4155" s="2"/>
    </row>
    <row r="4156" spans="6:6" x14ac:dyDescent="0.25">
      <c r="F4156" s="2"/>
    </row>
    <row r="4157" spans="6:6" x14ac:dyDescent="0.25">
      <c r="F4157" s="2"/>
    </row>
    <row r="4158" spans="6:6" x14ac:dyDescent="0.25">
      <c r="F4158" s="2"/>
    </row>
    <row r="4159" spans="6:6" x14ac:dyDescent="0.25">
      <c r="F4159" s="2"/>
    </row>
    <row r="4160" spans="6:6" x14ac:dyDescent="0.25">
      <c r="F4160" s="2"/>
    </row>
    <row r="4161" spans="6:6" x14ac:dyDescent="0.25">
      <c r="F4161" s="2"/>
    </row>
    <row r="4162" spans="6:6" x14ac:dyDescent="0.25">
      <c r="F4162" s="2"/>
    </row>
    <row r="4163" spans="6:6" x14ac:dyDescent="0.25">
      <c r="F4163" s="2"/>
    </row>
    <row r="4164" spans="6:6" x14ac:dyDescent="0.25">
      <c r="F4164" s="2"/>
    </row>
    <row r="4165" spans="6:6" x14ac:dyDescent="0.25">
      <c r="F4165" s="2"/>
    </row>
    <row r="4166" spans="6:6" x14ac:dyDescent="0.25">
      <c r="F4166" s="2"/>
    </row>
    <row r="4167" spans="6:6" x14ac:dyDescent="0.25">
      <c r="F4167" s="2"/>
    </row>
    <row r="4168" spans="6:6" x14ac:dyDescent="0.25">
      <c r="F4168" s="2"/>
    </row>
    <row r="4169" spans="6:6" x14ac:dyDescent="0.25">
      <c r="F4169" s="2"/>
    </row>
    <row r="4170" spans="6:6" x14ac:dyDescent="0.25">
      <c r="F4170" s="2"/>
    </row>
    <row r="4171" spans="6:6" x14ac:dyDescent="0.25">
      <c r="F4171" s="2"/>
    </row>
    <row r="4172" spans="6:6" x14ac:dyDescent="0.25">
      <c r="F4172" s="2"/>
    </row>
    <row r="4173" spans="6:6" x14ac:dyDescent="0.25">
      <c r="F4173" s="2"/>
    </row>
    <row r="4174" spans="6:6" x14ac:dyDescent="0.25">
      <c r="F4174" s="2"/>
    </row>
    <row r="4175" spans="6:6" x14ac:dyDescent="0.25">
      <c r="F4175" s="2"/>
    </row>
    <row r="4176" spans="6:6" x14ac:dyDescent="0.25">
      <c r="F4176" s="2"/>
    </row>
    <row r="4177" spans="6:6" x14ac:dyDescent="0.25">
      <c r="F4177" s="2"/>
    </row>
    <row r="4178" spans="6:6" x14ac:dyDescent="0.25">
      <c r="F4178" s="2"/>
    </row>
    <row r="4179" spans="6:6" x14ac:dyDescent="0.25">
      <c r="F4179" s="2"/>
    </row>
    <row r="4180" spans="6:6" x14ac:dyDescent="0.25">
      <c r="F4180" s="2"/>
    </row>
    <row r="4181" spans="6:6" x14ac:dyDescent="0.25">
      <c r="F4181" s="2"/>
    </row>
    <row r="4182" spans="6:6" x14ac:dyDescent="0.25">
      <c r="F4182" s="2"/>
    </row>
    <row r="4183" spans="6:6" x14ac:dyDescent="0.25">
      <c r="F4183" s="2"/>
    </row>
    <row r="4184" spans="6:6" x14ac:dyDescent="0.25">
      <c r="F4184" s="2"/>
    </row>
    <row r="4185" spans="6:6" x14ac:dyDescent="0.25">
      <c r="F4185" s="2"/>
    </row>
    <row r="4186" spans="6:6" x14ac:dyDescent="0.25">
      <c r="F4186" s="2"/>
    </row>
    <row r="4187" spans="6:6" x14ac:dyDescent="0.25">
      <c r="F4187" s="2"/>
    </row>
    <row r="4188" spans="6:6" x14ac:dyDescent="0.25">
      <c r="F4188" s="2"/>
    </row>
    <row r="4189" spans="6:6" x14ac:dyDescent="0.25">
      <c r="F4189" s="2"/>
    </row>
    <row r="4190" spans="6:6" x14ac:dyDescent="0.25">
      <c r="F4190" s="2"/>
    </row>
    <row r="4191" spans="6:6" x14ac:dyDescent="0.25">
      <c r="F4191" s="2"/>
    </row>
    <row r="4192" spans="6:6" x14ac:dyDescent="0.25">
      <c r="F4192" s="2"/>
    </row>
    <row r="4193" spans="6:6" x14ac:dyDescent="0.25">
      <c r="F4193" s="2"/>
    </row>
    <row r="4194" spans="6:6" x14ac:dyDescent="0.25">
      <c r="F4194" s="2"/>
    </row>
    <row r="4195" spans="6:6" x14ac:dyDescent="0.25">
      <c r="F4195" s="2"/>
    </row>
    <row r="4196" spans="6:6" x14ac:dyDescent="0.25">
      <c r="F4196" s="2"/>
    </row>
    <row r="4197" spans="6:6" x14ac:dyDescent="0.25">
      <c r="F4197" s="2"/>
    </row>
    <row r="4198" spans="6:6" x14ac:dyDescent="0.25">
      <c r="F4198" s="2"/>
    </row>
    <row r="4199" spans="6:6" x14ac:dyDescent="0.25">
      <c r="F4199" s="2"/>
    </row>
    <row r="4200" spans="6:6" x14ac:dyDescent="0.25">
      <c r="F4200" s="2"/>
    </row>
    <row r="4201" spans="6:6" x14ac:dyDescent="0.25">
      <c r="F4201" s="2"/>
    </row>
    <row r="4202" spans="6:6" x14ac:dyDescent="0.25">
      <c r="F4202" s="2"/>
    </row>
    <row r="4203" spans="6:6" x14ac:dyDescent="0.25">
      <c r="F4203" s="2"/>
    </row>
    <row r="4204" spans="6:6" x14ac:dyDescent="0.25">
      <c r="F4204" s="2"/>
    </row>
    <row r="4205" spans="6:6" x14ac:dyDescent="0.25">
      <c r="F4205" s="2"/>
    </row>
    <row r="4206" spans="6:6" x14ac:dyDescent="0.25">
      <c r="F4206" s="2"/>
    </row>
    <row r="4207" spans="6:6" x14ac:dyDescent="0.25">
      <c r="F4207" s="2"/>
    </row>
    <row r="4208" spans="6:6" x14ac:dyDescent="0.25">
      <c r="F4208" s="2"/>
    </row>
    <row r="4209" spans="6:6" x14ac:dyDescent="0.25">
      <c r="F4209" s="2"/>
    </row>
    <row r="4210" spans="6:6" x14ac:dyDescent="0.25">
      <c r="F4210" s="2"/>
    </row>
    <row r="4211" spans="6:6" x14ac:dyDescent="0.25">
      <c r="F4211" s="2"/>
    </row>
    <row r="4212" spans="6:6" x14ac:dyDescent="0.25">
      <c r="F4212" s="2"/>
    </row>
    <row r="4213" spans="6:6" x14ac:dyDescent="0.25">
      <c r="F4213" s="2"/>
    </row>
    <row r="4214" spans="6:6" x14ac:dyDescent="0.25">
      <c r="F4214" s="2"/>
    </row>
    <row r="4215" spans="6:6" x14ac:dyDescent="0.25">
      <c r="F4215" s="2"/>
    </row>
    <row r="4216" spans="6:6" x14ac:dyDescent="0.25">
      <c r="F4216" s="2"/>
    </row>
    <row r="4217" spans="6:6" x14ac:dyDescent="0.25">
      <c r="F4217" s="2"/>
    </row>
    <row r="4218" spans="6:6" x14ac:dyDescent="0.25">
      <c r="F4218" s="2"/>
    </row>
    <row r="4219" spans="6:6" x14ac:dyDescent="0.25">
      <c r="F4219" s="2"/>
    </row>
    <row r="4220" spans="6:6" x14ac:dyDescent="0.25">
      <c r="F4220" s="2"/>
    </row>
    <row r="4221" spans="6:6" x14ac:dyDescent="0.25">
      <c r="F4221" s="2"/>
    </row>
    <row r="4222" spans="6:6" x14ac:dyDescent="0.25">
      <c r="F4222" s="2"/>
    </row>
    <row r="4223" spans="6:6" x14ac:dyDescent="0.25">
      <c r="F4223" s="2"/>
    </row>
    <row r="4224" spans="6:6" x14ac:dyDescent="0.25">
      <c r="F4224" s="2"/>
    </row>
    <row r="4225" spans="6:6" x14ac:dyDescent="0.25">
      <c r="F4225" s="2"/>
    </row>
    <row r="4226" spans="6:6" x14ac:dyDescent="0.25">
      <c r="F4226" s="2"/>
    </row>
    <row r="4227" spans="6:6" x14ac:dyDescent="0.25">
      <c r="F4227" s="2"/>
    </row>
    <row r="4228" spans="6:6" x14ac:dyDescent="0.25">
      <c r="F4228" s="2"/>
    </row>
    <row r="4229" spans="6:6" x14ac:dyDescent="0.25">
      <c r="F4229" s="2"/>
    </row>
    <row r="4230" spans="6:6" x14ac:dyDescent="0.25">
      <c r="F4230" s="2"/>
    </row>
    <row r="4231" spans="6:6" x14ac:dyDescent="0.25">
      <c r="F4231" s="2"/>
    </row>
    <row r="4232" spans="6:6" x14ac:dyDescent="0.25">
      <c r="F4232" s="2"/>
    </row>
    <row r="4233" spans="6:6" x14ac:dyDescent="0.25">
      <c r="F4233" s="2"/>
    </row>
    <row r="4234" spans="6:6" x14ac:dyDescent="0.25">
      <c r="F4234" s="2"/>
    </row>
    <row r="4235" spans="6:6" x14ac:dyDescent="0.25">
      <c r="F4235" s="2"/>
    </row>
    <row r="4236" spans="6:6" x14ac:dyDescent="0.25">
      <c r="F4236" s="2"/>
    </row>
    <row r="4237" spans="6:6" x14ac:dyDescent="0.25">
      <c r="F4237" s="2"/>
    </row>
    <row r="4238" spans="6:6" x14ac:dyDescent="0.25">
      <c r="F4238" s="2"/>
    </row>
    <row r="4239" spans="6:6" x14ac:dyDescent="0.25">
      <c r="F4239" s="2"/>
    </row>
    <row r="4240" spans="6:6" x14ac:dyDescent="0.25">
      <c r="F4240" s="2"/>
    </row>
    <row r="4241" spans="6:6" x14ac:dyDescent="0.25">
      <c r="F4241" s="2"/>
    </row>
    <row r="4242" spans="6:6" x14ac:dyDescent="0.25">
      <c r="F4242" s="2"/>
    </row>
    <row r="4243" spans="6:6" x14ac:dyDescent="0.25">
      <c r="F4243" s="2"/>
    </row>
    <row r="4244" spans="6:6" x14ac:dyDescent="0.25">
      <c r="F4244" s="2"/>
    </row>
    <row r="4245" spans="6:6" x14ac:dyDescent="0.25">
      <c r="F4245" s="2"/>
    </row>
    <row r="4246" spans="6:6" x14ac:dyDescent="0.25">
      <c r="F4246" s="2"/>
    </row>
    <row r="4247" spans="6:6" x14ac:dyDescent="0.25">
      <c r="F4247" s="2"/>
    </row>
    <row r="4248" spans="6:6" x14ac:dyDescent="0.25">
      <c r="F4248" s="2"/>
    </row>
    <row r="4249" spans="6:6" x14ac:dyDescent="0.25">
      <c r="F4249" s="2"/>
    </row>
    <row r="4250" spans="6:6" x14ac:dyDescent="0.25">
      <c r="F4250" s="2"/>
    </row>
    <row r="4251" spans="6:6" x14ac:dyDescent="0.25">
      <c r="F4251" s="2"/>
    </row>
    <row r="4252" spans="6:6" x14ac:dyDescent="0.25">
      <c r="F4252" s="2"/>
    </row>
    <row r="4253" spans="6:6" x14ac:dyDescent="0.25">
      <c r="F4253" s="2"/>
    </row>
    <row r="4254" spans="6:6" x14ac:dyDescent="0.25">
      <c r="F4254" s="2"/>
    </row>
    <row r="4255" spans="6:6" x14ac:dyDescent="0.25">
      <c r="F4255" s="2"/>
    </row>
    <row r="4256" spans="6:6" x14ac:dyDescent="0.25">
      <c r="F4256" s="2"/>
    </row>
    <row r="4257" spans="6:6" x14ac:dyDescent="0.25">
      <c r="F4257" s="2"/>
    </row>
    <row r="4258" spans="6:6" x14ac:dyDescent="0.25">
      <c r="F4258" s="2"/>
    </row>
    <row r="4259" spans="6:6" x14ac:dyDescent="0.25">
      <c r="F4259" s="2"/>
    </row>
    <row r="4260" spans="6:6" x14ac:dyDescent="0.25">
      <c r="F4260" s="2"/>
    </row>
    <row r="4261" spans="6:6" x14ac:dyDescent="0.25">
      <c r="F4261" s="2"/>
    </row>
    <row r="4262" spans="6:6" x14ac:dyDescent="0.25">
      <c r="F4262" s="2"/>
    </row>
    <row r="4263" spans="6:6" x14ac:dyDescent="0.25">
      <c r="F4263" s="2"/>
    </row>
    <row r="4264" spans="6:6" x14ac:dyDescent="0.25">
      <c r="F4264" s="2"/>
    </row>
    <row r="4265" spans="6:6" x14ac:dyDescent="0.25">
      <c r="F4265" s="2"/>
    </row>
    <row r="4266" spans="6:6" x14ac:dyDescent="0.25">
      <c r="F4266" s="2"/>
    </row>
    <row r="4267" spans="6:6" x14ac:dyDescent="0.25">
      <c r="F4267" s="2"/>
    </row>
    <row r="4268" spans="6:6" x14ac:dyDescent="0.25">
      <c r="F4268" s="2"/>
    </row>
    <row r="4269" spans="6:6" x14ac:dyDescent="0.25">
      <c r="F4269" s="2"/>
    </row>
    <row r="4270" spans="6:6" x14ac:dyDescent="0.25">
      <c r="F4270" s="2"/>
    </row>
    <row r="4271" spans="6:6" x14ac:dyDescent="0.25">
      <c r="F4271" s="2"/>
    </row>
    <row r="4272" spans="6:6" x14ac:dyDescent="0.25">
      <c r="F4272" s="2"/>
    </row>
    <row r="4273" spans="6:6" x14ac:dyDescent="0.25">
      <c r="F4273" s="2"/>
    </row>
    <row r="4274" spans="6:6" x14ac:dyDescent="0.25">
      <c r="F4274" s="2"/>
    </row>
    <row r="4275" spans="6:6" x14ac:dyDescent="0.25">
      <c r="F4275" s="2"/>
    </row>
    <row r="4276" spans="6:6" x14ac:dyDescent="0.25">
      <c r="F4276" s="2"/>
    </row>
    <row r="4277" spans="6:6" x14ac:dyDescent="0.25">
      <c r="F4277" s="2"/>
    </row>
    <row r="4278" spans="6:6" x14ac:dyDescent="0.25">
      <c r="F4278" s="2"/>
    </row>
    <row r="4279" spans="6:6" x14ac:dyDescent="0.25">
      <c r="F4279" s="2"/>
    </row>
    <row r="4280" spans="6:6" x14ac:dyDescent="0.25">
      <c r="F4280" s="2"/>
    </row>
    <row r="4281" spans="6:6" x14ac:dyDescent="0.25">
      <c r="F4281" s="2"/>
    </row>
    <row r="4282" spans="6:6" x14ac:dyDescent="0.25">
      <c r="F4282" s="2"/>
    </row>
    <row r="4283" spans="6:6" x14ac:dyDescent="0.25">
      <c r="F4283" s="2"/>
    </row>
    <row r="4284" spans="6:6" x14ac:dyDescent="0.25">
      <c r="F4284" s="2"/>
    </row>
    <row r="4285" spans="6:6" x14ac:dyDescent="0.25">
      <c r="F4285" s="2"/>
    </row>
    <row r="4286" spans="6:6" x14ac:dyDescent="0.25">
      <c r="F4286" s="2"/>
    </row>
    <row r="4287" spans="6:6" x14ac:dyDescent="0.25">
      <c r="F4287" s="2"/>
    </row>
    <row r="4288" spans="6:6" x14ac:dyDescent="0.25">
      <c r="F4288" s="2"/>
    </row>
    <row r="4289" spans="6:6" x14ac:dyDescent="0.25">
      <c r="F4289" s="2"/>
    </row>
    <row r="4290" spans="6:6" x14ac:dyDescent="0.25">
      <c r="F4290" s="2"/>
    </row>
    <row r="4291" spans="6:6" x14ac:dyDescent="0.25">
      <c r="F4291" s="2"/>
    </row>
    <row r="4292" spans="6:6" x14ac:dyDescent="0.25">
      <c r="F4292" s="2"/>
    </row>
    <row r="4293" spans="6:6" x14ac:dyDescent="0.25">
      <c r="F4293" s="2"/>
    </row>
    <row r="4294" spans="6:6" x14ac:dyDescent="0.25">
      <c r="F4294" s="2"/>
    </row>
    <row r="4295" spans="6:6" x14ac:dyDescent="0.25">
      <c r="F4295" s="2"/>
    </row>
    <row r="4296" spans="6:6" x14ac:dyDescent="0.25">
      <c r="F4296" s="2"/>
    </row>
    <row r="4297" spans="6:6" x14ac:dyDescent="0.25">
      <c r="F4297" s="2"/>
    </row>
    <row r="4298" spans="6:6" x14ac:dyDescent="0.25">
      <c r="F4298" s="2"/>
    </row>
    <row r="4299" spans="6:6" x14ac:dyDescent="0.25">
      <c r="F4299" s="2"/>
    </row>
    <row r="4300" spans="6:6" x14ac:dyDescent="0.25">
      <c r="F4300" s="2"/>
    </row>
    <row r="4301" spans="6:6" x14ac:dyDescent="0.25">
      <c r="F4301" s="2"/>
    </row>
    <row r="4302" spans="6:6" x14ac:dyDescent="0.25">
      <c r="F4302" s="2"/>
    </row>
    <row r="4303" spans="6:6" x14ac:dyDescent="0.25">
      <c r="F4303" s="2"/>
    </row>
    <row r="4304" spans="6:6" x14ac:dyDescent="0.25">
      <c r="F4304" s="2"/>
    </row>
    <row r="4305" spans="6:6" x14ac:dyDescent="0.25">
      <c r="F4305" s="2"/>
    </row>
    <row r="4306" spans="6:6" x14ac:dyDescent="0.25">
      <c r="F4306" s="2"/>
    </row>
    <row r="4307" spans="6:6" x14ac:dyDescent="0.25">
      <c r="F4307" s="2"/>
    </row>
    <row r="4308" spans="6:6" x14ac:dyDescent="0.25">
      <c r="F4308" s="2"/>
    </row>
    <row r="4309" spans="6:6" x14ac:dyDescent="0.25">
      <c r="F4309" s="2"/>
    </row>
    <row r="4310" spans="6:6" x14ac:dyDescent="0.25">
      <c r="F4310" s="2"/>
    </row>
    <row r="4311" spans="6:6" x14ac:dyDescent="0.25">
      <c r="F4311" s="2"/>
    </row>
    <row r="4312" spans="6:6" x14ac:dyDescent="0.25">
      <c r="F4312" s="2"/>
    </row>
    <row r="4313" spans="6:6" x14ac:dyDescent="0.25">
      <c r="F4313" s="2"/>
    </row>
    <row r="4314" spans="6:6" x14ac:dyDescent="0.25">
      <c r="F4314" s="2"/>
    </row>
    <row r="4315" spans="6:6" x14ac:dyDescent="0.25">
      <c r="F4315" s="2"/>
    </row>
    <row r="4316" spans="6:6" x14ac:dyDescent="0.25">
      <c r="F4316" s="2"/>
    </row>
    <row r="4317" spans="6:6" x14ac:dyDescent="0.25">
      <c r="F4317" s="2"/>
    </row>
    <row r="4318" spans="6:6" x14ac:dyDescent="0.25">
      <c r="F4318" s="2"/>
    </row>
    <row r="4319" spans="6:6" x14ac:dyDescent="0.25">
      <c r="F4319" s="2"/>
    </row>
    <row r="4320" spans="6:6" x14ac:dyDescent="0.25">
      <c r="F4320" s="2"/>
    </row>
    <row r="4321" spans="6:6" x14ac:dyDescent="0.25">
      <c r="F4321" s="2"/>
    </row>
    <row r="4322" spans="6:6" x14ac:dyDescent="0.25">
      <c r="F4322" s="2"/>
    </row>
    <row r="4323" spans="6:6" x14ac:dyDescent="0.25">
      <c r="F4323" s="2"/>
    </row>
    <row r="4324" spans="6:6" x14ac:dyDescent="0.25">
      <c r="F4324" s="2"/>
    </row>
    <row r="4325" spans="6:6" x14ac:dyDescent="0.25">
      <c r="F4325" s="2"/>
    </row>
    <row r="4326" spans="6:6" x14ac:dyDescent="0.25">
      <c r="F4326" s="2"/>
    </row>
    <row r="4327" spans="6:6" x14ac:dyDescent="0.25">
      <c r="F4327" s="2"/>
    </row>
    <row r="4328" spans="6:6" x14ac:dyDescent="0.25">
      <c r="F4328" s="2"/>
    </row>
    <row r="4329" spans="6:6" x14ac:dyDescent="0.25">
      <c r="F4329" s="2"/>
    </row>
    <row r="4330" spans="6:6" x14ac:dyDescent="0.25">
      <c r="F4330" s="2"/>
    </row>
    <row r="4331" spans="6:6" x14ac:dyDescent="0.25">
      <c r="F4331" s="2"/>
    </row>
    <row r="4332" spans="6:6" x14ac:dyDescent="0.25">
      <c r="F4332" s="2"/>
    </row>
    <row r="4333" spans="6:6" x14ac:dyDescent="0.25">
      <c r="F4333" s="2"/>
    </row>
    <row r="4334" spans="6:6" x14ac:dyDescent="0.25">
      <c r="F4334" s="2"/>
    </row>
    <row r="4335" spans="6:6" x14ac:dyDescent="0.25">
      <c r="F4335" s="2"/>
    </row>
    <row r="4336" spans="6:6" x14ac:dyDescent="0.25">
      <c r="F4336" s="2"/>
    </row>
    <row r="4337" spans="6:6" x14ac:dyDescent="0.25">
      <c r="F4337" s="2"/>
    </row>
    <row r="4338" spans="6:6" x14ac:dyDescent="0.25">
      <c r="F4338" s="2"/>
    </row>
    <row r="4339" spans="6:6" x14ac:dyDescent="0.25">
      <c r="F4339" s="2"/>
    </row>
    <row r="4340" spans="6:6" x14ac:dyDescent="0.25">
      <c r="F4340" s="2"/>
    </row>
    <row r="4341" spans="6:6" x14ac:dyDescent="0.25">
      <c r="F4341" s="2"/>
    </row>
    <row r="4342" spans="6:6" x14ac:dyDescent="0.25">
      <c r="F4342" s="2"/>
    </row>
    <row r="4343" spans="6:6" x14ac:dyDescent="0.25">
      <c r="F4343" s="2"/>
    </row>
    <row r="4344" spans="6:6" x14ac:dyDescent="0.25">
      <c r="F4344" s="2"/>
    </row>
    <row r="4345" spans="6:6" x14ac:dyDescent="0.25">
      <c r="F4345" s="2"/>
    </row>
    <row r="4346" spans="6:6" x14ac:dyDescent="0.25">
      <c r="F4346" s="2"/>
    </row>
    <row r="4347" spans="6:6" x14ac:dyDescent="0.25">
      <c r="F4347" s="2"/>
    </row>
    <row r="4348" spans="6:6" x14ac:dyDescent="0.25">
      <c r="F4348" s="2"/>
    </row>
    <row r="4349" spans="6:6" x14ac:dyDescent="0.25">
      <c r="F4349" s="2"/>
    </row>
    <row r="4350" spans="6:6" x14ac:dyDescent="0.25">
      <c r="F4350" s="2"/>
    </row>
    <row r="4351" spans="6:6" x14ac:dyDescent="0.25">
      <c r="F4351" s="2"/>
    </row>
    <row r="4352" spans="6:6" x14ac:dyDescent="0.25">
      <c r="F4352" s="2"/>
    </row>
    <row r="4353" spans="6:6" x14ac:dyDescent="0.25">
      <c r="F4353" s="2"/>
    </row>
    <row r="4354" spans="6:6" x14ac:dyDescent="0.25">
      <c r="F4354" s="2"/>
    </row>
    <row r="4355" spans="6:6" x14ac:dyDescent="0.25">
      <c r="F4355" s="2"/>
    </row>
    <row r="4356" spans="6:6" x14ac:dyDescent="0.25">
      <c r="F4356" s="2"/>
    </row>
    <row r="4357" spans="6:6" x14ac:dyDescent="0.25">
      <c r="F4357" s="2"/>
    </row>
    <row r="4358" spans="6:6" x14ac:dyDescent="0.25">
      <c r="F4358" s="2"/>
    </row>
    <row r="4359" spans="6:6" x14ac:dyDescent="0.25">
      <c r="F4359" s="2"/>
    </row>
    <row r="4360" spans="6:6" x14ac:dyDescent="0.25">
      <c r="F4360" s="2"/>
    </row>
    <row r="4361" spans="6:6" x14ac:dyDescent="0.25">
      <c r="F4361" s="2"/>
    </row>
    <row r="4362" spans="6:6" x14ac:dyDescent="0.25">
      <c r="F4362" s="2"/>
    </row>
    <row r="4363" spans="6:6" x14ac:dyDescent="0.25">
      <c r="F4363" s="2"/>
    </row>
    <row r="4364" spans="6:6" x14ac:dyDescent="0.25">
      <c r="F4364" s="2"/>
    </row>
    <row r="4365" spans="6:6" x14ac:dyDescent="0.25">
      <c r="F4365" s="2"/>
    </row>
    <row r="4366" spans="6:6" x14ac:dyDescent="0.25">
      <c r="F4366" s="2"/>
    </row>
    <row r="4367" spans="6:6" x14ac:dyDescent="0.25">
      <c r="F4367" s="2"/>
    </row>
    <row r="4368" spans="6:6" x14ac:dyDescent="0.25">
      <c r="F4368" s="2"/>
    </row>
    <row r="4369" spans="6:6" x14ac:dyDescent="0.25">
      <c r="F4369" s="2"/>
    </row>
    <row r="4370" spans="6:6" x14ac:dyDescent="0.25">
      <c r="F4370" s="2"/>
    </row>
    <row r="4371" spans="6:6" x14ac:dyDescent="0.25">
      <c r="F4371" s="2"/>
    </row>
    <row r="4372" spans="6:6" x14ac:dyDescent="0.25">
      <c r="F4372" s="2"/>
    </row>
    <row r="4373" spans="6:6" x14ac:dyDescent="0.25">
      <c r="F4373" s="2"/>
    </row>
    <row r="4374" spans="6:6" x14ac:dyDescent="0.25">
      <c r="F4374" s="2"/>
    </row>
    <row r="4375" spans="6:6" x14ac:dyDescent="0.25">
      <c r="F4375" s="2"/>
    </row>
    <row r="4376" spans="6:6" x14ac:dyDescent="0.25">
      <c r="F4376" s="2"/>
    </row>
    <row r="4377" spans="6:6" x14ac:dyDescent="0.25">
      <c r="F4377" s="2"/>
    </row>
    <row r="4378" spans="6:6" x14ac:dyDescent="0.25">
      <c r="F4378" s="2"/>
    </row>
    <row r="4379" spans="6:6" x14ac:dyDescent="0.25">
      <c r="F4379" s="2"/>
    </row>
    <row r="4380" spans="6:6" x14ac:dyDescent="0.25">
      <c r="F4380" s="2"/>
    </row>
    <row r="4381" spans="6:6" x14ac:dyDescent="0.25">
      <c r="F4381" s="2"/>
    </row>
    <row r="4382" spans="6:6" x14ac:dyDescent="0.25">
      <c r="F4382" s="2"/>
    </row>
    <row r="4383" spans="6:6" x14ac:dyDescent="0.25">
      <c r="F4383" s="2"/>
    </row>
    <row r="4384" spans="6:6" x14ac:dyDescent="0.25">
      <c r="F4384" s="2"/>
    </row>
    <row r="4385" spans="6:6" x14ac:dyDescent="0.25">
      <c r="F4385" s="2"/>
    </row>
    <row r="4386" spans="6:6" x14ac:dyDescent="0.25">
      <c r="F4386" s="2"/>
    </row>
    <row r="4387" spans="6:6" x14ac:dyDescent="0.25">
      <c r="F4387" s="2"/>
    </row>
    <row r="4388" spans="6:6" x14ac:dyDescent="0.25">
      <c r="F4388" s="2"/>
    </row>
    <row r="4389" spans="6:6" x14ac:dyDescent="0.25">
      <c r="F4389" s="2"/>
    </row>
    <row r="4390" spans="6:6" x14ac:dyDescent="0.25">
      <c r="F4390" s="2"/>
    </row>
    <row r="4391" spans="6:6" x14ac:dyDescent="0.25">
      <c r="F4391" s="2"/>
    </row>
    <row r="4392" spans="6:6" x14ac:dyDescent="0.25">
      <c r="F4392" s="2"/>
    </row>
    <row r="4393" spans="6:6" x14ac:dyDescent="0.25">
      <c r="F4393" s="2"/>
    </row>
    <row r="4394" spans="6:6" x14ac:dyDescent="0.25">
      <c r="F4394" s="2"/>
    </row>
    <row r="4395" spans="6:6" x14ac:dyDescent="0.25">
      <c r="F4395" s="2"/>
    </row>
    <row r="4396" spans="6:6" x14ac:dyDescent="0.25">
      <c r="F4396" s="2"/>
    </row>
    <row r="4397" spans="6:6" x14ac:dyDescent="0.25">
      <c r="F4397" s="2"/>
    </row>
    <row r="4398" spans="6:6" x14ac:dyDescent="0.25">
      <c r="F4398" s="2"/>
    </row>
    <row r="4399" spans="6:6" x14ac:dyDescent="0.25">
      <c r="F4399" s="2"/>
    </row>
    <row r="4400" spans="6:6" x14ac:dyDescent="0.25">
      <c r="F4400" s="2"/>
    </row>
    <row r="4401" spans="6:6" x14ac:dyDescent="0.25">
      <c r="F4401" s="2"/>
    </row>
    <row r="4402" spans="6:6" x14ac:dyDescent="0.25">
      <c r="F4402" s="2"/>
    </row>
    <row r="4403" spans="6:6" x14ac:dyDescent="0.25">
      <c r="F4403" s="2"/>
    </row>
    <row r="4404" spans="6:6" x14ac:dyDescent="0.25">
      <c r="F4404" s="2"/>
    </row>
    <row r="4405" spans="6:6" x14ac:dyDescent="0.25">
      <c r="F4405" s="2"/>
    </row>
    <row r="4406" spans="6:6" x14ac:dyDescent="0.25">
      <c r="F4406" s="2"/>
    </row>
    <row r="4407" spans="6:6" x14ac:dyDescent="0.25">
      <c r="F4407" s="2"/>
    </row>
    <row r="4408" spans="6:6" x14ac:dyDescent="0.25">
      <c r="F4408" s="2"/>
    </row>
    <row r="4409" spans="6:6" x14ac:dyDescent="0.25">
      <c r="F4409" s="2"/>
    </row>
    <row r="4410" spans="6:6" x14ac:dyDescent="0.25">
      <c r="F4410" s="2"/>
    </row>
    <row r="4411" spans="6:6" x14ac:dyDescent="0.25">
      <c r="F4411" s="2"/>
    </row>
    <row r="4412" spans="6:6" x14ac:dyDescent="0.25">
      <c r="F4412" s="2"/>
    </row>
    <row r="4413" spans="6:6" x14ac:dyDescent="0.25">
      <c r="F4413" s="2"/>
    </row>
    <row r="4414" spans="6:6" x14ac:dyDescent="0.25">
      <c r="F4414" s="2"/>
    </row>
    <row r="4415" spans="6:6" x14ac:dyDescent="0.25">
      <c r="F4415" s="2"/>
    </row>
    <row r="4416" spans="6:6" x14ac:dyDescent="0.25">
      <c r="F4416" s="2"/>
    </row>
    <row r="4417" spans="6:6" x14ac:dyDescent="0.25">
      <c r="F4417" s="2"/>
    </row>
    <row r="4418" spans="6:6" x14ac:dyDescent="0.25">
      <c r="F4418" s="2"/>
    </row>
    <row r="4419" spans="6:6" x14ac:dyDescent="0.25">
      <c r="F4419" s="2"/>
    </row>
    <row r="4420" spans="6:6" x14ac:dyDescent="0.25">
      <c r="F4420" s="2"/>
    </row>
    <row r="4421" spans="6:6" x14ac:dyDescent="0.25">
      <c r="F4421" s="2"/>
    </row>
    <row r="4422" spans="6:6" x14ac:dyDescent="0.25">
      <c r="F4422" s="2"/>
    </row>
    <row r="4423" spans="6:6" x14ac:dyDescent="0.25">
      <c r="F4423" s="2"/>
    </row>
    <row r="4424" spans="6:6" x14ac:dyDescent="0.25">
      <c r="F4424" s="2"/>
    </row>
    <row r="4425" spans="6:6" x14ac:dyDescent="0.25">
      <c r="F4425" s="2"/>
    </row>
    <row r="4426" spans="6:6" x14ac:dyDescent="0.25">
      <c r="F4426" s="2"/>
    </row>
    <row r="4427" spans="6:6" x14ac:dyDescent="0.25">
      <c r="F4427" s="2"/>
    </row>
    <row r="4428" spans="6:6" x14ac:dyDescent="0.25">
      <c r="F4428" s="2"/>
    </row>
    <row r="4429" spans="6:6" x14ac:dyDescent="0.25">
      <c r="F4429" s="2"/>
    </row>
    <row r="4430" spans="6:6" x14ac:dyDescent="0.25">
      <c r="F4430" s="2"/>
    </row>
    <row r="4431" spans="6:6" x14ac:dyDescent="0.25">
      <c r="F4431" s="2"/>
    </row>
    <row r="4432" spans="6:6" x14ac:dyDescent="0.25">
      <c r="F4432" s="2"/>
    </row>
    <row r="4433" spans="6:6" x14ac:dyDescent="0.25">
      <c r="F4433" s="2"/>
    </row>
    <row r="4434" spans="6:6" x14ac:dyDescent="0.25">
      <c r="F4434" s="2"/>
    </row>
    <row r="4435" spans="6:6" x14ac:dyDescent="0.25">
      <c r="F4435" s="2"/>
    </row>
    <row r="4436" spans="6:6" x14ac:dyDescent="0.25">
      <c r="F4436" s="2"/>
    </row>
    <row r="4437" spans="6:6" x14ac:dyDescent="0.25">
      <c r="F4437" s="2"/>
    </row>
    <row r="4438" spans="6:6" x14ac:dyDescent="0.25">
      <c r="F4438" s="2"/>
    </row>
    <row r="4439" spans="6:6" x14ac:dyDescent="0.25">
      <c r="F4439" s="2"/>
    </row>
    <row r="4440" spans="6:6" x14ac:dyDescent="0.25">
      <c r="F4440" s="2"/>
    </row>
    <row r="4441" spans="6:6" x14ac:dyDescent="0.25">
      <c r="F4441" s="2"/>
    </row>
    <row r="4442" spans="6:6" x14ac:dyDescent="0.25">
      <c r="F4442" s="2"/>
    </row>
    <row r="4443" spans="6:6" x14ac:dyDescent="0.25">
      <c r="F4443" s="2"/>
    </row>
    <row r="4444" spans="6:6" x14ac:dyDescent="0.25">
      <c r="F4444" s="2"/>
    </row>
    <row r="4445" spans="6:6" x14ac:dyDescent="0.25">
      <c r="F4445" s="2"/>
    </row>
    <row r="4446" spans="6:6" x14ac:dyDescent="0.25">
      <c r="F4446" s="2"/>
    </row>
    <row r="4447" spans="6:6" x14ac:dyDescent="0.25">
      <c r="F4447" s="2"/>
    </row>
    <row r="4448" spans="6:6" x14ac:dyDescent="0.25">
      <c r="F4448" s="2"/>
    </row>
    <row r="4449" spans="6:6" x14ac:dyDescent="0.25">
      <c r="F4449" s="2"/>
    </row>
    <row r="4450" spans="6:6" x14ac:dyDescent="0.25">
      <c r="F4450" s="2"/>
    </row>
    <row r="4451" spans="6:6" x14ac:dyDescent="0.25">
      <c r="F4451" s="2"/>
    </row>
    <row r="4452" spans="6:6" x14ac:dyDescent="0.25">
      <c r="F4452" s="2"/>
    </row>
    <row r="4453" spans="6:6" x14ac:dyDescent="0.25">
      <c r="F4453" s="2"/>
    </row>
    <row r="4454" spans="6:6" x14ac:dyDescent="0.25">
      <c r="F4454" s="2"/>
    </row>
    <row r="4455" spans="6:6" x14ac:dyDescent="0.25">
      <c r="F4455" s="2"/>
    </row>
    <row r="4456" spans="6:6" x14ac:dyDescent="0.25">
      <c r="F4456" s="2"/>
    </row>
    <row r="4457" spans="6:6" x14ac:dyDescent="0.25">
      <c r="F4457" s="2"/>
    </row>
    <row r="4458" spans="6:6" x14ac:dyDescent="0.25">
      <c r="F4458" s="2"/>
    </row>
    <row r="4459" spans="6:6" x14ac:dyDescent="0.25">
      <c r="F4459" s="2"/>
    </row>
    <row r="4460" spans="6:6" x14ac:dyDescent="0.25">
      <c r="F4460" s="2"/>
    </row>
    <row r="4461" spans="6:6" x14ac:dyDescent="0.25">
      <c r="F4461" s="2"/>
    </row>
    <row r="4462" spans="6:6" x14ac:dyDescent="0.25">
      <c r="F4462" s="2"/>
    </row>
    <row r="4463" spans="6:6" x14ac:dyDescent="0.25">
      <c r="F4463" s="2"/>
    </row>
    <row r="4464" spans="6:6" x14ac:dyDescent="0.25">
      <c r="F4464" s="2"/>
    </row>
    <row r="4465" spans="6:6" x14ac:dyDescent="0.25">
      <c r="F4465" s="2"/>
    </row>
    <row r="4466" spans="6:6" x14ac:dyDescent="0.25">
      <c r="F4466" s="2"/>
    </row>
    <row r="4467" spans="6:6" x14ac:dyDescent="0.25">
      <c r="F4467" s="2"/>
    </row>
    <row r="4468" spans="6:6" x14ac:dyDescent="0.25">
      <c r="F4468" s="2"/>
    </row>
    <row r="4469" spans="6:6" x14ac:dyDescent="0.25">
      <c r="F4469" s="2"/>
    </row>
    <row r="4470" spans="6:6" x14ac:dyDescent="0.25">
      <c r="F4470" s="2"/>
    </row>
    <row r="4471" spans="6:6" x14ac:dyDescent="0.25">
      <c r="F4471" s="2"/>
    </row>
    <row r="4472" spans="6:6" x14ac:dyDescent="0.25">
      <c r="F4472" s="2"/>
    </row>
    <row r="4473" spans="6:6" x14ac:dyDescent="0.25">
      <c r="F4473" s="2"/>
    </row>
    <row r="4474" spans="6:6" x14ac:dyDescent="0.25">
      <c r="F4474" s="2"/>
    </row>
    <row r="4475" spans="6:6" x14ac:dyDescent="0.25">
      <c r="F4475" s="2"/>
    </row>
    <row r="4476" spans="6:6" x14ac:dyDescent="0.25">
      <c r="F4476" s="2"/>
    </row>
    <row r="4477" spans="6:6" x14ac:dyDescent="0.25">
      <c r="F4477" s="2"/>
    </row>
    <row r="4478" spans="6:6" x14ac:dyDescent="0.25">
      <c r="F4478" s="2"/>
    </row>
    <row r="4479" spans="6:6" x14ac:dyDescent="0.25">
      <c r="F4479" s="2"/>
    </row>
    <row r="4480" spans="6:6" x14ac:dyDescent="0.25">
      <c r="F4480" s="2"/>
    </row>
    <row r="4481" spans="6:6" x14ac:dyDescent="0.25">
      <c r="F4481" s="2"/>
    </row>
    <row r="4482" spans="6:6" x14ac:dyDescent="0.25">
      <c r="F4482" s="2"/>
    </row>
    <row r="4483" spans="6:6" x14ac:dyDescent="0.25">
      <c r="F4483" s="2"/>
    </row>
    <row r="4484" spans="6:6" x14ac:dyDescent="0.25">
      <c r="F4484" s="2"/>
    </row>
    <row r="4485" spans="6:6" x14ac:dyDescent="0.25">
      <c r="F4485" s="2"/>
    </row>
    <row r="4486" spans="6:6" x14ac:dyDescent="0.25">
      <c r="F4486" s="2"/>
    </row>
    <row r="4487" spans="6:6" x14ac:dyDescent="0.25">
      <c r="F4487" s="2"/>
    </row>
    <row r="4488" spans="6:6" x14ac:dyDescent="0.25">
      <c r="F4488" s="2"/>
    </row>
    <row r="4489" spans="6:6" x14ac:dyDescent="0.25">
      <c r="F4489" s="2"/>
    </row>
    <row r="4490" spans="6:6" x14ac:dyDescent="0.25">
      <c r="F4490" s="2"/>
    </row>
    <row r="4491" spans="6:6" x14ac:dyDescent="0.25">
      <c r="F4491" s="2"/>
    </row>
    <row r="4492" spans="6:6" x14ac:dyDescent="0.25">
      <c r="F4492" s="2"/>
    </row>
    <row r="4493" spans="6:6" x14ac:dyDescent="0.25">
      <c r="F4493" s="2"/>
    </row>
    <row r="4494" spans="6:6" x14ac:dyDescent="0.25">
      <c r="F4494" s="2"/>
    </row>
    <row r="4495" spans="6:6" x14ac:dyDescent="0.25">
      <c r="F4495" s="2"/>
    </row>
    <row r="4496" spans="6:6" x14ac:dyDescent="0.25">
      <c r="F4496" s="2"/>
    </row>
    <row r="4497" spans="6:6" x14ac:dyDescent="0.25">
      <c r="F4497" s="2"/>
    </row>
    <row r="4498" spans="6:6" x14ac:dyDescent="0.25">
      <c r="F4498" s="2"/>
    </row>
    <row r="4499" spans="6:6" x14ac:dyDescent="0.25">
      <c r="F4499" s="2"/>
    </row>
    <row r="4500" spans="6:6" x14ac:dyDescent="0.25">
      <c r="F4500" s="2"/>
    </row>
    <row r="4501" spans="6:6" x14ac:dyDescent="0.25">
      <c r="F4501" s="2"/>
    </row>
    <row r="4502" spans="6:6" x14ac:dyDescent="0.25">
      <c r="F4502" s="2"/>
    </row>
    <row r="4503" spans="6:6" x14ac:dyDescent="0.25">
      <c r="F4503" s="2"/>
    </row>
    <row r="4504" spans="6:6" x14ac:dyDescent="0.25">
      <c r="F4504" s="2"/>
    </row>
    <row r="4505" spans="6:6" x14ac:dyDescent="0.25">
      <c r="F4505" s="2"/>
    </row>
    <row r="4506" spans="6:6" x14ac:dyDescent="0.25">
      <c r="F4506" s="2"/>
    </row>
    <row r="4507" spans="6:6" x14ac:dyDescent="0.25">
      <c r="F4507" s="2"/>
    </row>
    <row r="4508" spans="6:6" x14ac:dyDescent="0.25">
      <c r="F4508" s="2"/>
    </row>
    <row r="4509" spans="6:6" x14ac:dyDescent="0.25">
      <c r="F4509" s="2"/>
    </row>
    <row r="4510" spans="6:6" x14ac:dyDescent="0.25">
      <c r="F4510" s="2"/>
    </row>
    <row r="4511" spans="6:6" x14ac:dyDescent="0.25">
      <c r="F4511" s="2"/>
    </row>
    <row r="4512" spans="6:6" x14ac:dyDescent="0.25">
      <c r="F4512" s="2"/>
    </row>
    <row r="4513" spans="6:6" x14ac:dyDescent="0.25">
      <c r="F4513" s="2"/>
    </row>
    <row r="4514" spans="6:6" x14ac:dyDescent="0.25">
      <c r="F4514" s="2"/>
    </row>
    <row r="4515" spans="6:6" x14ac:dyDescent="0.25">
      <c r="F4515" s="2"/>
    </row>
    <row r="4516" spans="6:6" x14ac:dyDescent="0.25">
      <c r="F4516" s="2"/>
    </row>
    <row r="4517" spans="6:6" x14ac:dyDescent="0.25">
      <c r="F4517" s="2"/>
    </row>
    <row r="4518" spans="6:6" x14ac:dyDescent="0.25">
      <c r="F4518" s="2"/>
    </row>
    <row r="4519" spans="6:6" x14ac:dyDescent="0.25">
      <c r="F4519" s="2"/>
    </row>
    <row r="4520" spans="6:6" x14ac:dyDescent="0.25">
      <c r="F4520" s="2"/>
    </row>
    <row r="4521" spans="6:6" x14ac:dyDescent="0.25">
      <c r="F4521" s="2"/>
    </row>
    <row r="4522" spans="6:6" x14ac:dyDescent="0.25">
      <c r="F4522" s="2"/>
    </row>
    <row r="4523" spans="6:6" x14ac:dyDescent="0.25">
      <c r="F4523" s="2"/>
    </row>
    <row r="4524" spans="6:6" x14ac:dyDescent="0.25">
      <c r="F4524" s="2"/>
    </row>
    <row r="4525" spans="6:6" x14ac:dyDescent="0.25">
      <c r="F4525" s="2"/>
    </row>
    <row r="4526" spans="6:6" x14ac:dyDescent="0.25">
      <c r="F4526" s="2"/>
    </row>
    <row r="4527" spans="6:6" x14ac:dyDescent="0.25">
      <c r="F4527" s="2"/>
    </row>
    <row r="4528" spans="6:6" x14ac:dyDescent="0.25">
      <c r="F4528" s="2"/>
    </row>
    <row r="4529" spans="6:6" x14ac:dyDescent="0.25">
      <c r="F4529" s="2"/>
    </row>
    <row r="4530" spans="6:6" x14ac:dyDescent="0.25">
      <c r="F4530" s="2"/>
    </row>
    <row r="4531" spans="6:6" x14ac:dyDescent="0.25">
      <c r="F4531" s="2"/>
    </row>
    <row r="4532" spans="6:6" x14ac:dyDescent="0.25">
      <c r="F4532" s="2"/>
    </row>
    <row r="4533" spans="6:6" x14ac:dyDescent="0.25">
      <c r="F4533" s="2"/>
    </row>
    <row r="4534" spans="6:6" x14ac:dyDescent="0.25">
      <c r="F4534" s="2"/>
    </row>
    <row r="4535" spans="6:6" x14ac:dyDescent="0.25">
      <c r="F4535" s="2"/>
    </row>
    <row r="4536" spans="6:6" x14ac:dyDescent="0.25">
      <c r="F4536" s="2"/>
    </row>
    <row r="4537" spans="6:6" x14ac:dyDescent="0.25">
      <c r="F4537" s="2"/>
    </row>
    <row r="4538" spans="6:6" x14ac:dyDescent="0.25">
      <c r="F4538" s="2"/>
    </row>
    <row r="4539" spans="6:6" x14ac:dyDescent="0.25">
      <c r="F4539" s="2"/>
    </row>
    <row r="4540" spans="6:6" x14ac:dyDescent="0.25">
      <c r="F4540" s="2"/>
    </row>
    <row r="4541" spans="6:6" x14ac:dyDescent="0.25">
      <c r="F4541" s="2"/>
    </row>
    <row r="4542" spans="6:6" x14ac:dyDescent="0.25">
      <c r="F4542" s="2"/>
    </row>
    <row r="4543" spans="6:6" x14ac:dyDescent="0.25">
      <c r="F4543" s="2"/>
    </row>
    <row r="4544" spans="6:6" x14ac:dyDescent="0.25">
      <c r="F4544" s="2"/>
    </row>
    <row r="4545" spans="6:6" x14ac:dyDescent="0.25">
      <c r="F4545" s="2"/>
    </row>
    <row r="4546" spans="6:6" x14ac:dyDescent="0.25">
      <c r="F4546" s="2"/>
    </row>
    <row r="4547" spans="6:6" x14ac:dyDescent="0.25">
      <c r="F4547" s="2"/>
    </row>
    <row r="4548" spans="6:6" x14ac:dyDescent="0.25">
      <c r="F4548" s="2"/>
    </row>
    <row r="4549" spans="6:6" x14ac:dyDescent="0.25">
      <c r="F4549" s="2"/>
    </row>
    <row r="4550" spans="6:6" x14ac:dyDescent="0.25">
      <c r="F4550" s="2"/>
    </row>
    <row r="4551" spans="6:6" x14ac:dyDescent="0.25">
      <c r="F4551" s="2"/>
    </row>
    <row r="4552" spans="6:6" x14ac:dyDescent="0.25">
      <c r="F4552" s="2"/>
    </row>
    <row r="4553" spans="6:6" x14ac:dyDescent="0.25">
      <c r="F4553" s="2"/>
    </row>
    <row r="4554" spans="6:6" x14ac:dyDescent="0.25">
      <c r="F4554" s="2"/>
    </row>
    <row r="4555" spans="6:6" x14ac:dyDescent="0.25">
      <c r="F4555" s="2"/>
    </row>
    <row r="4556" spans="6:6" x14ac:dyDescent="0.25">
      <c r="F4556" s="2"/>
    </row>
    <row r="4557" spans="6:6" x14ac:dyDescent="0.25">
      <c r="F4557" s="2"/>
    </row>
    <row r="4558" spans="6:6" x14ac:dyDescent="0.25">
      <c r="F4558" s="2"/>
    </row>
    <row r="4559" spans="6:6" x14ac:dyDescent="0.25">
      <c r="F4559" s="2"/>
    </row>
    <row r="4560" spans="6:6" x14ac:dyDescent="0.25">
      <c r="F4560" s="2"/>
    </row>
    <row r="4561" spans="6:6" x14ac:dyDescent="0.25">
      <c r="F4561" s="2"/>
    </row>
    <row r="4562" spans="6:6" x14ac:dyDescent="0.25">
      <c r="F4562" s="2"/>
    </row>
    <row r="4563" spans="6:6" x14ac:dyDescent="0.25">
      <c r="F4563" s="2"/>
    </row>
    <row r="4564" spans="6:6" x14ac:dyDescent="0.25">
      <c r="F4564" s="2"/>
    </row>
    <row r="4565" spans="6:6" x14ac:dyDescent="0.25">
      <c r="F4565" s="2"/>
    </row>
    <row r="4566" spans="6:6" x14ac:dyDescent="0.25">
      <c r="F4566" s="2"/>
    </row>
    <row r="4567" spans="6:6" x14ac:dyDescent="0.25">
      <c r="F4567" s="2"/>
    </row>
    <row r="4568" spans="6:6" x14ac:dyDescent="0.25">
      <c r="F4568" s="2"/>
    </row>
    <row r="4569" spans="6:6" x14ac:dyDescent="0.25">
      <c r="F4569" s="2"/>
    </row>
    <row r="4570" spans="6:6" x14ac:dyDescent="0.25">
      <c r="F4570" s="2"/>
    </row>
    <row r="4571" spans="6:6" x14ac:dyDescent="0.25">
      <c r="F4571" s="2"/>
    </row>
    <row r="4572" spans="6:6" x14ac:dyDescent="0.25">
      <c r="F4572" s="2"/>
    </row>
    <row r="4573" spans="6:6" x14ac:dyDescent="0.25">
      <c r="F4573" s="2"/>
    </row>
    <row r="4574" spans="6:6" x14ac:dyDescent="0.25">
      <c r="F4574" s="2"/>
    </row>
    <row r="4575" spans="6:6" x14ac:dyDescent="0.25">
      <c r="F4575" s="2"/>
    </row>
    <row r="4576" spans="6:6" x14ac:dyDescent="0.25">
      <c r="F4576" s="2"/>
    </row>
    <row r="4577" spans="6:6" x14ac:dyDescent="0.25">
      <c r="F4577" s="2"/>
    </row>
    <row r="4578" spans="6:6" x14ac:dyDescent="0.25">
      <c r="F4578" s="2"/>
    </row>
    <row r="4579" spans="6:6" x14ac:dyDescent="0.25">
      <c r="F4579" s="2"/>
    </row>
    <row r="4580" spans="6:6" x14ac:dyDescent="0.25">
      <c r="F4580" s="2"/>
    </row>
    <row r="4581" spans="6:6" x14ac:dyDescent="0.25">
      <c r="F4581" s="2"/>
    </row>
    <row r="4582" spans="6:6" x14ac:dyDescent="0.25">
      <c r="F4582" s="2"/>
    </row>
    <row r="4583" spans="6:6" x14ac:dyDescent="0.25">
      <c r="F4583" s="2"/>
    </row>
    <row r="4584" spans="6:6" x14ac:dyDescent="0.25">
      <c r="F4584" s="2"/>
    </row>
    <row r="4585" spans="6:6" x14ac:dyDescent="0.25">
      <c r="F4585" s="2"/>
    </row>
    <row r="4586" spans="6:6" x14ac:dyDescent="0.25">
      <c r="F4586" s="2"/>
    </row>
    <row r="4587" spans="6:6" x14ac:dyDescent="0.25">
      <c r="F4587" s="2"/>
    </row>
    <row r="4588" spans="6:6" x14ac:dyDescent="0.25">
      <c r="F4588" s="2"/>
    </row>
    <row r="4589" spans="6:6" x14ac:dyDescent="0.25">
      <c r="F4589" s="2"/>
    </row>
    <row r="4590" spans="6:6" x14ac:dyDescent="0.25">
      <c r="F4590" s="2"/>
    </row>
    <row r="4591" spans="6:6" x14ac:dyDescent="0.25">
      <c r="F4591" s="2"/>
    </row>
    <row r="4592" spans="6:6" x14ac:dyDescent="0.25">
      <c r="F4592" s="2"/>
    </row>
    <row r="4593" spans="6:6" x14ac:dyDescent="0.25">
      <c r="F4593" s="2"/>
    </row>
    <row r="4594" spans="6:6" x14ac:dyDescent="0.25">
      <c r="F4594" s="2"/>
    </row>
    <row r="4595" spans="6:6" x14ac:dyDescent="0.25">
      <c r="F4595" s="2"/>
    </row>
    <row r="4596" spans="6:6" x14ac:dyDescent="0.25">
      <c r="F4596" s="2"/>
    </row>
    <row r="4597" spans="6:6" x14ac:dyDescent="0.25">
      <c r="F4597" s="2"/>
    </row>
    <row r="4598" spans="6:6" x14ac:dyDescent="0.25">
      <c r="F4598" s="2"/>
    </row>
    <row r="4599" spans="6:6" x14ac:dyDescent="0.25">
      <c r="F4599" s="2"/>
    </row>
    <row r="4600" spans="6:6" x14ac:dyDescent="0.25">
      <c r="F4600" s="2"/>
    </row>
    <row r="4601" spans="6:6" x14ac:dyDescent="0.25">
      <c r="F4601" s="2"/>
    </row>
    <row r="4602" spans="6:6" x14ac:dyDescent="0.25">
      <c r="F4602" s="2"/>
    </row>
    <row r="4603" spans="6:6" x14ac:dyDescent="0.25">
      <c r="F4603" s="2"/>
    </row>
    <row r="4604" spans="6:6" x14ac:dyDescent="0.25">
      <c r="F4604" s="2"/>
    </row>
    <row r="4605" spans="6:6" x14ac:dyDescent="0.25">
      <c r="F4605" s="2"/>
    </row>
    <row r="4606" spans="6:6" x14ac:dyDescent="0.25">
      <c r="F4606" s="2"/>
    </row>
    <row r="4607" spans="6:6" x14ac:dyDescent="0.25">
      <c r="F4607" s="2"/>
    </row>
    <row r="4608" spans="6:6" x14ac:dyDescent="0.25">
      <c r="F4608" s="2"/>
    </row>
    <row r="4609" spans="6:6" x14ac:dyDescent="0.25">
      <c r="F4609" s="2"/>
    </row>
    <row r="4610" spans="6:6" x14ac:dyDescent="0.25">
      <c r="F4610" s="2"/>
    </row>
    <row r="4611" spans="6:6" x14ac:dyDescent="0.25">
      <c r="F4611" s="2"/>
    </row>
    <row r="4612" spans="6:6" x14ac:dyDescent="0.25">
      <c r="F4612" s="2"/>
    </row>
    <row r="4613" spans="6:6" x14ac:dyDescent="0.25">
      <c r="F4613" s="2"/>
    </row>
    <row r="4614" spans="6:6" x14ac:dyDescent="0.25">
      <c r="F4614" s="2"/>
    </row>
    <row r="4615" spans="6:6" x14ac:dyDescent="0.25">
      <c r="F4615" s="2"/>
    </row>
    <row r="4616" spans="6:6" x14ac:dyDescent="0.25">
      <c r="F4616" s="2"/>
    </row>
    <row r="4617" spans="6:6" x14ac:dyDescent="0.25">
      <c r="F4617" s="2"/>
    </row>
    <row r="4618" spans="6:6" x14ac:dyDescent="0.25">
      <c r="F4618" s="2"/>
    </row>
    <row r="4619" spans="6:6" x14ac:dyDescent="0.25">
      <c r="F4619" s="2"/>
    </row>
    <row r="4620" spans="6:6" x14ac:dyDescent="0.25">
      <c r="F4620" s="2"/>
    </row>
    <row r="4621" spans="6:6" x14ac:dyDescent="0.25">
      <c r="F4621" s="2"/>
    </row>
    <row r="4622" spans="6:6" x14ac:dyDescent="0.25">
      <c r="F4622" s="2"/>
    </row>
    <row r="4623" spans="6:6" x14ac:dyDescent="0.25">
      <c r="F4623" s="2"/>
    </row>
    <row r="4624" spans="6:6" x14ac:dyDescent="0.25">
      <c r="F4624" s="2"/>
    </row>
    <row r="4625" spans="6:6" x14ac:dyDescent="0.25">
      <c r="F4625" s="2"/>
    </row>
    <row r="4626" spans="6:6" x14ac:dyDescent="0.25">
      <c r="F4626" s="2"/>
    </row>
    <row r="4627" spans="6:6" x14ac:dyDescent="0.25">
      <c r="F4627" s="2"/>
    </row>
    <row r="4628" spans="6:6" x14ac:dyDescent="0.25">
      <c r="F4628" s="2"/>
    </row>
    <row r="4629" spans="6:6" x14ac:dyDescent="0.25">
      <c r="F4629" s="2"/>
    </row>
    <row r="4630" spans="6:6" x14ac:dyDescent="0.25">
      <c r="F4630" s="2"/>
    </row>
    <row r="4631" spans="6:6" x14ac:dyDescent="0.25">
      <c r="F4631" s="2"/>
    </row>
    <row r="4632" spans="6:6" x14ac:dyDescent="0.25">
      <c r="F4632" s="2"/>
    </row>
    <row r="4633" spans="6:6" x14ac:dyDescent="0.25">
      <c r="F4633" s="2"/>
    </row>
    <row r="4634" spans="6:6" x14ac:dyDescent="0.25">
      <c r="F4634" s="2"/>
    </row>
    <row r="4635" spans="6:6" x14ac:dyDescent="0.25">
      <c r="F4635" s="2"/>
    </row>
    <row r="4636" spans="6:6" x14ac:dyDescent="0.25">
      <c r="F4636" s="2"/>
    </row>
    <row r="4637" spans="6:6" x14ac:dyDescent="0.25">
      <c r="F4637" s="2"/>
    </row>
    <row r="4638" spans="6:6" x14ac:dyDescent="0.25">
      <c r="F4638" s="2"/>
    </row>
    <row r="4639" spans="6:6" x14ac:dyDescent="0.25">
      <c r="F4639" s="2"/>
    </row>
    <row r="4640" spans="6:6" x14ac:dyDescent="0.25">
      <c r="F4640" s="2"/>
    </row>
    <row r="4641" spans="6:6" x14ac:dyDescent="0.25">
      <c r="F4641" s="2"/>
    </row>
    <row r="4642" spans="6:6" x14ac:dyDescent="0.25">
      <c r="F4642" s="2"/>
    </row>
    <row r="4643" spans="6:6" x14ac:dyDescent="0.25">
      <c r="F4643" s="2"/>
    </row>
    <row r="4644" spans="6:6" x14ac:dyDescent="0.25">
      <c r="F4644" s="2"/>
    </row>
    <row r="4645" spans="6:6" x14ac:dyDescent="0.25">
      <c r="F4645" s="2"/>
    </row>
    <row r="4646" spans="6:6" x14ac:dyDescent="0.25">
      <c r="F4646" s="2"/>
    </row>
    <row r="4647" spans="6:6" x14ac:dyDescent="0.25">
      <c r="F4647" s="2"/>
    </row>
    <row r="4648" spans="6:6" x14ac:dyDescent="0.25">
      <c r="F4648" s="2"/>
    </row>
    <row r="4649" spans="6:6" x14ac:dyDescent="0.25">
      <c r="F4649" s="2"/>
    </row>
    <row r="4650" spans="6:6" x14ac:dyDescent="0.25">
      <c r="F4650" s="2"/>
    </row>
    <row r="4651" spans="6:6" x14ac:dyDescent="0.25">
      <c r="F4651" s="2"/>
    </row>
    <row r="4652" spans="6:6" x14ac:dyDescent="0.25">
      <c r="F4652" s="2"/>
    </row>
    <row r="4653" spans="6:6" x14ac:dyDescent="0.25">
      <c r="F4653" s="2"/>
    </row>
    <row r="4654" spans="6:6" x14ac:dyDescent="0.25">
      <c r="F4654" s="2"/>
    </row>
    <row r="4655" spans="6:6" x14ac:dyDescent="0.25">
      <c r="F4655" s="2"/>
    </row>
    <row r="4656" spans="6:6" x14ac:dyDescent="0.25">
      <c r="F4656" s="2"/>
    </row>
    <row r="4657" spans="6:6" x14ac:dyDescent="0.25">
      <c r="F4657" s="2"/>
    </row>
    <row r="4658" spans="6:6" x14ac:dyDescent="0.25">
      <c r="F4658" s="2"/>
    </row>
    <row r="4659" spans="6:6" x14ac:dyDescent="0.25">
      <c r="F4659" s="2"/>
    </row>
    <row r="4660" spans="6:6" x14ac:dyDescent="0.25">
      <c r="F4660" s="2"/>
    </row>
    <row r="4661" spans="6:6" x14ac:dyDescent="0.25">
      <c r="F4661" s="2"/>
    </row>
    <row r="4662" spans="6:6" x14ac:dyDescent="0.25">
      <c r="F4662" s="2"/>
    </row>
    <row r="4663" spans="6:6" x14ac:dyDescent="0.25">
      <c r="F4663" s="2"/>
    </row>
    <row r="4664" spans="6:6" x14ac:dyDescent="0.25">
      <c r="F4664" s="2"/>
    </row>
    <row r="4665" spans="6:6" x14ac:dyDescent="0.25">
      <c r="F4665" s="2"/>
    </row>
    <row r="4666" spans="6:6" x14ac:dyDescent="0.25">
      <c r="F4666" s="2"/>
    </row>
    <row r="4667" spans="6:6" x14ac:dyDescent="0.25">
      <c r="F4667" s="2"/>
    </row>
    <row r="4668" spans="6:6" x14ac:dyDescent="0.25">
      <c r="F4668" s="2"/>
    </row>
    <row r="4669" spans="6:6" x14ac:dyDescent="0.25">
      <c r="F4669" s="2"/>
    </row>
    <row r="4670" spans="6:6" x14ac:dyDescent="0.25">
      <c r="F4670" s="2"/>
    </row>
    <row r="4671" spans="6:6" x14ac:dyDescent="0.25">
      <c r="F4671" s="2"/>
    </row>
    <row r="4672" spans="6:6" x14ac:dyDescent="0.25">
      <c r="F4672" s="2"/>
    </row>
    <row r="4673" spans="6:6" x14ac:dyDescent="0.25">
      <c r="F4673" s="2"/>
    </row>
    <row r="4674" spans="6:6" x14ac:dyDescent="0.25">
      <c r="F4674" s="2"/>
    </row>
    <row r="4675" spans="6:6" x14ac:dyDescent="0.25">
      <c r="F4675" s="2"/>
    </row>
    <row r="4676" spans="6:6" x14ac:dyDescent="0.25">
      <c r="F4676" s="2"/>
    </row>
    <row r="4677" spans="6:6" x14ac:dyDescent="0.25">
      <c r="F4677" s="2"/>
    </row>
    <row r="4678" spans="6:6" x14ac:dyDescent="0.25">
      <c r="F4678" s="2"/>
    </row>
    <row r="4679" spans="6:6" x14ac:dyDescent="0.25">
      <c r="F4679" s="2"/>
    </row>
    <row r="4680" spans="6:6" x14ac:dyDescent="0.25">
      <c r="F4680" s="2"/>
    </row>
    <row r="4681" spans="6:6" x14ac:dyDescent="0.25">
      <c r="F4681" s="2"/>
    </row>
    <row r="4682" spans="6:6" x14ac:dyDescent="0.25">
      <c r="F4682" s="2"/>
    </row>
    <row r="4683" spans="6:6" x14ac:dyDescent="0.25">
      <c r="F4683" s="2"/>
    </row>
    <row r="4684" spans="6:6" x14ac:dyDescent="0.25">
      <c r="F4684" s="2"/>
    </row>
    <row r="4685" spans="6:6" x14ac:dyDescent="0.25">
      <c r="F4685" s="2"/>
    </row>
    <row r="4686" spans="6:6" x14ac:dyDescent="0.25">
      <c r="F4686" s="2"/>
    </row>
    <row r="4687" spans="6:6" x14ac:dyDescent="0.25">
      <c r="F4687" s="2"/>
    </row>
    <row r="4688" spans="6:6" x14ac:dyDescent="0.25">
      <c r="F4688" s="2"/>
    </row>
    <row r="4689" spans="6:6" x14ac:dyDescent="0.25">
      <c r="F4689" s="2"/>
    </row>
    <row r="4690" spans="6:6" x14ac:dyDescent="0.25">
      <c r="F4690" s="2"/>
    </row>
    <row r="4691" spans="6:6" x14ac:dyDescent="0.25">
      <c r="F4691" s="2"/>
    </row>
    <row r="4692" spans="6:6" x14ac:dyDescent="0.25">
      <c r="F4692" s="2"/>
    </row>
    <row r="4693" spans="6:6" x14ac:dyDescent="0.25">
      <c r="F4693" s="2"/>
    </row>
    <row r="4694" spans="6:6" x14ac:dyDescent="0.25">
      <c r="F4694" s="2"/>
    </row>
    <row r="4695" spans="6:6" x14ac:dyDescent="0.25">
      <c r="F4695" s="2"/>
    </row>
    <row r="4696" spans="6:6" x14ac:dyDescent="0.25">
      <c r="F4696" s="2"/>
    </row>
    <row r="4697" spans="6:6" x14ac:dyDescent="0.25">
      <c r="F4697" s="2"/>
    </row>
    <row r="4698" spans="6:6" x14ac:dyDescent="0.25">
      <c r="F4698" s="2"/>
    </row>
    <row r="4699" spans="6:6" x14ac:dyDescent="0.25">
      <c r="F4699" s="2"/>
    </row>
    <row r="4700" spans="6:6" x14ac:dyDescent="0.25">
      <c r="F4700" s="2"/>
    </row>
    <row r="4701" spans="6:6" x14ac:dyDescent="0.25">
      <c r="F4701" s="2"/>
    </row>
    <row r="4702" spans="6:6" x14ac:dyDescent="0.25">
      <c r="F4702" s="2"/>
    </row>
    <row r="4703" spans="6:6" x14ac:dyDescent="0.25">
      <c r="F4703" s="2"/>
    </row>
    <row r="4704" spans="6:6" x14ac:dyDescent="0.25">
      <c r="F4704" s="2"/>
    </row>
    <row r="4705" spans="6:6" x14ac:dyDescent="0.25">
      <c r="F4705" s="2"/>
    </row>
    <row r="4706" spans="6:6" x14ac:dyDescent="0.25">
      <c r="F4706" s="2"/>
    </row>
    <row r="4707" spans="6:6" x14ac:dyDescent="0.25">
      <c r="F4707" s="2"/>
    </row>
    <row r="4708" spans="6:6" x14ac:dyDescent="0.25">
      <c r="F4708" s="2"/>
    </row>
    <row r="4709" spans="6:6" x14ac:dyDescent="0.25">
      <c r="F4709" s="2"/>
    </row>
    <row r="4710" spans="6:6" x14ac:dyDescent="0.25">
      <c r="F4710" s="2"/>
    </row>
    <row r="4711" spans="6:6" x14ac:dyDescent="0.25">
      <c r="F4711" s="2"/>
    </row>
    <row r="4712" spans="6:6" x14ac:dyDescent="0.25">
      <c r="F4712" s="2"/>
    </row>
    <row r="4713" spans="6:6" x14ac:dyDescent="0.25">
      <c r="F4713" s="2"/>
    </row>
    <row r="4714" spans="6:6" x14ac:dyDescent="0.25">
      <c r="F4714" s="2"/>
    </row>
    <row r="4715" spans="6:6" x14ac:dyDescent="0.25">
      <c r="F4715" s="2"/>
    </row>
    <row r="4716" spans="6:6" x14ac:dyDescent="0.25">
      <c r="F4716" s="2"/>
    </row>
    <row r="4717" spans="6:6" x14ac:dyDescent="0.25">
      <c r="F4717" s="2"/>
    </row>
    <row r="4718" spans="6:6" x14ac:dyDescent="0.25">
      <c r="F4718" s="2"/>
    </row>
    <row r="4719" spans="6:6" x14ac:dyDescent="0.25">
      <c r="F4719" s="2"/>
    </row>
    <row r="4720" spans="6:6" x14ac:dyDescent="0.25">
      <c r="F4720" s="2"/>
    </row>
    <row r="4721" spans="6:6" x14ac:dyDescent="0.25">
      <c r="F4721" s="2"/>
    </row>
    <row r="4722" spans="6:6" x14ac:dyDescent="0.25">
      <c r="F4722" s="2"/>
    </row>
    <row r="4723" spans="6:6" x14ac:dyDescent="0.25">
      <c r="F4723" s="2"/>
    </row>
    <row r="4724" spans="6:6" x14ac:dyDescent="0.25">
      <c r="F4724" s="2"/>
    </row>
    <row r="4725" spans="6:6" x14ac:dyDescent="0.25">
      <c r="F4725" s="2"/>
    </row>
    <row r="4726" spans="6:6" x14ac:dyDescent="0.25">
      <c r="F4726" s="2"/>
    </row>
    <row r="4727" spans="6:6" x14ac:dyDescent="0.25">
      <c r="F4727" s="2"/>
    </row>
    <row r="4728" spans="6:6" x14ac:dyDescent="0.25">
      <c r="F4728" s="2"/>
    </row>
    <row r="4729" spans="6:6" x14ac:dyDescent="0.25">
      <c r="F4729" s="2"/>
    </row>
    <row r="4730" spans="6:6" x14ac:dyDescent="0.25">
      <c r="F4730" s="2"/>
    </row>
    <row r="4731" spans="6:6" x14ac:dyDescent="0.25">
      <c r="F4731" s="2"/>
    </row>
    <row r="4732" spans="6:6" x14ac:dyDescent="0.25">
      <c r="F4732" s="2"/>
    </row>
    <row r="4733" spans="6:6" x14ac:dyDescent="0.25">
      <c r="F4733" s="2"/>
    </row>
    <row r="4734" spans="6:6" x14ac:dyDescent="0.25">
      <c r="F4734" s="2"/>
    </row>
    <row r="4735" spans="6:6" x14ac:dyDescent="0.25">
      <c r="F4735" s="2"/>
    </row>
    <row r="4736" spans="6:6" x14ac:dyDescent="0.25">
      <c r="F4736" s="2"/>
    </row>
    <row r="4737" spans="6:6" x14ac:dyDescent="0.25">
      <c r="F4737" s="2"/>
    </row>
    <row r="4738" spans="6:6" x14ac:dyDescent="0.25">
      <c r="F4738" s="2"/>
    </row>
    <row r="4739" spans="6:6" x14ac:dyDescent="0.25">
      <c r="F4739" s="2"/>
    </row>
    <row r="4740" spans="6:6" x14ac:dyDescent="0.25">
      <c r="F4740" s="2"/>
    </row>
    <row r="4741" spans="6:6" x14ac:dyDescent="0.25">
      <c r="F4741" s="2"/>
    </row>
    <row r="4742" spans="6:6" x14ac:dyDescent="0.25">
      <c r="F4742" s="2"/>
    </row>
    <row r="4743" spans="6:6" x14ac:dyDescent="0.25">
      <c r="F4743" s="2"/>
    </row>
    <row r="4744" spans="6:6" x14ac:dyDescent="0.25">
      <c r="F4744" s="2"/>
    </row>
    <row r="4745" spans="6:6" x14ac:dyDescent="0.25">
      <c r="F4745" s="2"/>
    </row>
    <row r="4746" spans="6:6" x14ac:dyDescent="0.25">
      <c r="F4746" s="2"/>
    </row>
    <row r="4747" spans="6:6" x14ac:dyDescent="0.25">
      <c r="F4747" s="2"/>
    </row>
    <row r="4748" spans="6:6" x14ac:dyDescent="0.25">
      <c r="F4748" s="2"/>
    </row>
    <row r="4749" spans="6:6" x14ac:dyDescent="0.25">
      <c r="F4749" s="2"/>
    </row>
    <row r="4750" spans="6:6" x14ac:dyDescent="0.25">
      <c r="F4750" s="2"/>
    </row>
    <row r="4751" spans="6:6" x14ac:dyDescent="0.25">
      <c r="F4751" s="2"/>
    </row>
    <row r="4752" spans="6:6" x14ac:dyDescent="0.25">
      <c r="F4752" s="2"/>
    </row>
    <row r="4753" spans="6:6" x14ac:dyDescent="0.25">
      <c r="F4753" s="2"/>
    </row>
    <row r="4754" spans="6:6" x14ac:dyDescent="0.25">
      <c r="F4754" s="2"/>
    </row>
    <row r="4755" spans="6:6" x14ac:dyDescent="0.25">
      <c r="F4755" s="2"/>
    </row>
    <row r="4756" spans="6:6" x14ac:dyDescent="0.25">
      <c r="F4756" s="2"/>
    </row>
    <row r="4757" spans="6:6" x14ac:dyDescent="0.25">
      <c r="F4757" s="2"/>
    </row>
    <row r="4758" spans="6:6" x14ac:dyDescent="0.25">
      <c r="F4758" s="2"/>
    </row>
    <row r="4759" spans="6:6" x14ac:dyDescent="0.25">
      <c r="F4759" s="2"/>
    </row>
    <row r="4760" spans="6:6" x14ac:dyDescent="0.25">
      <c r="F4760" s="2"/>
    </row>
    <row r="4761" spans="6:6" x14ac:dyDescent="0.25">
      <c r="F4761" s="2"/>
    </row>
    <row r="4762" spans="6:6" x14ac:dyDescent="0.25">
      <c r="F4762" s="2"/>
    </row>
    <row r="4763" spans="6:6" x14ac:dyDescent="0.25">
      <c r="F4763" s="2"/>
    </row>
    <row r="4764" spans="6:6" x14ac:dyDescent="0.25">
      <c r="F4764" s="2"/>
    </row>
    <row r="4765" spans="6:6" x14ac:dyDescent="0.25">
      <c r="F4765" s="2"/>
    </row>
    <row r="4766" spans="6:6" x14ac:dyDescent="0.25">
      <c r="F4766" s="2"/>
    </row>
    <row r="4767" spans="6:6" x14ac:dyDescent="0.25">
      <c r="F4767" s="2"/>
    </row>
    <row r="4768" spans="6:6" x14ac:dyDescent="0.25">
      <c r="F4768" s="2"/>
    </row>
    <row r="4769" spans="6:6" x14ac:dyDescent="0.25">
      <c r="F4769" s="2"/>
    </row>
    <row r="4770" spans="6:6" x14ac:dyDescent="0.25">
      <c r="F4770" s="2"/>
    </row>
    <row r="4771" spans="6:6" x14ac:dyDescent="0.25">
      <c r="F4771" s="2"/>
    </row>
    <row r="4772" spans="6:6" x14ac:dyDescent="0.25">
      <c r="F4772" s="2"/>
    </row>
    <row r="4773" spans="6:6" x14ac:dyDescent="0.25">
      <c r="F4773" s="2"/>
    </row>
    <row r="4774" spans="6:6" x14ac:dyDescent="0.25">
      <c r="F4774" s="2"/>
    </row>
    <row r="4775" spans="6:6" x14ac:dyDescent="0.25">
      <c r="F4775" s="2"/>
    </row>
    <row r="4776" spans="6:6" x14ac:dyDescent="0.25">
      <c r="F4776" s="2"/>
    </row>
    <row r="4777" spans="6:6" x14ac:dyDescent="0.25">
      <c r="F4777" s="2"/>
    </row>
    <row r="4778" spans="6:6" x14ac:dyDescent="0.25">
      <c r="F4778" s="2"/>
    </row>
    <row r="4779" spans="6:6" x14ac:dyDescent="0.25">
      <c r="F4779" s="2"/>
    </row>
    <row r="4780" spans="6:6" x14ac:dyDescent="0.25">
      <c r="F4780" s="2"/>
    </row>
    <row r="4781" spans="6:6" x14ac:dyDescent="0.25">
      <c r="F4781" s="2"/>
    </row>
    <row r="4782" spans="6:6" x14ac:dyDescent="0.25">
      <c r="F4782" s="2"/>
    </row>
    <row r="4783" spans="6:6" x14ac:dyDescent="0.25">
      <c r="F4783" s="2"/>
    </row>
    <row r="4784" spans="6:6" x14ac:dyDescent="0.25">
      <c r="F4784" s="2"/>
    </row>
    <row r="4785" spans="6:6" x14ac:dyDescent="0.25">
      <c r="F4785" s="2"/>
    </row>
    <row r="4786" spans="6:6" x14ac:dyDescent="0.25">
      <c r="F4786" s="2"/>
    </row>
    <row r="4787" spans="6:6" x14ac:dyDescent="0.25">
      <c r="F4787" s="2"/>
    </row>
    <row r="4788" spans="6:6" x14ac:dyDescent="0.25">
      <c r="F4788" s="2"/>
    </row>
    <row r="4789" spans="6:6" x14ac:dyDescent="0.25">
      <c r="F4789" s="2"/>
    </row>
    <row r="4790" spans="6:6" x14ac:dyDescent="0.25">
      <c r="F4790" s="2"/>
    </row>
    <row r="4791" spans="6:6" x14ac:dyDescent="0.25">
      <c r="F4791" s="2"/>
    </row>
    <row r="4792" spans="6:6" x14ac:dyDescent="0.25">
      <c r="F4792" s="2"/>
    </row>
    <row r="4793" spans="6:6" x14ac:dyDescent="0.25">
      <c r="F4793" s="2"/>
    </row>
    <row r="4794" spans="6:6" x14ac:dyDescent="0.25">
      <c r="F4794" s="2"/>
    </row>
    <row r="4795" spans="6:6" x14ac:dyDescent="0.25">
      <c r="F4795" s="2"/>
    </row>
    <row r="4796" spans="6:6" x14ac:dyDescent="0.25">
      <c r="F4796" s="2"/>
    </row>
    <row r="4797" spans="6:6" x14ac:dyDescent="0.25">
      <c r="F4797" s="2"/>
    </row>
    <row r="4798" spans="6:6" x14ac:dyDescent="0.25">
      <c r="F4798" s="2"/>
    </row>
    <row r="4799" spans="6:6" x14ac:dyDescent="0.25">
      <c r="F4799" s="2"/>
    </row>
    <row r="4800" spans="6:6" x14ac:dyDescent="0.25">
      <c r="F4800" s="2"/>
    </row>
    <row r="4801" spans="6:6" x14ac:dyDescent="0.25">
      <c r="F4801" s="2"/>
    </row>
    <row r="4802" spans="6:6" x14ac:dyDescent="0.25">
      <c r="F4802" s="2"/>
    </row>
    <row r="4803" spans="6:6" x14ac:dyDescent="0.25">
      <c r="F4803" s="2"/>
    </row>
    <row r="4804" spans="6:6" x14ac:dyDescent="0.25">
      <c r="F4804" s="2"/>
    </row>
    <row r="4805" spans="6:6" x14ac:dyDescent="0.25">
      <c r="F4805" s="2"/>
    </row>
    <row r="4806" spans="6:6" x14ac:dyDescent="0.25">
      <c r="F4806" s="2"/>
    </row>
    <row r="4807" spans="6:6" x14ac:dyDescent="0.25">
      <c r="F4807" s="2"/>
    </row>
    <row r="4808" spans="6:6" x14ac:dyDescent="0.25">
      <c r="F4808" s="2"/>
    </row>
    <row r="4809" spans="6:6" x14ac:dyDescent="0.25">
      <c r="F4809" s="2"/>
    </row>
    <row r="4810" spans="6:6" x14ac:dyDescent="0.25">
      <c r="F4810" s="2"/>
    </row>
    <row r="4811" spans="6:6" x14ac:dyDescent="0.25">
      <c r="F4811" s="2"/>
    </row>
    <row r="4812" spans="6:6" x14ac:dyDescent="0.25">
      <c r="F4812" s="2"/>
    </row>
    <row r="4813" spans="6:6" x14ac:dyDescent="0.25">
      <c r="F4813" s="2"/>
    </row>
    <row r="4814" spans="6:6" x14ac:dyDescent="0.25">
      <c r="F4814" s="2"/>
    </row>
    <row r="4815" spans="6:6" x14ac:dyDescent="0.25">
      <c r="F4815" s="2"/>
    </row>
    <row r="4816" spans="6:6" x14ac:dyDescent="0.25">
      <c r="F4816" s="2"/>
    </row>
    <row r="4817" spans="6:6" x14ac:dyDescent="0.25">
      <c r="F4817" s="2"/>
    </row>
    <row r="4818" spans="6:6" x14ac:dyDescent="0.25">
      <c r="F4818" s="2"/>
    </row>
    <row r="4819" spans="6:6" x14ac:dyDescent="0.25">
      <c r="F4819" s="2"/>
    </row>
    <row r="4820" spans="6:6" x14ac:dyDescent="0.25">
      <c r="F4820" s="2"/>
    </row>
    <row r="4821" spans="6:6" x14ac:dyDescent="0.25">
      <c r="F4821" s="2"/>
    </row>
    <row r="4822" spans="6:6" x14ac:dyDescent="0.25">
      <c r="F4822" s="2"/>
    </row>
    <row r="4823" spans="6:6" x14ac:dyDescent="0.25">
      <c r="F4823" s="2"/>
    </row>
    <row r="4824" spans="6:6" x14ac:dyDescent="0.25">
      <c r="F4824" s="2"/>
    </row>
    <row r="4825" spans="6:6" x14ac:dyDescent="0.25">
      <c r="F4825" s="2"/>
    </row>
    <row r="4826" spans="6:6" x14ac:dyDescent="0.25">
      <c r="F4826" s="2"/>
    </row>
    <row r="4827" spans="6:6" x14ac:dyDescent="0.25">
      <c r="F4827" s="2"/>
    </row>
    <row r="4828" spans="6:6" x14ac:dyDescent="0.25">
      <c r="F4828" s="2"/>
    </row>
    <row r="4829" spans="6:6" x14ac:dyDescent="0.25">
      <c r="F4829" s="2"/>
    </row>
    <row r="4830" spans="6:6" x14ac:dyDescent="0.25">
      <c r="F4830" s="2"/>
    </row>
    <row r="4831" spans="6:6" x14ac:dyDescent="0.25">
      <c r="F4831" s="2"/>
    </row>
    <row r="4832" spans="6:6" x14ac:dyDescent="0.25">
      <c r="F4832" s="2"/>
    </row>
    <row r="4833" spans="6:6" x14ac:dyDescent="0.25">
      <c r="F4833" s="2"/>
    </row>
    <row r="4834" spans="6:6" x14ac:dyDescent="0.25">
      <c r="F4834" s="2"/>
    </row>
    <row r="4835" spans="6:6" x14ac:dyDescent="0.25">
      <c r="F4835" s="2"/>
    </row>
    <row r="4836" spans="6:6" x14ac:dyDescent="0.25">
      <c r="F4836" s="2"/>
    </row>
    <row r="4837" spans="6:6" x14ac:dyDescent="0.25">
      <c r="F4837" s="2"/>
    </row>
    <row r="4838" spans="6:6" x14ac:dyDescent="0.25">
      <c r="F4838" s="2"/>
    </row>
    <row r="4839" spans="6:6" x14ac:dyDescent="0.25">
      <c r="F4839" s="2"/>
    </row>
    <row r="4840" spans="6:6" x14ac:dyDescent="0.25">
      <c r="F4840" s="2"/>
    </row>
    <row r="4841" spans="6:6" x14ac:dyDescent="0.25">
      <c r="F4841" s="2"/>
    </row>
    <row r="4842" spans="6:6" x14ac:dyDescent="0.25">
      <c r="F4842" s="2"/>
    </row>
    <row r="4843" spans="6:6" x14ac:dyDescent="0.25">
      <c r="F4843" s="2"/>
    </row>
    <row r="4844" spans="6:6" x14ac:dyDescent="0.25">
      <c r="F4844" s="2"/>
    </row>
    <row r="4845" spans="6:6" x14ac:dyDescent="0.25">
      <c r="F4845" s="2"/>
    </row>
    <row r="4846" spans="6:6" x14ac:dyDescent="0.25">
      <c r="F4846" s="2"/>
    </row>
    <row r="4847" spans="6:6" x14ac:dyDescent="0.25">
      <c r="F4847" s="2"/>
    </row>
    <row r="4848" spans="6:6" x14ac:dyDescent="0.25">
      <c r="F4848" s="2"/>
    </row>
    <row r="4849" spans="6:6" x14ac:dyDescent="0.25">
      <c r="F4849" s="2"/>
    </row>
    <row r="4850" spans="6:6" x14ac:dyDescent="0.25">
      <c r="F4850" s="2"/>
    </row>
    <row r="4851" spans="6:6" x14ac:dyDescent="0.25">
      <c r="F4851" s="2"/>
    </row>
    <row r="4852" spans="6:6" x14ac:dyDescent="0.25">
      <c r="F4852" s="2"/>
    </row>
    <row r="4853" spans="6:6" x14ac:dyDescent="0.25">
      <c r="F4853" s="2"/>
    </row>
    <row r="4854" spans="6:6" x14ac:dyDescent="0.25">
      <c r="F4854" s="2"/>
    </row>
    <row r="4855" spans="6:6" x14ac:dyDescent="0.25">
      <c r="F4855" s="2"/>
    </row>
    <row r="4856" spans="6:6" x14ac:dyDescent="0.25">
      <c r="F4856" s="2"/>
    </row>
    <row r="4857" spans="6:6" x14ac:dyDescent="0.25">
      <c r="F4857" s="2"/>
    </row>
    <row r="4858" spans="6:6" x14ac:dyDescent="0.25">
      <c r="F4858" s="2"/>
    </row>
    <row r="4859" spans="6:6" x14ac:dyDescent="0.25">
      <c r="F4859" s="2"/>
    </row>
    <row r="4860" spans="6:6" x14ac:dyDescent="0.25">
      <c r="F4860" s="2"/>
    </row>
    <row r="4861" spans="6:6" x14ac:dyDescent="0.25">
      <c r="F4861" s="2"/>
    </row>
    <row r="4862" spans="6:6" x14ac:dyDescent="0.25">
      <c r="F4862" s="2"/>
    </row>
    <row r="4863" spans="6:6" x14ac:dyDescent="0.25">
      <c r="F4863" s="2"/>
    </row>
    <row r="4864" spans="6:6" x14ac:dyDescent="0.25">
      <c r="F4864" s="2"/>
    </row>
    <row r="4865" spans="6:6" x14ac:dyDescent="0.25">
      <c r="F4865" s="2"/>
    </row>
    <row r="4866" spans="6:6" x14ac:dyDescent="0.25">
      <c r="F4866" s="2"/>
    </row>
    <row r="4867" spans="6:6" x14ac:dyDescent="0.25">
      <c r="F4867" s="2"/>
    </row>
    <row r="4868" spans="6:6" x14ac:dyDescent="0.25">
      <c r="F4868" s="2"/>
    </row>
    <row r="4869" spans="6:6" x14ac:dyDescent="0.25">
      <c r="F4869" s="2"/>
    </row>
    <row r="4870" spans="6:6" x14ac:dyDescent="0.25">
      <c r="F4870" s="2"/>
    </row>
    <row r="4871" spans="6:6" x14ac:dyDescent="0.25">
      <c r="F4871" s="2"/>
    </row>
    <row r="4872" spans="6:6" x14ac:dyDescent="0.25">
      <c r="F4872" s="2"/>
    </row>
    <row r="4873" spans="6:6" x14ac:dyDescent="0.25">
      <c r="F4873" s="2"/>
    </row>
    <row r="4874" spans="6:6" x14ac:dyDescent="0.25">
      <c r="F4874" s="2"/>
    </row>
    <row r="4875" spans="6:6" x14ac:dyDescent="0.25">
      <c r="F4875" s="2"/>
    </row>
    <row r="4876" spans="6:6" x14ac:dyDescent="0.25">
      <c r="F4876" s="2"/>
    </row>
    <row r="4877" spans="6:6" x14ac:dyDescent="0.25">
      <c r="F4877" s="2"/>
    </row>
    <row r="4878" spans="6:6" x14ac:dyDescent="0.25">
      <c r="F4878" s="2"/>
    </row>
    <row r="4879" spans="6:6" x14ac:dyDescent="0.25">
      <c r="F4879" s="2"/>
    </row>
    <row r="4880" spans="6:6" x14ac:dyDescent="0.25">
      <c r="F4880" s="2"/>
    </row>
    <row r="4881" spans="6:6" x14ac:dyDescent="0.25">
      <c r="F4881" s="2"/>
    </row>
    <row r="4882" spans="6:6" x14ac:dyDescent="0.25">
      <c r="F4882" s="2"/>
    </row>
    <row r="4883" spans="6:6" x14ac:dyDescent="0.25">
      <c r="F4883" s="2"/>
    </row>
    <row r="4884" spans="6:6" x14ac:dyDescent="0.25">
      <c r="F4884" s="2"/>
    </row>
    <row r="4885" spans="6:6" x14ac:dyDescent="0.25">
      <c r="F4885" s="2"/>
    </row>
    <row r="4886" spans="6:6" x14ac:dyDescent="0.25">
      <c r="F4886" s="2"/>
    </row>
    <row r="4887" spans="6:6" x14ac:dyDescent="0.25">
      <c r="F4887" s="2"/>
    </row>
    <row r="4888" spans="6:6" x14ac:dyDescent="0.25">
      <c r="F4888" s="2"/>
    </row>
    <row r="4889" spans="6:6" x14ac:dyDescent="0.25">
      <c r="F4889" s="2"/>
    </row>
    <row r="4890" spans="6:6" x14ac:dyDescent="0.25">
      <c r="F4890" s="2"/>
    </row>
    <row r="4891" spans="6:6" x14ac:dyDescent="0.25">
      <c r="F4891" s="2"/>
    </row>
    <row r="4892" spans="6:6" x14ac:dyDescent="0.25">
      <c r="F4892" s="2"/>
    </row>
    <row r="4893" spans="6:6" x14ac:dyDescent="0.25">
      <c r="F4893" s="2"/>
    </row>
    <row r="4894" spans="6:6" x14ac:dyDescent="0.25">
      <c r="F4894" s="2"/>
    </row>
    <row r="4895" spans="6:6" x14ac:dyDescent="0.25">
      <c r="F4895" s="2"/>
    </row>
    <row r="4896" spans="6:6" x14ac:dyDescent="0.25">
      <c r="F4896" s="2"/>
    </row>
    <row r="4897" spans="6:6" x14ac:dyDescent="0.25">
      <c r="F4897" s="2"/>
    </row>
    <row r="4898" spans="6:6" x14ac:dyDescent="0.25">
      <c r="F4898" s="2"/>
    </row>
    <row r="4899" spans="6:6" x14ac:dyDescent="0.25">
      <c r="F4899" s="2"/>
    </row>
    <row r="4900" spans="6:6" x14ac:dyDescent="0.25">
      <c r="F4900" s="2"/>
    </row>
    <row r="4901" spans="6:6" x14ac:dyDescent="0.25">
      <c r="F4901" s="2"/>
    </row>
    <row r="4902" spans="6:6" x14ac:dyDescent="0.25">
      <c r="F4902" s="2"/>
    </row>
    <row r="4903" spans="6:6" x14ac:dyDescent="0.25">
      <c r="F4903" s="2"/>
    </row>
    <row r="4904" spans="6:6" x14ac:dyDescent="0.25">
      <c r="F4904" s="2"/>
    </row>
    <row r="4905" spans="6:6" x14ac:dyDescent="0.25">
      <c r="F4905" s="2"/>
    </row>
    <row r="4906" spans="6:6" x14ac:dyDescent="0.25">
      <c r="F4906" s="2"/>
    </row>
    <row r="4907" spans="6:6" x14ac:dyDescent="0.25">
      <c r="F4907" s="2"/>
    </row>
    <row r="4908" spans="6:6" x14ac:dyDescent="0.25">
      <c r="F4908" s="2"/>
    </row>
    <row r="4909" spans="6:6" x14ac:dyDescent="0.25">
      <c r="F4909" s="2"/>
    </row>
    <row r="4910" spans="6:6" x14ac:dyDescent="0.25">
      <c r="F4910" s="2"/>
    </row>
    <row r="4911" spans="6:6" x14ac:dyDescent="0.25">
      <c r="F4911" s="2"/>
    </row>
    <row r="4912" spans="6:6" x14ac:dyDescent="0.25">
      <c r="F4912" s="2"/>
    </row>
    <row r="4913" spans="6:6" x14ac:dyDescent="0.25">
      <c r="F4913" s="2"/>
    </row>
    <row r="4914" spans="6:6" x14ac:dyDescent="0.25">
      <c r="F4914" s="2"/>
    </row>
    <row r="4915" spans="6:6" x14ac:dyDescent="0.25">
      <c r="F4915" s="2"/>
    </row>
    <row r="4916" spans="6:6" x14ac:dyDescent="0.25">
      <c r="F4916" s="2"/>
    </row>
    <row r="4917" spans="6:6" x14ac:dyDescent="0.25">
      <c r="F4917" s="2"/>
    </row>
    <row r="4918" spans="6:6" x14ac:dyDescent="0.25">
      <c r="F4918" s="2"/>
    </row>
    <row r="4919" spans="6:6" x14ac:dyDescent="0.25">
      <c r="F4919" s="2"/>
    </row>
    <row r="4920" spans="6:6" x14ac:dyDescent="0.25">
      <c r="F4920" s="2"/>
    </row>
    <row r="4921" spans="6:6" x14ac:dyDescent="0.25">
      <c r="F4921" s="2"/>
    </row>
    <row r="4922" spans="6:6" x14ac:dyDescent="0.25">
      <c r="F4922" s="2"/>
    </row>
    <row r="4923" spans="6:6" x14ac:dyDescent="0.25">
      <c r="F4923" s="2"/>
    </row>
    <row r="4924" spans="6:6" x14ac:dyDescent="0.25">
      <c r="F4924" s="2"/>
    </row>
    <row r="4925" spans="6:6" x14ac:dyDescent="0.25">
      <c r="F4925" s="2"/>
    </row>
    <row r="4926" spans="6:6" x14ac:dyDescent="0.25">
      <c r="F4926" s="2"/>
    </row>
    <row r="4927" spans="6:6" x14ac:dyDescent="0.25">
      <c r="F4927" s="2"/>
    </row>
    <row r="4928" spans="6:6" x14ac:dyDescent="0.25">
      <c r="F4928" s="2"/>
    </row>
    <row r="4929" spans="6:6" x14ac:dyDescent="0.25">
      <c r="F4929" s="2"/>
    </row>
    <row r="4930" spans="6:6" x14ac:dyDescent="0.25">
      <c r="F4930" s="2"/>
    </row>
    <row r="4931" spans="6:6" x14ac:dyDescent="0.25">
      <c r="F4931" s="2"/>
    </row>
    <row r="4932" spans="6:6" x14ac:dyDescent="0.25">
      <c r="F4932" s="2"/>
    </row>
    <row r="4933" spans="6:6" x14ac:dyDescent="0.25">
      <c r="F4933" s="2"/>
    </row>
    <row r="4934" spans="6:6" x14ac:dyDescent="0.25">
      <c r="F4934" s="2"/>
    </row>
    <row r="4935" spans="6:6" x14ac:dyDescent="0.25">
      <c r="F4935" s="2"/>
    </row>
    <row r="4936" spans="6:6" x14ac:dyDescent="0.25">
      <c r="F4936" s="2"/>
    </row>
    <row r="4937" spans="6:6" x14ac:dyDescent="0.25">
      <c r="F4937" s="2"/>
    </row>
    <row r="4938" spans="6:6" x14ac:dyDescent="0.25">
      <c r="F4938" s="2"/>
    </row>
    <row r="4939" spans="6:6" x14ac:dyDescent="0.25">
      <c r="F4939" s="2"/>
    </row>
    <row r="4940" spans="6:6" x14ac:dyDescent="0.25">
      <c r="F4940" s="2"/>
    </row>
    <row r="4941" spans="6:6" x14ac:dyDescent="0.25">
      <c r="F4941" s="2"/>
    </row>
    <row r="4942" spans="6:6" x14ac:dyDescent="0.25">
      <c r="F4942" s="2"/>
    </row>
    <row r="4943" spans="6:6" x14ac:dyDescent="0.25">
      <c r="F4943" s="2"/>
    </row>
    <row r="4944" spans="6:6" x14ac:dyDescent="0.25">
      <c r="F4944" s="2"/>
    </row>
    <row r="4945" spans="6:6" x14ac:dyDescent="0.25">
      <c r="F4945" s="2"/>
    </row>
    <row r="4946" spans="6:6" x14ac:dyDescent="0.25">
      <c r="F4946" s="2"/>
    </row>
    <row r="4947" spans="6:6" x14ac:dyDescent="0.25">
      <c r="F4947" s="2"/>
    </row>
    <row r="4948" spans="6:6" x14ac:dyDescent="0.25">
      <c r="F4948" s="2"/>
    </row>
    <row r="4949" spans="6:6" x14ac:dyDescent="0.25">
      <c r="F4949" s="2"/>
    </row>
    <row r="4950" spans="6:6" x14ac:dyDescent="0.25">
      <c r="F4950" s="2"/>
    </row>
    <row r="4951" spans="6:6" x14ac:dyDescent="0.25">
      <c r="F4951" s="2"/>
    </row>
    <row r="4952" spans="6:6" x14ac:dyDescent="0.25">
      <c r="F4952" s="2"/>
    </row>
    <row r="4953" spans="6:6" x14ac:dyDescent="0.25">
      <c r="F4953" s="2"/>
    </row>
    <row r="4954" spans="6:6" x14ac:dyDescent="0.25">
      <c r="F4954" s="2"/>
    </row>
    <row r="4955" spans="6:6" x14ac:dyDescent="0.25">
      <c r="F4955" s="2"/>
    </row>
    <row r="4956" spans="6:6" x14ac:dyDescent="0.25">
      <c r="F4956" s="2"/>
    </row>
    <row r="4957" spans="6:6" x14ac:dyDescent="0.25">
      <c r="F4957" s="2"/>
    </row>
    <row r="4958" spans="6:6" x14ac:dyDescent="0.25">
      <c r="F4958" s="2"/>
    </row>
    <row r="4959" spans="6:6" x14ac:dyDescent="0.25">
      <c r="F4959" s="2"/>
    </row>
    <row r="4960" spans="6:6" x14ac:dyDescent="0.25">
      <c r="F4960" s="2"/>
    </row>
    <row r="4961" spans="6:6" x14ac:dyDescent="0.25">
      <c r="F4961" s="2"/>
    </row>
    <row r="4962" spans="6:6" x14ac:dyDescent="0.25">
      <c r="F4962" s="2"/>
    </row>
    <row r="4963" spans="6:6" x14ac:dyDescent="0.25">
      <c r="F4963" s="2"/>
    </row>
    <row r="4964" spans="6:6" x14ac:dyDescent="0.25">
      <c r="F4964" s="2"/>
    </row>
    <row r="4965" spans="6:6" x14ac:dyDescent="0.25">
      <c r="F4965" s="2"/>
    </row>
    <row r="4966" spans="6:6" x14ac:dyDescent="0.25">
      <c r="F4966" s="2"/>
    </row>
    <row r="4967" spans="6:6" x14ac:dyDescent="0.25">
      <c r="F4967" s="2"/>
    </row>
    <row r="4968" spans="6:6" x14ac:dyDescent="0.25">
      <c r="F4968" s="2"/>
    </row>
    <row r="4969" spans="6:6" x14ac:dyDescent="0.25">
      <c r="F4969" s="2"/>
    </row>
    <row r="4970" spans="6:6" x14ac:dyDescent="0.25">
      <c r="F4970" s="2"/>
    </row>
    <row r="4971" spans="6:6" x14ac:dyDescent="0.25">
      <c r="F4971" s="2"/>
    </row>
    <row r="4972" spans="6:6" x14ac:dyDescent="0.25">
      <c r="F4972" s="2"/>
    </row>
    <row r="4973" spans="6:6" x14ac:dyDescent="0.25">
      <c r="F4973" s="2"/>
    </row>
    <row r="4974" spans="6:6" x14ac:dyDescent="0.25">
      <c r="F4974" s="2"/>
    </row>
    <row r="4975" spans="6:6" x14ac:dyDescent="0.25">
      <c r="F4975" s="2"/>
    </row>
    <row r="4976" spans="6:6" x14ac:dyDescent="0.25">
      <c r="F4976" s="2"/>
    </row>
    <row r="4977" spans="6:6" x14ac:dyDescent="0.25">
      <c r="F4977" s="2"/>
    </row>
    <row r="4978" spans="6:6" x14ac:dyDescent="0.25">
      <c r="F4978" s="2"/>
    </row>
    <row r="4979" spans="6:6" x14ac:dyDescent="0.25">
      <c r="F4979" s="2"/>
    </row>
    <row r="4980" spans="6:6" x14ac:dyDescent="0.25">
      <c r="F4980" s="2"/>
    </row>
    <row r="4981" spans="6:6" x14ac:dyDescent="0.25">
      <c r="F4981" s="2"/>
    </row>
    <row r="4982" spans="6:6" x14ac:dyDescent="0.25">
      <c r="F4982" s="2"/>
    </row>
    <row r="4983" spans="6:6" x14ac:dyDescent="0.25">
      <c r="F4983" s="2"/>
    </row>
    <row r="4984" spans="6:6" x14ac:dyDescent="0.25">
      <c r="F4984" s="2"/>
    </row>
    <row r="4985" spans="6:6" x14ac:dyDescent="0.25">
      <c r="F4985" s="2"/>
    </row>
    <row r="4986" spans="6:6" x14ac:dyDescent="0.25">
      <c r="F4986" s="2"/>
    </row>
    <row r="4987" spans="6:6" x14ac:dyDescent="0.25">
      <c r="F4987" s="2"/>
    </row>
    <row r="4988" spans="6:6" x14ac:dyDescent="0.25">
      <c r="F4988" s="2"/>
    </row>
    <row r="4989" spans="6:6" x14ac:dyDescent="0.25">
      <c r="F4989" s="2"/>
    </row>
    <row r="4990" spans="6:6" x14ac:dyDescent="0.25">
      <c r="F4990" s="2"/>
    </row>
    <row r="4991" spans="6:6" x14ac:dyDescent="0.25">
      <c r="F4991" s="2"/>
    </row>
    <row r="4992" spans="6:6" x14ac:dyDescent="0.25">
      <c r="F4992" s="2"/>
    </row>
    <row r="4993" spans="6:6" x14ac:dyDescent="0.25">
      <c r="F4993" s="2"/>
    </row>
    <row r="4994" spans="6:6" x14ac:dyDescent="0.25">
      <c r="F4994" s="2"/>
    </row>
    <row r="4995" spans="6:6" x14ac:dyDescent="0.25">
      <c r="F4995" s="2"/>
    </row>
    <row r="4996" spans="6:6" x14ac:dyDescent="0.25">
      <c r="F4996" s="2"/>
    </row>
    <row r="4997" spans="6:6" x14ac:dyDescent="0.25">
      <c r="F4997" s="2"/>
    </row>
    <row r="4998" spans="6:6" x14ac:dyDescent="0.25">
      <c r="F4998" s="2"/>
    </row>
    <row r="4999" spans="6:6" x14ac:dyDescent="0.25">
      <c r="F4999" s="2"/>
    </row>
    <row r="5000" spans="6:6" x14ac:dyDescent="0.25">
      <c r="F5000" s="2"/>
    </row>
    <row r="5001" spans="6:6" x14ac:dyDescent="0.25">
      <c r="F5001" s="2"/>
    </row>
    <row r="5002" spans="6:6" x14ac:dyDescent="0.25">
      <c r="F5002" s="2"/>
    </row>
    <row r="5003" spans="6:6" x14ac:dyDescent="0.25">
      <c r="F5003" s="2"/>
    </row>
    <row r="5004" spans="6:6" x14ac:dyDescent="0.25">
      <c r="F5004" s="2"/>
    </row>
    <row r="5005" spans="6:6" x14ac:dyDescent="0.25">
      <c r="F5005" s="2"/>
    </row>
    <row r="5006" spans="6:6" x14ac:dyDescent="0.25">
      <c r="F5006" s="2"/>
    </row>
    <row r="5007" spans="6:6" x14ac:dyDescent="0.25">
      <c r="F5007" s="2"/>
    </row>
    <row r="5008" spans="6:6" x14ac:dyDescent="0.25">
      <c r="F5008" s="2"/>
    </row>
    <row r="5009" spans="6:6" x14ac:dyDescent="0.25">
      <c r="F5009" s="2"/>
    </row>
    <row r="5010" spans="6:6" x14ac:dyDescent="0.25">
      <c r="F5010" s="2"/>
    </row>
    <row r="5011" spans="6:6" x14ac:dyDescent="0.25">
      <c r="F5011" s="2"/>
    </row>
    <row r="5012" spans="6:6" x14ac:dyDescent="0.25">
      <c r="F5012" s="2"/>
    </row>
    <row r="5013" spans="6:6" x14ac:dyDescent="0.25">
      <c r="F5013" s="2"/>
    </row>
    <row r="5014" spans="6:6" x14ac:dyDescent="0.25">
      <c r="F5014" s="2"/>
    </row>
    <row r="5015" spans="6:6" x14ac:dyDescent="0.25">
      <c r="F5015" s="2"/>
    </row>
    <row r="5016" spans="6:6" x14ac:dyDescent="0.25">
      <c r="F5016" s="2"/>
    </row>
    <row r="5017" spans="6:6" x14ac:dyDescent="0.25">
      <c r="F5017" s="2"/>
    </row>
    <row r="5018" spans="6:6" x14ac:dyDescent="0.25">
      <c r="F5018" s="2"/>
    </row>
    <row r="5019" spans="6:6" x14ac:dyDescent="0.25">
      <c r="F5019" s="2"/>
    </row>
    <row r="5020" spans="6:6" x14ac:dyDescent="0.25">
      <c r="F5020" s="2"/>
    </row>
    <row r="5021" spans="6:6" x14ac:dyDescent="0.25">
      <c r="F5021" s="2"/>
    </row>
    <row r="5022" spans="6:6" x14ac:dyDescent="0.25">
      <c r="F5022" s="2"/>
    </row>
    <row r="5023" spans="6:6" x14ac:dyDescent="0.25">
      <c r="F5023" s="2"/>
    </row>
    <row r="5024" spans="6:6" x14ac:dyDescent="0.25">
      <c r="F5024" s="2"/>
    </row>
    <row r="5025" spans="6:6" x14ac:dyDescent="0.25">
      <c r="F5025" s="2"/>
    </row>
    <row r="5026" spans="6:6" x14ac:dyDescent="0.25">
      <c r="F5026" s="2"/>
    </row>
    <row r="5027" spans="6:6" x14ac:dyDescent="0.25">
      <c r="F5027" s="2"/>
    </row>
    <row r="5028" spans="6:6" x14ac:dyDescent="0.25">
      <c r="F5028" s="2"/>
    </row>
    <row r="5029" spans="6:6" x14ac:dyDescent="0.25">
      <c r="F5029" s="2"/>
    </row>
    <row r="5030" spans="6:6" x14ac:dyDescent="0.25">
      <c r="F5030" s="2"/>
    </row>
    <row r="5031" spans="6:6" x14ac:dyDescent="0.25">
      <c r="F5031" s="2"/>
    </row>
    <row r="5032" spans="6:6" x14ac:dyDescent="0.25">
      <c r="F5032" s="2"/>
    </row>
    <row r="5033" spans="6:6" x14ac:dyDescent="0.25">
      <c r="F5033" s="2"/>
    </row>
    <row r="5034" spans="6:6" x14ac:dyDescent="0.25">
      <c r="F5034" s="2"/>
    </row>
    <row r="5035" spans="6:6" x14ac:dyDescent="0.25">
      <c r="F5035" s="2"/>
    </row>
    <row r="5036" spans="6:6" x14ac:dyDescent="0.25">
      <c r="F5036" s="2"/>
    </row>
    <row r="5037" spans="6:6" x14ac:dyDescent="0.25">
      <c r="F5037" s="2"/>
    </row>
    <row r="5038" spans="6:6" x14ac:dyDescent="0.25">
      <c r="F5038" s="2"/>
    </row>
    <row r="5039" spans="6:6" x14ac:dyDescent="0.25">
      <c r="F5039" s="2"/>
    </row>
    <row r="5040" spans="6:6" x14ac:dyDescent="0.25">
      <c r="F5040" s="2"/>
    </row>
    <row r="5041" spans="6:6" x14ac:dyDescent="0.25">
      <c r="F5041" s="2"/>
    </row>
    <row r="5042" spans="6:6" x14ac:dyDescent="0.25">
      <c r="F5042" s="2"/>
    </row>
    <row r="5043" spans="6:6" x14ac:dyDescent="0.25">
      <c r="F5043" s="2"/>
    </row>
    <row r="5044" spans="6:6" x14ac:dyDescent="0.25">
      <c r="F5044" s="2"/>
    </row>
    <row r="5045" spans="6:6" x14ac:dyDescent="0.25">
      <c r="F5045" s="2"/>
    </row>
    <row r="5046" spans="6:6" x14ac:dyDescent="0.25">
      <c r="F5046" s="2"/>
    </row>
    <row r="5047" spans="6:6" x14ac:dyDescent="0.25">
      <c r="F5047" s="2"/>
    </row>
    <row r="5048" spans="6:6" x14ac:dyDescent="0.25">
      <c r="F5048" s="2"/>
    </row>
    <row r="5049" spans="6:6" x14ac:dyDescent="0.25">
      <c r="F5049" s="2"/>
    </row>
    <row r="5050" spans="6:6" x14ac:dyDescent="0.25">
      <c r="F5050" s="2"/>
    </row>
    <row r="5051" spans="6:6" x14ac:dyDescent="0.25">
      <c r="F5051" s="2"/>
    </row>
    <row r="5052" spans="6:6" x14ac:dyDescent="0.25">
      <c r="F5052" s="2"/>
    </row>
    <row r="5053" spans="6:6" x14ac:dyDescent="0.25">
      <c r="F5053" s="2"/>
    </row>
    <row r="5054" spans="6:6" x14ac:dyDescent="0.25">
      <c r="F5054" s="2"/>
    </row>
    <row r="5055" spans="6:6" x14ac:dyDescent="0.25">
      <c r="F5055" s="2"/>
    </row>
    <row r="5056" spans="6:6" x14ac:dyDescent="0.25">
      <c r="F5056" s="2"/>
    </row>
    <row r="5057" spans="6:6" x14ac:dyDescent="0.25">
      <c r="F5057" s="2"/>
    </row>
    <row r="5058" spans="6:6" x14ac:dyDescent="0.25">
      <c r="F5058" s="2"/>
    </row>
    <row r="5059" spans="6:6" x14ac:dyDescent="0.25">
      <c r="F5059" s="2"/>
    </row>
    <row r="5060" spans="6:6" x14ac:dyDescent="0.25">
      <c r="F5060" s="2"/>
    </row>
    <row r="5061" spans="6:6" x14ac:dyDescent="0.25">
      <c r="F5061" s="2"/>
    </row>
    <row r="5062" spans="6:6" x14ac:dyDescent="0.25">
      <c r="F5062" s="2"/>
    </row>
    <row r="5063" spans="6:6" x14ac:dyDescent="0.25">
      <c r="F5063" s="2"/>
    </row>
    <row r="5064" spans="6:6" x14ac:dyDescent="0.25">
      <c r="F5064" s="2"/>
    </row>
    <row r="5065" spans="6:6" x14ac:dyDescent="0.25">
      <c r="F5065" s="2"/>
    </row>
    <row r="5066" spans="6:6" x14ac:dyDescent="0.25">
      <c r="F5066" s="2"/>
    </row>
    <row r="5067" spans="6:6" x14ac:dyDescent="0.25">
      <c r="F5067" s="2"/>
    </row>
    <row r="5068" spans="6:6" x14ac:dyDescent="0.25">
      <c r="F5068" s="2"/>
    </row>
    <row r="5069" spans="6:6" x14ac:dyDescent="0.25">
      <c r="F5069" s="2"/>
    </row>
    <row r="5070" spans="6:6" x14ac:dyDescent="0.25">
      <c r="F5070" s="2"/>
    </row>
    <row r="5071" spans="6:6" x14ac:dyDescent="0.25">
      <c r="F5071" s="2"/>
    </row>
    <row r="5072" spans="6:6" x14ac:dyDescent="0.25">
      <c r="F5072" s="2"/>
    </row>
    <row r="5073" spans="6:6" x14ac:dyDescent="0.25">
      <c r="F5073" s="2"/>
    </row>
    <row r="5074" spans="6:6" x14ac:dyDescent="0.25">
      <c r="F5074" s="2"/>
    </row>
    <row r="5075" spans="6:6" x14ac:dyDescent="0.25">
      <c r="F5075" s="2"/>
    </row>
    <row r="5076" spans="6:6" x14ac:dyDescent="0.25">
      <c r="F5076" s="2"/>
    </row>
    <row r="5077" spans="6:6" x14ac:dyDescent="0.25">
      <c r="F5077" s="2"/>
    </row>
    <row r="5078" spans="6:6" x14ac:dyDescent="0.25">
      <c r="F5078" s="2"/>
    </row>
    <row r="5079" spans="6:6" x14ac:dyDescent="0.25">
      <c r="F5079" s="2"/>
    </row>
    <row r="5080" spans="6:6" x14ac:dyDescent="0.25">
      <c r="F5080" s="2"/>
    </row>
    <row r="5081" spans="6:6" x14ac:dyDescent="0.25">
      <c r="F5081" s="2"/>
    </row>
    <row r="5082" spans="6:6" x14ac:dyDescent="0.25">
      <c r="F5082" s="2"/>
    </row>
    <row r="5083" spans="6:6" x14ac:dyDescent="0.25">
      <c r="F5083" s="2"/>
    </row>
    <row r="5084" spans="6:6" x14ac:dyDescent="0.25">
      <c r="F5084" s="2"/>
    </row>
    <row r="5085" spans="6:6" x14ac:dyDescent="0.25">
      <c r="F5085" s="2"/>
    </row>
    <row r="5086" spans="6:6" x14ac:dyDescent="0.25">
      <c r="F5086" s="2"/>
    </row>
    <row r="5087" spans="6:6" x14ac:dyDescent="0.25">
      <c r="F5087" s="2"/>
    </row>
    <row r="5088" spans="6:6" x14ac:dyDescent="0.25">
      <c r="F5088" s="2"/>
    </row>
    <row r="5089" spans="6:6" x14ac:dyDescent="0.25">
      <c r="F5089" s="2"/>
    </row>
    <row r="5090" spans="6:6" x14ac:dyDescent="0.25">
      <c r="F5090" s="2"/>
    </row>
    <row r="5091" spans="6:6" x14ac:dyDescent="0.25">
      <c r="F5091" s="2"/>
    </row>
    <row r="5092" spans="6:6" x14ac:dyDescent="0.25">
      <c r="F5092" s="2"/>
    </row>
    <row r="5093" spans="6:6" x14ac:dyDescent="0.25">
      <c r="F5093" s="2"/>
    </row>
    <row r="5094" spans="6:6" x14ac:dyDescent="0.25">
      <c r="F5094" s="2"/>
    </row>
    <row r="5095" spans="6:6" x14ac:dyDescent="0.25">
      <c r="F5095" s="2"/>
    </row>
    <row r="5096" spans="6:6" x14ac:dyDescent="0.25">
      <c r="F5096" s="2"/>
    </row>
    <row r="5097" spans="6:6" x14ac:dyDescent="0.25">
      <c r="F5097" s="2"/>
    </row>
    <row r="5098" spans="6:6" x14ac:dyDescent="0.25">
      <c r="F5098" s="2"/>
    </row>
    <row r="5099" spans="6:6" x14ac:dyDescent="0.25">
      <c r="F5099" s="2"/>
    </row>
    <row r="5100" spans="6:6" x14ac:dyDescent="0.25">
      <c r="F5100" s="2"/>
    </row>
    <row r="5101" spans="6:6" x14ac:dyDescent="0.25">
      <c r="F5101" s="2"/>
    </row>
    <row r="5102" spans="6:6" x14ac:dyDescent="0.25">
      <c r="F5102" s="2"/>
    </row>
    <row r="5103" spans="6:6" x14ac:dyDescent="0.25">
      <c r="F5103" s="2"/>
    </row>
    <row r="5104" spans="6:6" x14ac:dyDescent="0.25">
      <c r="F5104" s="2"/>
    </row>
    <row r="5105" spans="6:6" x14ac:dyDescent="0.25">
      <c r="F5105" s="2"/>
    </row>
    <row r="5106" spans="6:6" x14ac:dyDescent="0.25">
      <c r="F5106" s="2"/>
    </row>
    <row r="5107" spans="6:6" x14ac:dyDescent="0.25">
      <c r="F5107" s="2"/>
    </row>
    <row r="5108" spans="6:6" x14ac:dyDescent="0.25">
      <c r="F5108" s="2"/>
    </row>
    <row r="5109" spans="6:6" x14ac:dyDescent="0.25">
      <c r="F5109" s="2"/>
    </row>
    <row r="5110" spans="6:6" x14ac:dyDescent="0.25">
      <c r="F5110" s="2"/>
    </row>
    <row r="5111" spans="6:6" x14ac:dyDescent="0.25">
      <c r="F5111" s="2"/>
    </row>
    <row r="5112" spans="6:6" x14ac:dyDescent="0.25">
      <c r="F5112" s="2"/>
    </row>
    <row r="5113" spans="6:6" x14ac:dyDescent="0.25">
      <c r="F5113" s="2"/>
    </row>
    <row r="5114" spans="6:6" x14ac:dyDescent="0.25">
      <c r="F5114" s="2"/>
    </row>
    <row r="5115" spans="6:6" x14ac:dyDescent="0.25">
      <c r="F5115" s="2"/>
    </row>
    <row r="5116" spans="6:6" x14ac:dyDescent="0.25">
      <c r="F5116" s="2"/>
    </row>
    <row r="5117" spans="6:6" x14ac:dyDescent="0.25">
      <c r="F5117" s="2"/>
    </row>
    <row r="5118" spans="6:6" x14ac:dyDescent="0.25">
      <c r="F5118" s="2"/>
    </row>
    <row r="5119" spans="6:6" x14ac:dyDescent="0.25">
      <c r="F5119" s="2"/>
    </row>
    <row r="5120" spans="6:6" x14ac:dyDescent="0.25">
      <c r="F5120" s="2"/>
    </row>
    <row r="5121" spans="6:6" x14ac:dyDescent="0.25">
      <c r="F5121" s="2"/>
    </row>
    <row r="5122" spans="6:6" x14ac:dyDescent="0.25">
      <c r="F5122" s="2"/>
    </row>
    <row r="5123" spans="6:6" x14ac:dyDescent="0.25">
      <c r="F5123" s="2"/>
    </row>
    <row r="5124" spans="6:6" x14ac:dyDescent="0.25">
      <c r="F5124" s="2"/>
    </row>
    <row r="5125" spans="6:6" x14ac:dyDescent="0.25">
      <c r="F5125" s="2"/>
    </row>
    <row r="5126" spans="6:6" x14ac:dyDescent="0.25">
      <c r="F5126" s="2"/>
    </row>
    <row r="5127" spans="6:6" x14ac:dyDescent="0.25">
      <c r="F5127" s="2"/>
    </row>
    <row r="5128" spans="6:6" x14ac:dyDescent="0.25">
      <c r="F5128" s="2"/>
    </row>
    <row r="5129" spans="6:6" x14ac:dyDescent="0.25">
      <c r="F5129" s="2"/>
    </row>
    <row r="5130" spans="6:6" x14ac:dyDescent="0.25">
      <c r="F5130" s="2"/>
    </row>
    <row r="5131" spans="6:6" x14ac:dyDescent="0.25">
      <c r="F5131" s="2"/>
    </row>
    <row r="5132" spans="6:6" x14ac:dyDescent="0.25">
      <c r="F5132" s="2"/>
    </row>
    <row r="5133" spans="6:6" x14ac:dyDescent="0.25">
      <c r="F5133" s="2"/>
    </row>
    <row r="5134" spans="6:6" x14ac:dyDescent="0.25">
      <c r="F5134" s="2"/>
    </row>
    <row r="5135" spans="6:6" x14ac:dyDescent="0.25">
      <c r="F5135" s="2"/>
    </row>
    <row r="5136" spans="6:6" x14ac:dyDescent="0.25">
      <c r="F5136" s="2"/>
    </row>
    <row r="5137" spans="6:6" x14ac:dyDescent="0.25">
      <c r="F5137" s="2"/>
    </row>
    <row r="5138" spans="6:6" x14ac:dyDescent="0.25">
      <c r="F5138" s="2"/>
    </row>
    <row r="5139" spans="6:6" x14ac:dyDescent="0.25">
      <c r="F5139" s="2"/>
    </row>
    <row r="5140" spans="6:6" x14ac:dyDescent="0.25">
      <c r="F5140" s="2"/>
    </row>
    <row r="5141" spans="6:6" x14ac:dyDescent="0.25">
      <c r="F5141" s="2"/>
    </row>
    <row r="5142" spans="6:6" x14ac:dyDescent="0.25">
      <c r="F5142" s="2"/>
    </row>
    <row r="5143" spans="6:6" x14ac:dyDescent="0.25">
      <c r="F5143" s="2"/>
    </row>
    <row r="5144" spans="6:6" x14ac:dyDescent="0.25">
      <c r="F5144" s="2"/>
    </row>
    <row r="5145" spans="6:6" x14ac:dyDescent="0.25">
      <c r="F5145" s="2"/>
    </row>
    <row r="5146" spans="6:6" x14ac:dyDescent="0.25">
      <c r="F5146" s="2"/>
    </row>
    <row r="5147" spans="6:6" x14ac:dyDescent="0.25">
      <c r="F5147" s="2"/>
    </row>
    <row r="5148" spans="6:6" x14ac:dyDescent="0.25">
      <c r="F5148" s="2"/>
    </row>
    <row r="5149" spans="6:6" x14ac:dyDescent="0.25">
      <c r="F5149" s="2"/>
    </row>
    <row r="5150" spans="6:6" x14ac:dyDescent="0.25">
      <c r="F5150" s="2"/>
    </row>
    <row r="5151" spans="6:6" x14ac:dyDescent="0.25">
      <c r="F5151" s="2"/>
    </row>
    <row r="5152" spans="6:6" x14ac:dyDescent="0.25">
      <c r="F5152" s="2"/>
    </row>
    <row r="5153" spans="6:6" x14ac:dyDescent="0.25">
      <c r="F5153" s="2"/>
    </row>
    <row r="5154" spans="6:6" x14ac:dyDescent="0.25">
      <c r="F5154" s="2"/>
    </row>
    <row r="5155" spans="6:6" x14ac:dyDescent="0.25">
      <c r="F5155" s="2"/>
    </row>
    <row r="5156" spans="6:6" x14ac:dyDescent="0.25">
      <c r="F5156" s="2"/>
    </row>
    <row r="5157" spans="6:6" x14ac:dyDescent="0.25">
      <c r="F5157" s="2"/>
    </row>
    <row r="5158" spans="6:6" x14ac:dyDescent="0.25">
      <c r="F5158" s="2"/>
    </row>
    <row r="5159" spans="6:6" x14ac:dyDescent="0.25">
      <c r="F5159" s="2"/>
    </row>
    <row r="5160" spans="6:6" x14ac:dyDescent="0.25">
      <c r="F5160" s="2"/>
    </row>
    <row r="5161" spans="6:6" x14ac:dyDescent="0.25">
      <c r="F5161" s="2"/>
    </row>
    <row r="5162" spans="6:6" x14ac:dyDescent="0.25">
      <c r="F5162" s="2"/>
    </row>
    <row r="5163" spans="6:6" x14ac:dyDescent="0.25">
      <c r="F5163" s="2"/>
    </row>
    <row r="5164" spans="6:6" x14ac:dyDescent="0.25">
      <c r="F5164" s="2"/>
    </row>
    <row r="5165" spans="6:6" x14ac:dyDescent="0.25">
      <c r="F5165" s="2"/>
    </row>
    <row r="5166" spans="6:6" x14ac:dyDescent="0.25">
      <c r="F5166" s="2"/>
    </row>
    <row r="5167" spans="6:6" x14ac:dyDescent="0.25">
      <c r="F5167" s="2"/>
    </row>
    <row r="5168" spans="6:6" x14ac:dyDescent="0.25">
      <c r="F5168" s="2"/>
    </row>
    <row r="5169" spans="6:6" x14ac:dyDescent="0.25">
      <c r="F5169" s="2"/>
    </row>
    <row r="5170" spans="6:6" x14ac:dyDescent="0.25">
      <c r="F5170" s="2"/>
    </row>
    <row r="5171" spans="6:6" x14ac:dyDescent="0.25">
      <c r="F5171" s="2"/>
    </row>
    <row r="5172" spans="6:6" x14ac:dyDescent="0.25">
      <c r="F5172" s="2"/>
    </row>
    <row r="5173" spans="6:6" x14ac:dyDescent="0.25">
      <c r="F5173" s="2"/>
    </row>
    <row r="5174" spans="6:6" x14ac:dyDescent="0.25">
      <c r="F5174" s="2"/>
    </row>
    <row r="5175" spans="6:6" x14ac:dyDescent="0.25">
      <c r="F5175" s="2"/>
    </row>
    <row r="5176" spans="6:6" x14ac:dyDescent="0.25">
      <c r="F5176" s="2"/>
    </row>
    <row r="5177" spans="6:6" x14ac:dyDescent="0.25">
      <c r="F5177" s="2"/>
    </row>
    <row r="5178" spans="6:6" x14ac:dyDescent="0.25">
      <c r="F5178" s="2"/>
    </row>
    <row r="5179" spans="6:6" x14ac:dyDescent="0.25">
      <c r="F5179" s="2"/>
    </row>
    <row r="5180" spans="6:6" x14ac:dyDescent="0.25">
      <c r="F5180" s="2"/>
    </row>
    <row r="5181" spans="6:6" x14ac:dyDescent="0.25">
      <c r="F5181" s="2"/>
    </row>
    <row r="5182" spans="6:6" x14ac:dyDescent="0.25">
      <c r="F5182" s="2"/>
    </row>
    <row r="5183" spans="6:6" x14ac:dyDescent="0.25">
      <c r="F5183" s="2"/>
    </row>
    <row r="5184" spans="6:6" x14ac:dyDescent="0.25">
      <c r="F5184" s="2"/>
    </row>
    <row r="5185" spans="6:6" x14ac:dyDescent="0.25">
      <c r="F5185" s="2"/>
    </row>
    <row r="5186" spans="6:6" x14ac:dyDescent="0.25">
      <c r="F5186" s="2"/>
    </row>
    <row r="5187" spans="6:6" x14ac:dyDescent="0.25">
      <c r="F5187" s="2"/>
    </row>
    <row r="5188" spans="6:6" x14ac:dyDescent="0.25">
      <c r="F5188" s="2"/>
    </row>
    <row r="5189" spans="6:6" x14ac:dyDescent="0.25">
      <c r="F5189" s="2"/>
    </row>
    <row r="5190" spans="6:6" x14ac:dyDescent="0.25">
      <c r="F5190" s="2"/>
    </row>
    <row r="5191" spans="6:6" x14ac:dyDescent="0.25">
      <c r="F5191" s="2"/>
    </row>
    <row r="5192" spans="6:6" x14ac:dyDescent="0.25">
      <c r="F5192" s="2"/>
    </row>
    <row r="5193" spans="6:6" x14ac:dyDescent="0.25">
      <c r="F5193" s="2"/>
    </row>
    <row r="5194" spans="6:6" x14ac:dyDescent="0.25">
      <c r="F5194" s="2"/>
    </row>
    <row r="5195" spans="6:6" x14ac:dyDescent="0.25">
      <c r="F5195" s="2"/>
    </row>
    <row r="5196" spans="6:6" x14ac:dyDescent="0.25">
      <c r="F5196" s="2"/>
    </row>
    <row r="5197" spans="6:6" x14ac:dyDescent="0.25">
      <c r="F5197" s="2"/>
    </row>
    <row r="5198" spans="6:6" x14ac:dyDescent="0.25">
      <c r="F5198" s="2"/>
    </row>
    <row r="5199" spans="6:6" x14ac:dyDescent="0.25">
      <c r="F5199" s="2"/>
    </row>
    <row r="5200" spans="6:6" x14ac:dyDescent="0.25">
      <c r="F5200" s="2"/>
    </row>
    <row r="5201" spans="6:6" x14ac:dyDescent="0.25">
      <c r="F5201" s="2"/>
    </row>
    <row r="5202" spans="6:6" x14ac:dyDescent="0.25">
      <c r="F5202" s="2"/>
    </row>
    <row r="5203" spans="6:6" x14ac:dyDescent="0.25">
      <c r="F5203" s="2"/>
    </row>
    <row r="5204" spans="6:6" x14ac:dyDescent="0.25">
      <c r="F5204" s="2"/>
    </row>
    <row r="5205" spans="6:6" x14ac:dyDescent="0.25">
      <c r="F5205" s="2"/>
    </row>
    <row r="5206" spans="6:6" x14ac:dyDescent="0.25">
      <c r="F5206" s="2"/>
    </row>
    <row r="5207" spans="6:6" x14ac:dyDescent="0.25">
      <c r="F5207" s="2"/>
    </row>
    <row r="5208" spans="6:6" x14ac:dyDescent="0.25">
      <c r="F5208" s="2"/>
    </row>
    <row r="5209" spans="6:6" x14ac:dyDescent="0.25">
      <c r="F5209" s="2"/>
    </row>
    <row r="5210" spans="6:6" x14ac:dyDescent="0.25">
      <c r="F5210" s="2"/>
    </row>
    <row r="5211" spans="6:6" x14ac:dyDescent="0.25">
      <c r="F5211" s="2"/>
    </row>
    <row r="5212" spans="6:6" x14ac:dyDescent="0.25">
      <c r="F5212" s="2"/>
    </row>
    <row r="5213" spans="6:6" x14ac:dyDescent="0.25">
      <c r="F5213" s="2"/>
    </row>
    <row r="5214" spans="6:6" x14ac:dyDescent="0.25">
      <c r="F5214" s="2"/>
    </row>
    <row r="5215" spans="6:6" x14ac:dyDescent="0.25">
      <c r="F5215" s="2"/>
    </row>
    <row r="5216" spans="6:6" x14ac:dyDescent="0.25">
      <c r="F5216" s="2"/>
    </row>
    <row r="5217" spans="6:6" x14ac:dyDescent="0.25">
      <c r="F5217" s="2"/>
    </row>
    <row r="5218" spans="6:6" x14ac:dyDescent="0.25">
      <c r="F5218" s="2"/>
    </row>
    <row r="5219" spans="6:6" x14ac:dyDescent="0.25">
      <c r="F5219" s="2"/>
    </row>
    <row r="5220" spans="6:6" x14ac:dyDescent="0.25">
      <c r="F5220" s="2"/>
    </row>
    <row r="5221" spans="6:6" x14ac:dyDescent="0.25">
      <c r="F5221" s="2"/>
    </row>
    <row r="5222" spans="6:6" x14ac:dyDescent="0.25">
      <c r="F5222" s="2"/>
    </row>
    <row r="5223" spans="6:6" x14ac:dyDescent="0.25">
      <c r="F5223" s="2"/>
    </row>
    <row r="5224" spans="6:6" x14ac:dyDescent="0.25">
      <c r="F5224" s="2"/>
    </row>
    <row r="5225" spans="6:6" x14ac:dyDescent="0.25">
      <c r="F5225" s="2"/>
    </row>
    <row r="5226" spans="6:6" x14ac:dyDescent="0.25">
      <c r="F5226" s="2"/>
    </row>
    <row r="5227" spans="6:6" x14ac:dyDescent="0.25">
      <c r="F5227" s="2"/>
    </row>
    <row r="5228" spans="6:6" x14ac:dyDescent="0.25">
      <c r="F5228" s="2"/>
    </row>
    <row r="5229" spans="6:6" x14ac:dyDescent="0.25">
      <c r="F5229" s="2"/>
    </row>
    <row r="5230" spans="6:6" x14ac:dyDescent="0.25">
      <c r="F5230" s="2"/>
    </row>
    <row r="5231" spans="6:6" x14ac:dyDescent="0.25">
      <c r="F5231" s="2"/>
    </row>
    <row r="5232" spans="6:6" x14ac:dyDescent="0.25">
      <c r="F5232" s="2"/>
    </row>
    <row r="5233" spans="6:6" x14ac:dyDescent="0.25">
      <c r="F5233" s="2"/>
    </row>
    <row r="5234" spans="6:6" x14ac:dyDescent="0.25">
      <c r="F5234" s="2"/>
    </row>
    <row r="5235" spans="6:6" x14ac:dyDescent="0.25">
      <c r="F5235" s="2"/>
    </row>
    <row r="5236" spans="6:6" x14ac:dyDescent="0.25">
      <c r="F5236" s="2"/>
    </row>
    <row r="5237" spans="6:6" x14ac:dyDescent="0.25">
      <c r="F5237" s="2"/>
    </row>
    <row r="5238" spans="6:6" x14ac:dyDescent="0.25">
      <c r="F5238" s="2"/>
    </row>
    <row r="5239" spans="6:6" x14ac:dyDescent="0.25">
      <c r="F5239" s="2"/>
    </row>
    <row r="5240" spans="6:6" x14ac:dyDescent="0.25">
      <c r="F5240" s="2"/>
    </row>
    <row r="5241" spans="6:6" x14ac:dyDescent="0.25">
      <c r="F5241" s="2"/>
    </row>
    <row r="5242" spans="6:6" x14ac:dyDescent="0.25">
      <c r="F5242" s="2"/>
    </row>
    <row r="5243" spans="6:6" x14ac:dyDescent="0.25">
      <c r="F5243" s="2"/>
    </row>
    <row r="5244" spans="6:6" x14ac:dyDescent="0.25">
      <c r="F5244" s="2"/>
    </row>
    <row r="5245" spans="6:6" x14ac:dyDescent="0.25">
      <c r="F5245" s="2"/>
    </row>
    <row r="5246" spans="6:6" x14ac:dyDescent="0.25">
      <c r="F5246" s="2"/>
    </row>
    <row r="5247" spans="6:6" x14ac:dyDescent="0.25">
      <c r="F5247" s="2"/>
    </row>
    <row r="5248" spans="6:6" x14ac:dyDescent="0.25">
      <c r="F5248" s="2"/>
    </row>
    <row r="5249" spans="6:6" x14ac:dyDescent="0.25">
      <c r="F5249" s="2"/>
    </row>
    <row r="5250" spans="6:6" x14ac:dyDescent="0.25">
      <c r="F5250" s="2"/>
    </row>
    <row r="5251" spans="6:6" x14ac:dyDescent="0.25">
      <c r="F5251" s="2"/>
    </row>
    <row r="5252" spans="6:6" x14ac:dyDescent="0.25">
      <c r="F5252" s="2"/>
    </row>
    <row r="5253" spans="6:6" x14ac:dyDescent="0.25">
      <c r="F5253" s="2"/>
    </row>
    <row r="5254" spans="6:6" x14ac:dyDescent="0.25">
      <c r="F5254" s="2"/>
    </row>
    <row r="5255" spans="6:6" x14ac:dyDescent="0.25">
      <c r="F5255" s="2"/>
    </row>
    <row r="5256" spans="6:6" x14ac:dyDescent="0.25">
      <c r="F5256" s="2"/>
    </row>
    <row r="5257" spans="6:6" x14ac:dyDescent="0.25">
      <c r="F5257" s="2"/>
    </row>
    <row r="5258" spans="6:6" x14ac:dyDescent="0.25">
      <c r="F5258" s="2"/>
    </row>
    <row r="5259" spans="6:6" x14ac:dyDescent="0.25">
      <c r="F5259" s="2"/>
    </row>
    <row r="5260" spans="6:6" x14ac:dyDescent="0.25">
      <c r="F5260" s="2"/>
    </row>
    <row r="5261" spans="6:6" x14ac:dyDescent="0.25">
      <c r="F5261" s="2"/>
    </row>
    <row r="5262" spans="6:6" x14ac:dyDescent="0.25">
      <c r="F5262" s="2"/>
    </row>
    <row r="5263" spans="6:6" x14ac:dyDescent="0.25">
      <c r="F5263" s="2"/>
    </row>
    <row r="5264" spans="6:6" x14ac:dyDescent="0.25">
      <c r="F5264" s="2"/>
    </row>
    <row r="5265" spans="6:6" x14ac:dyDescent="0.25">
      <c r="F5265" s="2"/>
    </row>
    <row r="5266" spans="6:6" x14ac:dyDescent="0.25">
      <c r="F5266" s="2"/>
    </row>
    <row r="5267" spans="6:6" x14ac:dyDescent="0.25">
      <c r="F5267" s="2"/>
    </row>
    <row r="5268" spans="6:6" x14ac:dyDescent="0.25">
      <c r="F5268" s="2"/>
    </row>
    <row r="5269" spans="6:6" x14ac:dyDescent="0.25">
      <c r="F5269" s="2"/>
    </row>
    <row r="5270" spans="6:6" x14ac:dyDescent="0.25">
      <c r="F5270" s="2"/>
    </row>
    <row r="5271" spans="6:6" x14ac:dyDescent="0.25">
      <c r="F5271" s="2"/>
    </row>
    <row r="5272" spans="6:6" x14ac:dyDescent="0.25">
      <c r="F5272" s="2"/>
    </row>
    <row r="5273" spans="6:6" x14ac:dyDescent="0.25">
      <c r="F5273" s="2"/>
    </row>
    <row r="5274" spans="6:6" x14ac:dyDescent="0.25">
      <c r="F5274" s="2"/>
    </row>
    <row r="5275" spans="6:6" x14ac:dyDescent="0.25">
      <c r="F5275" s="2"/>
    </row>
    <row r="5276" spans="6:6" x14ac:dyDescent="0.25">
      <c r="F5276" s="2"/>
    </row>
    <row r="5277" spans="6:6" x14ac:dyDescent="0.25">
      <c r="F5277" s="2"/>
    </row>
    <row r="5278" spans="6:6" x14ac:dyDescent="0.25">
      <c r="F5278" s="2"/>
    </row>
    <row r="5279" spans="6:6" x14ac:dyDescent="0.25">
      <c r="F5279" s="2"/>
    </row>
    <row r="5280" spans="6:6" x14ac:dyDescent="0.25">
      <c r="F5280" s="2"/>
    </row>
    <row r="5281" spans="6:6" x14ac:dyDescent="0.25">
      <c r="F5281" s="2"/>
    </row>
    <row r="5282" spans="6:6" x14ac:dyDescent="0.25">
      <c r="F5282" s="2"/>
    </row>
    <row r="5283" spans="6:6" x14ac:dyDescent="0.25">
      <c r="F5283" s="2"/>
    </row>
    <row r="5284" spans="6:6" x14ac:dyDescent="0.25">
      <c r="F5284" s="2"/>
    </row>
    <row r="5285" spans="6:6" x14ac:dyDescent="0.25">
      <c r="F5285" s="2"/>
    </row>
    <row r="5286" spans="6:6" x14ac:dyDescent="0.25">
      <c r="F5286" s="2"/>
    </row>
    <row r="5287" spans="6:6" x14ac:dyDescent="0.25">
      <c r="F5287" s="2"/>
    </row>
    <row r="5288" spans="6:6" x14ac:dyDescent="0.25">
      <c r="F5288" s="2"/>
    </row>
    <row r="5289" spans="6:6" x14ac:dyDescent="0.25">
      <c r="F5289" s="2"/>
    </row>
    <row r="5290" spans="6:6" x14ac:dyDescent="0.25">
      <c r="F5290" s="2"/>
    </row>
    <row r="5291" spans="6:6" x14ac:dyDescent="0.25">
      <c r="F5291" s="2"/>
    </row>
    <row r="5292" spans="6:6" x14ac:dyDescent="0.25">
      <c r="F5292" s="2"/>
    </row>
    <row r="5293" spans="6:6" x14ac:dyDescent="0.25">
      <c r="F5293" s="2"/>
    </row>
    <row r="5294" spans="6:6" x14ac:dyDescent="0.25">
      <c r="F5294" s="2"/>
    </row>
    <row r="5295" spans="6:6" x14ac:dyDescent="0.25">
      <c r="F5295" s="2"/>
    </row>
    <row r="5296" spans="6:6" x14ac:dyDescent="0.25">
      <c r="F5296" s="2"/>
    </row>
    <row r="5297" spans="6:6" x14ac:dyDescent="0.25">
      <c r="F5297" s="2"/>
    </row>
    <row r="5298" spans="6:6" x14ac:dyDescent="0.25">
      <c r="F5298" s="2"/>
    </row>
    <row r="5299" spans="6:6" x14ac:dyDescent="0.25">
      <c r="F5299" s="2"/>
    </row>
    <row r="5300" spans="6:6" x14ac:dyDescent="0.25">
      <c r="F5300" s="2"/>
    </row>
    <row r="5301" spans="6:6" x14ac:dyDescent="0.25">
      <c r="F5301" s="2"/>
    </row>
    <row r="5302" spans="6:6" x14ac:dyDescent="0.25">
      <c r="F5302" s="2"/>
    </row>
    <row r="5303" spans="6:6" x14ac:dyDescent="0.25">
      <c r="F5303" s="2"/>
    </row>
    <row r="5304" spans="6:6" x14ac:dyDescent="0.25">
      <c r="F5304" s="2"/>
    </row>
    <row r="5305" spans="6:6" x14ac:dyDescent="0.25">
      <c r="F5305" s="2"/>
    </row>
    <row r="5306" spans="6:6" x14ac:dyDescent="0.25">
      <c r="F5306" s="2"/>
    </row>
    <row r="5307" spans="6:6" x14ac:dyDescent="0.25">
      <c r="F5307" s="2"/>
    </row>
    <row r="5308" spans="6:6" x14ac:dyDescent="0.25">
      <c r="F5308" s="2"/>
    </row>
    <row r="5309" spans="6:6" x14ac:dyDescent="0.25">
      <c r="F5309" s="2"/>
    </row>
    <row r="5310" spans="6:6" x14ac:dyDescent="0.25">
      <c r="F5310" s="2"/>
    </row>
    <row r="5311" spans="6:6" x14ac:dyDescent="0.25">
      <c r="F5311" s="2"/>
    </row>
    <row r="5312" spans="6:6" x14ac:dyDescent="0.25">
      <c r="F5312" s="2"/>
    </row>
    <row r="5313" spans="6:6" x14ac:dyDescent="0.25">
      <c r="F5313" s="2"/>
    </row>
    <row r="5314" spans="6:6" x14ac:dyDescent="0.25">
      <c r="F5314" s="2"/>
    </row>
    <row r="5315" spans="6:6" x14ac:dyDescent="0.25">
      <c r="F5315" s="2"/>
    </row>
    <row r="5316" spans="6:6" x14ac:dyDescent="0.25">
      <c r="F5316" s="2"/>
    </row>
    <row r="5317" spans="6:6" x14ac:dyDescent="0.25">
      <c r="F5317" s="2"/>
    </row>
    <row r="5318" spans="6:6" x14ac:dyDescent="0.25">
      <c r="F5318" s="2"/>
    </row>
    <row r="5319" spans="6:6" x14ac:dyDescent="0.25">
      <c r="F5319" s="2"/>
    </row>
    <row r="5320" spans="6:6" x14ac:dyDescent="0.25">
      <c r="F5320" s="2"/>
    </row>
    <row r="5321" spans="6:6" x14ac:dyDescent="0.25">
      <c r="F5321" s="2"/>
    </row>
    <row r="5322" spans="6:6" x14ac:dyDescent="0.25">
      <c r="F5322" s="2"/>
    </row>
    <row r="5323" spans="6:6" x14ac:dyDescent="0.25">
      <c r="F5323" s="2"/>
    </row>
    <row r="5324" spans="6:6" x14ac:dyDescent="0.25">
      <c r="F5324" s="2"/>
    </row>
    <row r="5325" spans="6:6" x14ac:dyDescent="0.25">
      <c r="F5325" s="2"/>
    </row>
    <row r="5326" spans="6:6" x14ac:dyDescent="0.25">
      <c r="F5326" s="2"/>
    </row>
    <row r="5327" spans="6:6" x14ac:dyDescent="0.25">
      <c r="F5327" s="2"/>
    </row>
    <row r="5328" spans="6:6" x14ac:dyDescent="0.25">
      <c r="F5328" s="2"/>
    </row>
    <row r="5329" spans="6:6" x14ac:dyDescent="0.25">
      <c r="F5329" s="2"/>
    </row>
    <row r="5330" spans="6:6" x14ac:dyDescent="0.25">
      <c r="F5330" s="2"/>
    </row>
    <row r="5331" spans="6:6" x14ac:dyDescent="0.25">
      <c r="F5331" s="2"/>
    </row>
    <row r="5332" spans="6:6" x14ac:dyDescent="0.25">
      <c r="F5332" s="2"/>
    </row>
    <row r="5333" spans="6:6" x14ac:dyDescent="0.25">
      <c r="F5333" s="2"/>
    </row>
    <row r="5334" spans="6:6" x14ac:dyDescent="0.25">
      <c r="F5334" s="2"/>
    </row>
    <row r="5335" spans="6:6" x14ac:dyDescent="0.25">
      <c r="F5335" s="2"/>
    </row>
    <row r="5336" spans="6:6" x14ac:dyDescent="0.25">
      <c r="F5336" s="2"/>
    </row>
    <row r="5337" spans="6:6" x14ac:dyDescent="0.25">
      <c r="F5337" s="2"/>
    </row>
    <row r="5338" spans="6:6" x14ac:dyDescent="0.25">
      <c r="F5338" s="2"/>
    </row>
    <row r="5339" spans="6:6" x14ac:dyDescent="0.25">
      <c r="F5339" s="2"/>
    </row>
    <row r="5340" spans="6:6" x14ac:dyDescent="0.25">
      <c r="F5340" s="2"/>
    </row>
    <row r="5341" spans="6:6" x14ac:dyDescent="0.25">
      <c r="F5341" s="2"/>
    </row>
    <row r="5342" spans="6:6" x14ac:dyDescent="0.25">
      <c r="F5342" s="2"/>
    </row>
    <row r="5343" spans="6:6" x14ac:dyDescent="0.25">
      <c r="F5343" s="2"/>
    </row>
    <row r="5344" spans="6:6" x14ac:dyDescent="0.25">
      <c r="F5344" s="2"/>
    </row>
    <row r="5345" spans="6:6" x14ac:dyDescent="0.25">
      <c r="F5345" s="2"/>
    </row>
    <row r="5346" spans="6:6" x14ac:dyDescent="0.25">
      <c r="F5346" s="2"/>
    </row>
    <row r="5347" spans="6:6" x14ac:dyDescent="0.25">
      <c r="F5347" s="2"/>
    </row>
    <row r="5348" spans="6:6" x14ac:dyDescent="0.25">
      <c r="F5348" s="2"/>
    </row>
    <row r="5349" spans="6:6" x14ac:dyDescent="0.25">
      <c r="F5349" s="2"/>
    </row>
    <row r="5350" spans="6:6" x14ac:dyDescent="0.25">
      <c r="F5350" s="2"/>
    </row>
    <row r="5351" spans="6:6" x14ac:dyDescent="0.25">
      <c r="F5351" s="2"/>
    </row>
    <row r="5352" spans="6:6" x14ac:dyDescent="0.25">
      <c r="F5352" s="2"/>
    </row>
    <row r="5353" spans="6:6" x14ac:dyDescent="0.25">
      <c r="F5353" s="2"/>
    </row>
    <row r="5354" spans="6:6" x14ac:dyDescent="0.25">
      <c r="F5354" s="2"/>
    </row>
    <row r="5355" spans="6:6" x14ac:dyDescent="0.25">
      <c r="F5355" s="2"/>
    </row>
    <row r="5356" spans="6:6" x14ac:dyDescent="0.25">
      <c r="F5356" s="2"/>
    </row>
    <row r="5357" spans="6:6" x14ac:dyDescent="0.25">
      <c r="F5357" s="2"/>
    </row>
    <row r="5358" spans="6:6" x14ac:dyDescent="0.25">
      <c r="F5358" s="2"/>
    </row>
    <row r="5359" spans="6:6" x14ac:dyDescent="0.25">
      <c r="F5359" s="2"/>
    </row>
    <row r="5360" spans="6:6" x14ac:dyDescent="0.25">
      <c r="F5360" s="2"/>
    </row>
    <row r="5361" spans="6:6" x14ac:dyDescent="0.25">
      <c r="F5361" s="2"/>
    </row>
    <row r="5362" spans="6:6" x14ac:dyDescent="0.25">
      <c r="F5362" s="2"/>
    </row>
    <row r="5363" spans="6:6" x14ac:dyDescent="0.25">
      <c r="F5363" s="2"/>
    </row>
    <row r="5364" spans="6:6" x14ac:dyDescent="0.25">
      <c r="F5364" s="2"/>
    </row>
    <row r="5365" spans="6:6" x14ac:dyDescent="0.25">
      <c r="F5365" s="2"/>
    </row>
    <row r="5366" spans="6:6" x14ac:dyDescent="0.25">
      <c r="F5366" s="2"/>
    </row>
    <row r="5367" spans="6:6" x14ac:dyDescent="0.25">
      <c r="F5367" s="2"/>
    </row>
    <row r="5368" spans="6:6" x14ac:dyDescent="0.25">
      <c r="F5368" s="2"/>
    </row>
    <row r="5369" spans="6:6" x14ac:dyDescent="0.25">
      <c r="F5369" s="2"/>
    </row>
    <row r="5370" spans="6:6" x14ac:dyDescent="0.25">
      <c r="F5370" s="2"/>
    </row>
    <row r="5371" spans="6:6" x14ac:dyDescent="0.25">
      <c r="F5371" s="2"/>
    </row>
    <row r="5372" spans="6:6" x14ac:dyDescent="0.25">
      <c r="F5372" s="2"/>
    </row>
    <row r="5373" spans="6:6" x14ac:dyDescent="0.25">
      <c r="F5373" s="2"/>
    </row>
    <row r="5374" spans="6:6" x14ac:dyDescent="0.25">
      <c r="F5374" s="2"/>
    </row>
    <row r="5375" spans="6:6" x14ac:dyDescent="0.25">
      <c r="F5375" s="2"/>
    </row>
    <row r="5376" spans="6:6" x14ac:dyDescent="0.25">
      <c r="F5376" s="2"/>
    </row>
    <row r="5377" spans="6:6" x14ac:dyDescent="0.25">
      <c r="F5377" s="2"/>
    </row>
    <row r="5378" spans="6:6" x14ac:dyDescent="0.25">
      <c r="F5378" s="2"/>
    </row>
    <row r="5379" spans="6:6" x14ac:dyDescent="0.25">
      <c r="F5379" s="2"/>
    </row>
    <row r="5380" spans="6:6" x14ac:dyDescent="0.25">
      <c r="F5380" s="2"/>
    </row>
    <row r="5381" spans="6:6" x14ac:dyDescent="0.25">
      <c r="F5381" s="2"/>
    </row>
    <row r="5382" spans="6:6" x14ac:dyDescent="0.25">
      <c r="F5382" s="2"/>
    </row>
    <row r="5383" spans="6:6" x14ac:dyDescent="0.25">
      <c r="F5383" s="2"/>
    </row>
    <row r="5384" spans="6:6" x14ac:dyDescent="0.25">
      <c r="F5384" s="2"/>
    </row>
    <row r="5385" spans="6:6" x14ac:dyDescent="0.25">
      <c r="F5385" s="2"/>
    </row>
    <row r="5386" spans="6:6" x14ac:dyDescent="0.25">
      <c r="F5386" s="2"/>
    </row>
    <row r="5387" spans="6:6" x14ac:dyDescent="0.25">
      <c r="F5387" s="2"/>
    </row>
    <row r="5388" spans="6:6" x14ac:dyDescent="0.25">
      <c r="F5388" s="2"/>
    </row>
    <row r="5389" spans="6:6" x14ac:dyDescent="0.25">
      <c r="F5389" s="2"/>
    </row>
    <row r="5390" spans="6:6" x14ac:dyDescent="0.25">
      <c r="F5390" s="2"/>
    </row>
    <row r="5391" spans="6:6" x14ac:dyDescent="0.25">
      <c r="F5391" s="2"/>
    </row>
    <row r="5392" spans="6:6" x14ac:dyDescent="0.25">
      <c r="F5392" s="2"/>
    </row>
    <row r="5393" spans="6:6" x14ac:dyDescent="0.25">
      <c r="F5393" s="2"/>
    </row>
    <row r="5394" spans="6:6" x14ac:dyDescent="0.25">
      <c r="F5394" s="2"/>
    </row>
    <row r="5395" spans="6:6" x14ac:dyDescent="0.25">
      <c r="F5395" s="2"/>
    </row>
    <row r="5396" spans="6:6" x14ac:dyDescent="0.25">
      <c r="F5396" s="2"/>
    </row>
    <row r="5397" spans="6:6" x14ac:dyDescent="0.25">
      <c r="F5397" s="2"/>
    </row>
    <row r="5398" spans="6:6" x14ac:dyDescent="0.25">
      <c r="F5398" s="2"/>
    </row>
    <row r="5399" spans="6:6" x14ac:dyDescent="0.25">
      <c r="F5399" s="2"/>
    </row>
    <row r="5400" spans="6:6" x14ac:dyDescent="0.25">
      <c r="F5400" s="2"/>
    </row>
    <row r="5401" spans="6:6" x14ac:dyDescent="0.25">
      <c r="F5401" s="2"/>
    </row>
    <row r="5402" spans="6:6" x14ac:dyDescent="0.25">
      <c r="F5402" s="2"/>
    </row>
    <row r="5403" spans="6:6" x14ac:dyDescent="0.25">
      <c r="F5403" s="2"/>
    </row>
    <row r="5404" spans="6:6" x14ac:dyDescent="0.25">
      <c r="F5404" s="2"/>
    </row>
    <row r="5405" spans="6:6" x14ac:dyDescent="0.25">
      <c r="F5405" s="2"/>
    </row>
    <row r="5406" spans="6:6" x14ac:dyDescent="0.25">
      <c r="F5406" s="2"/>
    </row>
    <row r="5407" spans="6:6" x14ac:dyDescent="0.25">
      <c r="F5407" s="2"/>
    </row>
    <row r="5408" spans="6:6" x14ac:dyDescent="0.25">
      <c r="F5408" s="2"/>
    </row>
    <row r="5409" spans="6:6" x14ac:dyDescent="0.25">
      <c r="F5409" s="2"/>
    </row>
    <row r="5410" spans="6:6" x14ac:dyDescent="0.25">
      <c r="F5410" s="2"/>
    </row>
    <row r="5411" spans="6:6" x14ac:dyDescent="0.25">
      <c r="F5411" s="2"/>
    </row>
    <row r="5412" spans="6:6" x14ac:dyDescent="0.25">
      <c r="F5412" s="2"/>
    </row>
    <row r="5413" spans="6:6" x14ac:dyDescent="0.25">
      <c r="F5413" s="2"/>
    </row>
    <row r="5414" spans="6:6" x14ac:dyDescent="0.25">
      <c r="F5414" s="2"/>
    </row>
    <row r="5415" spans="6:6" x14ac:dyDescent="0.25">
      <c r="F5415" s="2"/>
    </row>
    <row r="5416" spans="6:6" x14ac:dyDescent="0.25">
      <c r="F5416" s="2"/>
    </row>
    <row r="5417" spans="6:6" x14ac:dyDescent="0.25">
      <c r="F5417" s="2"/>
    </row>
    <row r="5418" spans="6:6" x14ac:dyDescent="0.25">
      <c r="F5418" s="2"/>
    </row>
    <row r="5419" spans="6:6" x14ac:dyDescent="0.25">
      <c r="F5419" s="2"/>
    </row>
    <row r="5420" spans="6:6" x14ac:dyDescent="0.25">
      <c r="F5420" s="2"/>
    </row>
    <row r="5421" spans="6:6" x14ac:dyDescent="0.25">
      <c r="F5421" s="2"/>
    </row>
    <row r="5422" spans="6:6" x14ac:dyDescent="0.25">
      <c r="F5422" s="2"/>
    </row>
    <row r="5423" spans="6:6" x14ac:dyDescent="0.25">
      <c r="F5423" s="2"/>
    </row>
    <row r="5424" spans="6:6" x14ac:dyDescent="0.25">
      <c r="F5424" s="2"/>
    </row>
    <row r="5425" spans="6:6" x14ac:dyDescent="0.25">
      <c r="F5425" s="2"/>
    </row>
    <row r="5426" spans="6:6" x14ac:dyDescent="0.25">
      <c r="F5426" s="2"/>
    </row>
    <row r="5427" spans="6:6" x14ac:dyDescent="0.25">
      <c r="F5427" s="2"/>
    </row>
    <row r="5428" spans="6:6" x14ac:dyDescent="0.25">
      <c r="F5428" s="2"/>
    </row>
    <row r="5429" spans="6:6" x14ac:dyDescent="0.25">
      <c r="F5429" s="2"/>
    </row>
    <row r="5430" spans="6:6" x14ac:dyDescent="0.25">
      <c r="F5430" s="2"/>
    </row>
    <row r="5431" spans="6:6" x14ac:dyDescent="0.25">
      <c r="F5431" s="2"/>
    </row>
    <row r="5432" spans="6:6" x14ac:dyDescent="0.25">
      <c r="F5432" s="2"/>
    </row>
    <row r="5433" spans="6:6" x14ac:dyDescent="0.25">
      <c r="F5433" s="2"/>
    </row>
    <row r="5434" spans="6:6" x14ac:dyDescent="0.25">
      <c r="F5434" s="2"/>
    </row>
    <row r="5435" spans="6:6" x14ac:dyDescent="0.25">
      <c r="F5435" s="2"/>
    </row>
    <row r="5436" spans="6:6" x14ac:dyDescent="0.25">
      <c r="F5436" s="2"/>
    </row>
    <row r="5437" spans="6:6" x14ac:dyDescent="0.25">
      <c r="F5437" s="2"/>
    </row>
    <row r="5438" spans="6:6" x14ac:dyDescent="0.25">
      <c r="F5438" s="2"/>
    </row>
    <row r="5439" spans="6:6" x14ac:dyDescent="0.25">
      <c r="F5439" s="2"/>
    </row>
    <row r="5440" spans="6:6" x14ac:dyDescent="0.25">
      <c r="F5440" s="2"/>
    </row>
    <row r="5441" spans="6:6" x14ac:dyDescent="0.25">
      <c r="F5441" s="2"/>
    </row>
    <row r="5442" spans="6:6" x14ac:dyDescent="0.25">
      <c r="F5442" s="2"/>
    </row>
    <row r="5443" spans="6:6" x14ac:dyDescent="0.25">
      <c r="F5443" s="2"/>
    </row>
    <row r="5444" spans="6:6" x14ac:dyDescent="0.25">
      <c r="F5444" s="2"/>
    </row>
    <row r="5445" spans="6:6" x14ac:dyDescent="0.25">
      <c r="F5445" s="2"/>
    </row>
    <row r="5446" spans="6:6" x14ac:dyDescent="0.25">
      <c r="F5446" s="2"/>
    </row>
    <row r="5447" spans="6:6" x14ac:dyDescent="0.25">
      <c r="F5447" s="2"/>
    </row>
    <row r="5448" spans="6:6" x14ac:dyDescent="0.25">
      <c r="F5448" s="2"/>
    </row>
    <row r="5449" spans="6:6" x14ac:dyDescent="0.25">
      <c r="F5449" s="2"/>
    </row>
    <row r="5450" spans="6:6" x14ac:dyDescent="0.25">
      <c r="F5450" s="2"/>
    </row>
    <row r="5451" spans="6:6" x14ac:dyDescent="0.25">
      <c r="F5451" s="2"/>
    </row>
    <row r="5452" spans="6:6" x14ac:dyDescent="0.25">
      <c r="F5452" s="2"/>
    </row>
    <row r="5453" spans="6:6" x14ac:dyDescent="0.25">
      <c r="F5453" s="2"/>
    </row>
    <row r="5454" spans="6:6" x14ac:dyDescent="0.25">
      <c r="F5454" s="2"/>
    </row>
    <row r="5455" spans="6:6" x14ac:dyDescent="0.25">
      <c r="F5455" s="2"/>
    </row>
    <row r="5456" spans="6:6" x14ac:dyDescent="0.25">
      <c r="F5456" s="2"/>
    </row>
    <row r="5457" spans="6:6" x14ac:dyDescent="0.25">
      <c r="F5457" s="2"/>
    </row>
    <row r="5458" spans="6:6" x14ac:dyDescent="0.25">
      <c r="F5458" s="2"/>
    </row>
    <row r="5459" spans="6:6" x14ac:dyDescent="0.25">
      <c r="F5459" s="2"/>
    </row>
    <row r="5460" spans="6:6" x14ac:dyDescent="0.25">
      <c r="F5460" s="2"/>
    </row>
    <row r="5461" spans="6:6" x14ac:dyDescent="0.25">
      <c r="F5461" s="2"/>
    </row>
    <row r="5462" spans="6:6" x14ac:dyDescent="0.25">
      <c r="F5462" s="2"/>
    </row>
    <row r="5463" spans="6:6" x14ac:dyDescent="0.25">
      <c r="F5463" s="2"/>
    </row>
    <row r="5464" spans="6:6" x14ac:dyDescent="0.25">
      <c r="F5464" s="2"/>
    </row>
    <row r="5465" spans="6:6" x14ac:dyDescent="0.25">
      <c r="F5465" s="2"/>
    </row>
    <row r="5466" spans="6:6" x14ac:dyDescent="0.25">
      <c r="F5466" s="2"/>
    </row>
    <row r="5467" spans="6:6" x14ac:dyDescent="0.25">
      <c r="F5467" s="2"/>
    </row>
    <row r="5468" spans="6:6" x14ac:dyDescent="0.25">
      <c r="F5468" s="2"/>
    </row>
    <row r="5469" spans="6:6" x14ac:dyDescent="0.25">
      <c r="F5469" s="2"/>
    </row>
    <row r="5470" spans="6:6" x14ac:dyDescent="0.25">
      <c r="F5470" s="2"/>
    </row>
    <row r="5471" spans="6:6" x14ac:dyDescent="0.25">
      <c r="F5471" s="2"/>
    </row>
    <row r="5472" spans="6:6" x14ac:dyDescent="0.25">
      <c r="F5472" s="2"/>
    </row>
    <row r="5473" spans="6:6" x14ac:dyDescent="0.25">
      <c r="F5473" s="2"/>
    </row>
    <row r="5474" spans="6:6" x14ac:dyDescent="0.25">
      <c r="F5474" s="2"/>
    </row>
    <row r="5475" spans="6:6" x14ac:dyDescent="0.25">
      <c r="F5475" s="2"/>
    </row>
    <row r="5476" spans="6:6" x14ac:dyDescent="0.25">
      <c r="F5476" s="2"/>
    </row>
    <row r="5477" spans="6:6" x14ac:dyDescent="0.25">
      <c r="F5477" s="2"/>
    </row>
    <row r="5478" spans="6:6" x14ac:dyDescent="0.25">
      <c r="F5478" s="2"/>
    </row>
    <row r="5479" spans="6:6" x14ac:dyDescent="0.25">
      <c r="F5479" s="2"/>
    </row>
    <row r="5480" spans="6:6" x14ac:dyDescent="0.25">
      <c r="F5480" s="2"/>
    </row>
    <row r="5481" spans="6:6" x14ac:dyDescent="0.25">
      <c r="F5481" s="2"/>
    </row>
    <row r="5482" spans="6:6" x14ac:dyDescent="0.25">
      <c r="F5482" s="2"/>
    </row>
    <row r="5483" spans="6:6" x14ac:dyDescent="0.25">
      <c r="F5483" s="2"/>
    </row>
    <row r="5484" spans="6:6" x14ac:dyDescent="0.25">
      <c r="F5484" s="2"/>
    </row>
    <row r="5485" spans="6:6" x14ac:dyDescent="0.25">
      <c r="F5485" s="2"/>
    </row>
    <row r="5486" spans="6:6" x14ac:dyDescent="0.25">
      <c r="F5486" s="2"/>
    </row>
    <row r="5487" spans="6:6" x14ac:dyDescent="0.25">
      <c r="F5487" s="2"/>
    </row>
    <row r="5488" spans="6:6" x14ac:dyDescent="0.25">
      <c r="F5488" s="2"/>
    </row>
    <row r="5489" spans="6:6" x14ac:dyDescent="0.25">
      <c r="F5489" s="2"/>
    </row>
    <row r="5490" spans="6:6" x14ac:dyDescent="0.25">
      <c r="F5490" s="2"/>
    </row>
    <row r="5491" spans="6:6" x14ac:dyDescent="0.25">
      <c r="F5491" s="2"/>
    </row>
    <row r="5492" spans="6:6" x14ac:dyDescent="0.25">
      <c r="F5492" s="2"/>
    </row>
    <row r="5493" spans="6:6" x14ac:dyDescent="0.25">
      <c r="F5493" s="2"/>
    </row>
    <row r="5494" spans="6:6" x14ac:dyDescent="0.25">
      <c r="F5494" s="2"/>
    </row>
    <row r="5495" spans="6:6" x14ac:dyDescent="0.25">
      <c r="F5495" s="2"/>
    </row>
    <row r="5496" spans="6:6" x14ac:dyDescent="0.25">
      <c r="F5496" s="2"/>
    </row>
    <row r="5497" spans="6:6" x14ac:dyDescent="0.25">
      <c r="F5497" s="2"/>
    </row>
    <row r="5498" spans="6:6" x14ac:dyDescent="0.25">
      <c r="F5498" s="2"/>
    </row>
    <row r="5499" spans="6:6" x14ac:dyDescent="0.25">
      <c r="F5499" s="2"/>
    </row>
    <row r="5500" spans="6:6" x14ac:dyDescent="0.25">
      <c r="F5500" s="2"/>
    </row>
    <row r="5501" spans="6:6" x14ac:dyDescent="0.25">
      <c r="F5501" s="2"/>
    </row>
    <row r="5502" spans="6:6" x14ac:dyDescent="0.25">
      <c r="F5502" s="2"/>
    </row>
    <row r="5503" spans="6:6" x14ac:dyDescent="0.25">
      <c r="F5503" s="2"/>
    </row>
    <row r="5504" spans="6:6" x14ac:dyDescent="0.25">
      <c r="F5504" s="2"/>
    </row>
    <row r="5505" spans="6:6" x14ac:dyDescent="0.25">
      <c r="F5505" s="2"/>
    </row>
    <row r="5506" spans="6:6" x14ac:dyDescent="0.25">
      <c r="F5506" s="2"/>
    </row>
    <row r="5507" spans="6:6" x14ac:dyDescent="0.25">
      <c r="F5507" s="2"/>
    </row>
    <row r="5508" spans="6:6" x14ac:dyDescent="0.25">
      <c r="F5508" s="2"/>
    </row>
    <row r="5509" spans="6:6" x14ac:dyDescent="0.25">
      <c r="F5509" s="2"/>
    </row>
    <row r="5510" spans="6:6" x14ac:dyDescent="0.25">
      <c r="F5510" s="2"/>
    </row>
    <row r="5511" spans="6:6" x14ac:dyDescent="0.25">
      <c r="F5511" s="2"/>
    </row>
    <row r="5512" spans="6:6" x14ac:dyDescent="0.25">
      <c r="F5512" s="2"/>
    </row>
    <row r="5513" spans="6:6" x14ac:dyDescent="0.25">
      <c r="F5513" s="2"/>
    </row>
    <row r="5514" spans="6:6" x14ac:dyDescent="0.25">
      <c r="F5514" s="2"/>
    </row>
    <row r="5515" spans="6:6" x14ac:dyDescent="0.25">
      <c r="F5515" s="2"/>
    </row>
    <row r="5516" spans="6:6" x14ac:dyDescent="0.25">
      <c r="F5516" s="2"/>
    </row>
    <row r="5517" spans="6:6" x14ac:dyDescent="0.25">
      <c r="F5517" s="2"/>
    </row>
    <row r="5518" spans="6:6" x14ac:dyDescent="0.25">
      <c r="F5518" s="2"/>
    </row>
    <row r="5519" spans="6:6" x14ac:dyDescent="0.25">
      <c r="F5519" s="2"/>
    </row>
    <row r="5520" spans="6:6" x14ac:dyDescent="0.25">
      <c r="F5520" s="2"/>
    </row>
    <row r="5521" spans="6:6" x14ac:dyDescent="0.25">
      <c r="F5521" s="2"/>
    </row>
    <row r="5522" spans="6:6" x14ac:dyDescent="0.25">
      <c r="F5522" s="2"/>
    </row>
    <row r="5523" spans="6:6" x14ac:dyDescent="0.25">
      <c r="F5523" s="2"/>
    </row>
    <row r="5524" spans="6:6" x14ac:dyDescent="0.25">
      <c r="F5524" s="2"/>
    </row>
    <row r="5525" spans="6:6" x14ac:dyDescent="0.25">
      <c r="F5525" s="2"/>
    </row>
    <row r="5526" spans="6:6" x14ac:dyDescent="0.25">
      <c r="F5526" s="2"/>
    </row>
    <row r="5527" spans="6:6" x14ac:dyDescent="0.25">
      <c r="F5527" s="2"/>
    </row>
    <row r="5528" spans="6:6" x14ac:dyDescent="0.25">
      <c r="F5528" s="2"/>
    </row>
    <row r="5529" spans="6:6" x14ac:dyDescent="0.25">
      <c r="F5529" s="2"/>
    </row>
    <row r="5530" spans="6:6" x14ac:dyDescent="0.25">
      <c r="F5530" s="2"/>
    </row>
    <row r="5531" spans="6:6" x14ac:dyDescent="0.25">
      <c r="F5531" s="2"/>
    </row>
    <row r="5532" spans="6:6" x14ac:dyDescent="0.25">
      <c r="F5532" s="2"/>
    </row>
    <row r="5533" spans="6:6" x14ac:dyDescent="0.25">
      <c r="F5533" s="2"/>
    </row>
    <row r="5534" spans="6:6" x14ac:dyDescent="0.25">
      <c r="F5534" s="2"/>
    </row>
    <row r="5535" spans="6:6" x14ac:dyDescent="0.25">
      <c r="F5535" s="2"/>
    </row>
    <row r="5536" spans="6:6" x14ac:dyDescent="0.25">
      <c r="F5536" s="2"/>
    </row>
    <row r="5537" spans="6:6" x14ac:dyDescent="0.25">
      <c r="F5537" s="2"/>
    </row>
    <row r="5538" spans="6:6" x14ac:dyDescent="0.25">
      <c r="F5538" s="2"/>
    </row>
    <row r="5539" spans="6:6" x14ac:dyDescent="0.25">
      <c r="F5539" s="2"/>
    </row>
    <row r="5540" spans="6:6" x14ac:dyDescent="0.25">
      <c r="F5540" s="2"/>
    </row>
    <row r="5541" spans="6:6" x14ac:dyDescent="0.25">
      <c r="F5541" s="2"/>
    </row>
    <row r="5542" spans="6:6" x14ac:dyDescent="0.25">
      <c r="F5542" s="2"/>
    </row>
    <row r="5543" spans="6:6" x14ac:dyDescent="0.25">
      <c r="F5543" s="2"/>
    </row>
    <row r="5544" spans="6:6" x14ac:dyDescent="0.25">
      <c r="F5544" s="2"/>
    </row>
    <row r="5545" spans="6:6" x14ac:dyDescent="0.25">
      <c r="F5545" s="2"/>
    </row>
    <row r="5546" spans="6:6" x14ac:dyDescent="0.25">
      <c r="F5546" s="2"/>
    </row>
    <row r="5547" spans="6:6" x14ac:dyDescent="0.25">
      <c r="F5547" s="2"/>
    </row>
    <row r="5548" spans="6:6" x14ac:dyDescent="0.25">
      <c r="F5548" s="2"/>
    </row>
    <row r="5549" spans="6:6" x14ac:dyDescent="0.25">
      <c r="F5549" s="2"/>
    </row>
    <row r="5550" spans="6:6" x14ac:dyDescent="0.25">
      <c r="F5550" s="2"/>
    </row>
    <row r="5551" spans="6:6" x14ac:dyDescent="0.25">
      <c r="F5551" s="2"/>
    </row>
    <row r="5552" spans="6:6" x14ac:dyDescent="0.25">
      <c r="F5552" s="2"/>
    </row>
    <row r="5553" spans="6:6" x14ac:dyDescent="0.25">
      <c r="F5553" s="2"/>
    </row>
    <row r="5554" spans="6:6" x14ac:dyDescent="0.25">
      <c r="F5554" s="2"/>
    </row>
    <row r="5555" spans="6:6" x14ac:dyDescent="0.25">
      <c r="F5555" s="2"/>
    </row>
    <row r="5556" spans="6:6" x14ac:dyDescent="0.25">
      <c r="F5556" s="2"/>
    </row>
    <row r="5557" spans="6:6" x14ac:dyDescent="0.25">
      <c r="F5557" s="2"/>
    </row>
    <row r="5558" spans="6:6" x14ac:dyDescent="0.25">
      <c r="F5558" s="2"/>
    </row>
    <row r="5559" spans="6:6" x14ac:dyDescent="0.25">
      <c r="F5559" s="2"/>
    </row>
    <row r="5560" spans="6:6" x14ac:dyDescent="0.25">
      <c r="F5560" s="2"/>
    </row>
    <row r="5561" spans="6:6" x14ac:dyDescent="0.25">
      <c r="F5561" s="2"/>
    </row>
    <row r="5562" spans="6:6" x14ac:dyDescent="0.25">
      <c r="F5562" s="2"/>
    </row>
    <row r="5563" spans="6:6" x14ac:dyDescent="0.25">
      <c r="F5563" s="2"/>
    </row>
    <row r="5564" spans="6:6" x14ac:dyDescent="0.25">
      <c r="F5564" s="2"/>
    </row>
    <row r="5565" spans="6:6" x14ac:dyDescent="0.25">
      <c r="F5565" s="2"/>
    </row>
    <row r="5566" spans="6:6" x14ac:dyDescent="0.25">
      <c r="F5566" s="2"/>
    </row>
    <row r="5567" spans="6:6" x14ac:dyDescent="0.25">
      <c r="F5567" s="2"/>
    </row>
    <row r="5568" spans="6:6" x14ac:dyDescent="0.25">
      <c r="F5568" s="2"/>
    </row>
    <row r="5569" spans="6:6" x14ac:dyDescent="0.25">
      <c r="F5569" s="2"/>
    </row>
    <row r="5570" spans="6:6" x14ac:dyDescent="0.25">
      <c r="F5570" s="2"/>
    </row>
    <row r="5571" spans="6:6" x14ac:dyDescent="0.25">
      <c r="F5571" s="2"/>
    </row>
    <row r="5572" spans="6:6" x14ac:dyDescent="0.25">
      <c r="F5572" s="2"/>
    </row>
    <row r="5573" spans="6:6" x14ac:dyDescent="0.25">
      <c r="F5573" s="2"/>
    </row>
    <row r="5574" spans="6:6" x14ac:dyDescent="0.25">
      <c r="F5574" s="2"/>
    </row>
    <row r="5575" spans="6:6" x14ac:dyDescent="0.25">
      <c r="F5575" s="2"/>
    </row>
    <row r="5576" spans="6:6" x14ac:dyDescent="0.25">
      <c r="F5576" s="2"/>
    </row>
    <row r="5577" spans="6:6" x14ac:dyDescent="0.25">
      <c r="F5577" s="2"/>
    </row>
    <row r="5578" spans="6:6" x14ac:dyDescent="0.25">
      <c r="F5578" s="2"/>
    </row>
    <row r="5579" spans="6:6" x14ac:dyDescent="0.25">
      <c r="F5579" s="2"/>
    </row>
    <row r="5580" spans="6:6" x14ac:dyDescent="0.25">
      <c r="F5580" s="2"/>
    </row>
    <row r="5581" spans="6:6" x14ac:dyDescent="0.25">
      <c r="F5581" s="2"/>
    </row>
    <row r="5582" spans="6:6" x14ac:dyDescent="0.25">
      <c r="F5582" s="2"/>
    </row>
    <row r="5583" spans="6:6" x14ac:dyDescent="0.25">
      <c r="F5583" s="2"/>
    </row>
    <row r="5584" spans="6:6" x14ac:dyDescent="0.25">
      <c r="F5584" s="2"/>
    </row>
    <row r="5585" spans="6:6" x14ac:dyDescent="0.25">
      <c r="F5585" s="2"/>
    </row>
    <row r="5586" spans="6:6" x14ac:dyDescent="0.25">
      <c r="F5586" s="2"/>
    </row>
    <row r="5587" spans="6:6" x14ac:dyDescent="0.25">
      <c r="F5587" s="2"/>
    </row>
    <row r="5588" spans="6:6" x14ac:dyDescent="0.25">
      <c r="F5588" s="2"/>
    </row>
    <row r="5589" spans="6:6" x14ac:dyDescent="0.25">
      <c r="F5589" s="2"/>
    </row>
    <row r="5590" spans="6:6" x14ac:dyDescent="0.25">
      <c r="F5590" s="2"/>
    </row>
    <row r="5591" spans="6:6" x14ac:dyDescent="0.25">
      <c r="F5591" s="2"/>
    </row>
    <row r="5592" spans="6:6" x14ac:dyDescent="0.25">
      <c r="F5592" s="2"/>
    </row>
    <row r="5593" spans="6:6" x14ac:dyDescent="0.25">
      <c r="F5593" s="2"/>
    </row>
    <row r="5594" spans="6:6" x14ac:dyDescent="0.25">
      <c r="F5594" s="2"/>
    </row>
    <row r="5595" spans="6:6" x14ac:dyDescent="0.25">
      <c r="F5595" s="2"/>
    </row>
    <row r="5596" spans="6:6" x14ac:dyDescent="0.25">
      <c r="F5596" s="2"/>
    </row>
    <row r="5597" spans="6:6" x14ac:dyDescent="0.25">
      <c r="F5597" s="2"/>
    </row>
    <row r="5598" spans="6:6" x14ac:dyDescent="0.25">
      <c r="F5598" s="2"/>
    </row>
    <row r="5599" spans="6:6" x14ac:dyDescent="0.25">
      <c r="F5599" s="2"/>
    </row>
    <row r="5600" spans="6:6" x14ac:dyDescent="0.25">
      <c r="F5600" s="2"/>
    </row>
    <row r="5601" spans="6:6" x14ac:dyDescent="0.25">
      <c r="F5601" s="2"/>
    </row>
    <row r="5602" spans="6:6" x14ac:dyDescent="0.25">
      <c r="F5602" s="2"/>
    </row>
    <row r="5603" spans="6:6" x14ac:dyDescent="0.25">
      <c r="F5603" s="2"/>
    </row>
    <row r="5604" spans="6:6" x14ac:dyDescent="0.25">
      <c r="F5604" s="2"/>
    </row>
    <row r="5605" spans="6:6" x14ac:dyDescent="0.25">
      <c r="F5605" s="2"/>
    </row>
    <row r="5606" spans="6:6" x14ac:dyDescent="0.25">
      <c r="F5606" s="2"/>
    </row>
    <row r="5607" spans="6:6" x14ac:dyDescent="0.25">
      <c r="F5607" s="2"/>
    </row>
    <row r="5608" spans="6:6" x14ac:dyDescent="0.25">
      <c r="F5608" s="2"/>
    </row>
    <row r="5609" spans="6:6" x14ac:dyDescent="0.25">
      <c r="F5609" s="2"/>
    </row>
    <row r="5610" spans="6:6" x14ac:dyDescent="0.25">
      <c r="F5610" s="2"/>
    </row>
    <row r="5611" spans="6:6" x14ac:dyDescent="0.25">
      <c r="F5611" s="2"/>
    </row>
    <row r="5612" spans="6:6" x14ac:dyDescent="0.25">
      <c r="F5612" s="2"/>
    </row>
    <row r="5613" spans="6:6" x14ac:dyDescent="0.25">
      <c r="F5613" s="2"/>
    </row>
    <row r="5614" spans="6:6" x14ac:dyDescent="0.25">
      <c r="F5614" s="2"/>
    </row>
    <row r="5615" spans="6:6" x14ac:dyDescent="0.25">
      <c r="F5615" s="2"/>
    </row>
    <row r="5616" spans="6:6" x14ac:dyDescent="0.25">
      <c r="F5616" s="2"/>
    </row>
    <row r="5617" spans="6:6" x14ac:dyDescent="0.25">
      <c r="F5617" s="2"/>
    </row>
    <row r="5618" spans="6:6" x14ac:dyDescent="0.25">
      <c r="F5618" s="2"/>
    </row>
    <row r="5619" spans="6:6" x14ac:dyDescent="0.25">
      <c r="F5619" s="2"/>
    </row>
    <row r="5620" spans="6:6" x14ac:dyDescent="0.25">
      <c r="F5620" s="2"/>
    </row>
    <row r="5621" spans="6:6" x14ac:dyDescent="0.25">
      <c r="F5621" s="2"/>
    </row>
    <row r="5622" spans="6:6" x14ac:dyDescent="0.25">
      <c r="F5622" s="2"/>
    </row>
    <row r="5623" spans="6:6" x14ac:dyDescent="0.25">
      <c r="F5623" s="2"/>
    </row>
    <row r="5624" spans="6:6" x14ac:dyDescent="0.25">
      <c r="F5624" s="2"/>
    </row>
    <row r="5625" spans="6:6" x14ac:dyDescent="0.25">
      <c r="F5625" s="2"/>
    </row>
    <row r="5626" spans="6:6" x14ac:dyDescent="0.25">
      <c r="F5626" s="2"/>
    </row>
    <row r="5627" spans="6:6" x14ac:dyDescent="0.25">
      <c r="F5627" s="2"/>
    </row>
    <row r="5628" spans="6:6" x14ac:dyDescent="0.25">
      <c r="F5628" s="2"/>
    </row>
    <row r="5629" spans="6:6" x14ac:dyDescent="0.25">
      <c r="F5629" s="2"/>
    </row>
    <row r="5630" spans="6:6" x14ac:dyDescent="0.25">
      <c r="F5630" s="2"/>
    </row>
    <row r="5631" spans="6:6" x14ac:dyDescent="0.25">
      <c r="F5631" s="2"/>
    </row>
    <row r="5632" spans="6:6" x14ac:dyDescent="0.25">
      <c r="F5632" s="2"/>
    </row>
    <row r="5633" spans="6:6" x14ac:dyDescent="0.25">
      <c r="F5633" s="2"/>
    </row>
    <row r="5634" spans="6:6" x14ac:dyDescent="0.25">
      <c r="F5634" s="2"/>
    </row>
    <row r="5635" spans="6:6" x14ac:dyDescent="0.25">
      <c r="F5635" s="2"/>
    </row>
    <row r="5636" spans="6:6" x14ac:dyDescent="0.25">
      <c r="F5636" s="2"/>
    </row>
    <row r="5637" spans="6:6" x14ac:dyDescent="0.25">
      <c r="F5637" s="2"/>
    </row>
    <row r="5638" spans="6:6" x14ac:dyDescent="0.25">
      <c r="F5638" s="2"/>
    </row>
    <row r="5639" spans="6:6" x14ac:dyDescent="0.25">
      <c r="F5639" s="2"/>
    </row>
    <row r="5640" spans="6:6" x14ac:dyDescent="0.25">
      <c r="F5640" s="2"/>
    </row>
    <row r="5641" spans="6:6" x14ac:dyDescent="0.25">
      <c r="F5641" s="2"/>
    </row>
    <row r="5642" spans="6:6" x14ac:dyDescent="0.25">
      <c r="F5642" s="2"/>
    </row>
    <row r="5643" spans="6:6" x14ac:dyDescent="0.25">
      <c r="F5643" s="2"/>
    </row>
    <row r="5644" spans="6:6" x14ac:dyDescent="0.25">
      <c r="F5644" s="2"/>
    </row>
    <row r="5645" spans="6:6" x14ac:dyDescent="0.25">
      <c r="F5645" s="2"/>
    </row>
    <row r="5646" spans="6:6" x14ac:dyDescent="0.25">
      <c r="F5646" s="2"/>
    </row>
    <row r="5647" spans="6:6" x14ac:dyDescent="0.25">
      <c r="F5647" s="2"/>
    </row>
    <row r="5648" spans="6:6" x14ac:dyDescent="0.25">
      <c r="F5648" s="2"/>
    </row>
    <row r="5649" spans="6:6" x14ac:dyDescent="0.25">
      <c r="F5649" s="2"/>
    </row>
    <row r="5650" spans="6:6" x14ac:dyDescent="0.25">
      <c r="F5650" s="2"/>
    </row>
    <row r="5651" spans="6:6" x14ac:dyDescent="0.25">
      <c r="F5651" s="2"/>
    </row>
    <row r="5652" spans="6:6" x14ac:dyDescent="0.25">
      <c r="F5652" s="2"/>
    </row>
    <row r="5653" spans="6:6" x14ac:dyDescent="0.25">
      <c r="F5653" s="2"/>
    </row>
    <row r="5654" spans="6:6" x14ac:dyDescent="0.25">
      <c r="F5654" s="2"/>
    </row>
    <row r="5655" spans="6:6" x14ac:dyDescent="0.25">
      <c r="F5655" s="2"/>
    </row>
    <row r="5656" spans="6:6" x14ac:dyDescent="0.25">
      <c r="F5656" s="2"/>
    </row>
    <row r="5657" spans="6:6" x14ac:dyDescent="0.25">
      <c r="F5657" s="2"/>
    </row>
    <row r="5658" spans="6:6" x14ac:dyDescent="0.25">
      <c r="F5658" s="2"/>
    </row>
    <row r="5659" spans="6:6" x14ac:dyDescent="0.25">
      <c r="F5659" s="2"/>
    </row>
    <row r="5660" spans="6:6" x14ac:dyDescent="0.25">
      <c r="F5660" s="2"/>
    </row>
    <row r="5661" spans="6:6" x14ac:dyDescent="0.25">
      <c r="F5661" s="2"/>
    </row>
    <row r="5662" spans="6:6" x14ac:dyDescent="0.25">
      <c r="F5662" s="2"/>
    </row>
    <row r="5663" spans="6:6" x14ac:dyDescent="0.25">
      <c r="F5663" s="2"/>
    </row>
    <row r="5664" spans="6:6" x14ac:dyDescent="0.25">
      <c r="F5664" s="2"/>
    </row>
    <row r="5665" spans="6:6" x14ac:dyDescent="0.25">
      <c r="F5665" s="2"/>
    </row>
    <row r="5666" spans="6:6" x14ac:dyDescent="0.25">
      <c r="F5666" s="2"/>
    </row>
    <row r="5667" spans="6:6" x14ac:dyDescent="0.25">
      <c r="F5667" s="2"/>
    </row>
    <row r="5668" spans="6:6" x14ac:dyDescent="0.25">
      <c r="F5668" s="2"/>
    </row>
    <row r="5669" spans="6:6" x14ac:dyDescent="0.25">
      <c r="F5669" s="2"/>
    </row>
    <row r="5670" spans="6:6" x14ac:dyDescent="0.25">
      <c r="F5670" s="2"/>
    </row>
    <row r="5671" spans="6:6" x14ac:dyDescent="0.25">
      <c r="F5671" s="2"/>
    </row>
    <row r="5672" spans="6:6" x14ac:dyDescent="0.25">
      <c r="F5672" s="2"/>
    </row>
    <row r="5673" spans="6:6" x14ac:dyDescent="0.25">
      <c r="F5673" s="2"/>
    </row>
    <row r="5674" spans="6:6" x14ac:dyDescent="0.25">
      <c r="F5674" s="2"/>
    </row>
    <row r="5675" spans="6:6" x14ac:dyDescent="0.25">
      <c r="F5675" s="2"/>
    </row>
    <row r="5676" spans="6:6" x14ac:dyDescent="0.25">
      <c r="F5676" s="2"/>
    </row>
    <row r="5677" spans="6:6" x14ac:dyDescent="0.25">
      <c r="F5677" s="2"/>
    </row>
    <row r="5678" spans="6:6" x14ac:dyDescent="0.25">
      <c r="F5678" s="2"/>
    </row>
    <row r="5679" spans="6:6" x14ac:dyDescent="0.25">
      <c r="F5679" s="2"/>
    </row>
    <row r="5680" spans="6:6" x14ac:dyDescent="0.25">
      <c r="F5680" s="2"/>
    </row>
    <row r="5681" spans="6:6" x14ac:dyDescent="0.25">
      <c r="F5681" s="2"/>
    </row>
    <row r="5682" spans="6:6" x14ac:dyDescent="0.25">
      <c r="F5682" s="2"/>
    </row>
    <row r="5683" spans="6:6" x14ac:dyDescent="0.25">
      <c r="F5683" s="2"/>
    </row>
    <row r="5684" spans="6:6" x14ac:dyDescent="0.25">
      <c r="F5684" s="2"/>
    </row>
    <row r="5685" spans="6:6" x14ac:dyDescent="0.25">
      <c r="F5685" s="2"/>
    </row>
    <row r="5686" spans="6:6" x14ac:dyDescent="0.25">
      <c r="F5686" s="2"/>
    </row>
    <row r="5687" spans="6:6" x14ac:dyDescent="0.25">
      <c r="F5687" s="2"/>
    </row>
    <row r="5688" spans="6:6" x14ac:dyDescent="0.25">
      <c r="F5688" s="2"/>
    </row>
    <row r="5689" spans="6:6" x14ac:dyDescent="0.25">
      <c r="F5689" s="2"/>
    </row>
    <row r="5690" spans="6:6" x14ac:dyDescent="0.25">
      <c r="F5690" s="2"/>
    </row>
    <row r="5691" spans="6:6" x14ac:dyDescent="0.25">
      <c r="F5691" s="2"/>
    </row>
    <row r="5692" spans="6:6" x14ac:dyDescent="0.25">
      <c r="F5692" s="2"/>
    </row>
    <row r="5693" spans="6:6" x14ac:dyDescent="0.25">
      <c r="F5693" s="2"/>
    </row>
    <row r="5694" spans="6:6" x14ac:dyDescent="0.25">
      <c r="F5694" s="2"/>
    </row>
    <row r="5695" spans="6:6" x14ac:dyDescent="0.25">
      <c r="F5695" s="2"/>
    </row>
    <row r="5696" spans="6:6" x14ac:dyDescent="0.25">
      <c r="F5696" s="2"/>
    </row>
    <row r="5697" spans="6:6" x14ac:dyDescent="0.25">
      <c r="F5697" s="2"/>
    </row>
    <row r="5698" spans="6:6" x14ac:dyDescent="0.25">
      <c r="F5698" s="2"/>
    </row>
    <row r="5699" spans="6:6" x14ac:dyDescent="0.25">
      <c r="F5699" s="2"/>
    </row>
    <row r="5700" spans="6:6" x14ac:dyDescent="0.25">
      <c r="F5700" s="2"/>
    </row>
    <row r="5701" spans="6:6" x14ac:dyDescent="0.25">
      <c r="F5701" s="2"/>
    </row>
    <row r="5702" spans="6:6" x14ac:dyDescent="0.25">
      <c r="F5702" s="2"/>
    </row>
    <row r="5703" spans="6:6" x14ac:dyDescent="0.25">
      <c r="F5703" s="2"/>
    </row>
    <row r="5704" spans="6:6" x14ac:dyDescent="0.25">
      <c r="F5704" s="2"/>
    </row>
    <row r="5705" spans="6:6" x14ac:dyDescent="0.25">
      <c r="F5705" s="2"/>
    </row>
    <row r="5706" spans="6:6" x14ac:dyDescent="0.25">
      <c r="F5706" s="2"/>
    </row>
    <row r="5707" spans="6:6" x14ac:dyDescent="0.25">
      <c r="F5707" s="2"/>
    </row>
    <row r="5708" spans="6:6" x14ac:dyDescent="0.25">
      <c r="F5708" s="2"/>
    </row>
    <row r="5709" spans="6:6" x14ac:dyDescent="0.25">
      <c r="F5709" s="2"/>
    </row>
    <row r="5710" spans="6:6" x14ac:dyDescent="0.25">
      <c r="F5710" s="2"/>
    </row>
    <row r="5711" spans="6:6" x14ac:dyDescent="0.25">
      <c r="F5711" s="2"/>
    </row>
    <row r="5712" spans="6:6" x14ac:dyDescent="0.25">
      <c r="F5712" s="2"/>
    </row>
    <row r="5713" spans="6:6" x14ac:dyDescent="0.25">
      <c r="F5713" s="2"/>
    </row>
    <row r="5714" spans="6:6" x14ac:dyDescent="0.25">
      <c r="F5714" s="2"/>
    </row>
    <row r="5715" spans="6:6" x14ac:dyDescent="0.25">
      <c r="F5715" s="2"/>
    </row>
    <row r="5716" spans="6:6" x14ac:dyDescent="0.25">
      <c r="F5716" s="2"/>
    </row>
    <row r="5717" spans="6:6" x14ac:dyDescent="0.25">
      <c r="F5717" s="2"/>
    </row>
    <row r="5718" spans="6:6" x14ac:dyDescent="0.25">
      <c r="F5718" s="2"/>
    </row>
    <row r="5719" spans="6:6" x14ac:dyDescent="0.25">
      <c r="F5719" s="2"/>
    </row>
    <row r="5720" spans="6:6" x14ac:dyDescent="0.25">
      <c r="F5720" s="2"/>
    </row>
    <row r="5721" spans="6:6" x14ac:dyDescent="0.25">
      <c r="F5721" s="2"/>
    </row>
    <row r="5722" spans="6:6" x14ac:dyDescent="0.25">
      <c r="F5722" s="2"/>
    </row>
    <row r="5723" spans="6:6" x14ac:dyDescent="0.25">
      <c r="F5723" s="2"/>
    </row>
    <row r="5724" spans="6:6" x14ac:dyDescent="0.25">
      <c r="F5724" s="2"/>
    </row>
    <row r="5725" spans="6:6" x14ac:dyDescent="0.25">
      <c r="F5725" s="2"/>
    </row>
    <row r="5726" spans="6:6" x14ac:dyDescent="0.25">
      <c r="F5726" s="2"/>
    </row>
    <row r="5727" spans="6:6" x14ac:dyDescent="0.25">
      <c r="F5727" s="2"/>
    </row>
    <row r="5728" spans="6:6" x14ac:dyDescent="0.25">
      <c r="F5728" s="2"/>
    </row>
    <row r="5729" spans="6:6" x14ac:dyDescent="0.25">
      <c r="F5729" s="2"/>
    </row>
    <row r="5730" spans="6:6" x14ac:dyDescent="0.25">
      <c r="F5730" s="2"/>
    </row>
    <row r="5731" spans="6:6" x14ac:dyDescent="0.25">
      <c r="F5731" s="2"/>
    </row>
    <row r="5732" spans="6:6" x14ac:dyDescent="0.25">
      <c r="F5732" s="2"/>
    </row>
    <row r="5733" spans="6:6" x14ac:dyDescent="0.25">
      <c r="F5733" s="2"/>
    </row>
    <row r="5734" spans="6:6" x14ac:dyDescent="0.25">
      <c r="F5734" s="2"/>
    </row>
    <row r="5735" spans="6:6" x14ac:dyDescent="0.25">
      <c r="F5735" s="2"/>
    </row>
    <row r="5736" spans="6:6" x14ac:dyDescent="0.25">
      <c r="F5736" s="2"/>
    </row>
    <row r="5737" spans="6:6" x14ac:dyDescent="0.25">
      <c r="F5737" s="2"/>
    </row>
    <row r="5738" spans="6:6" x14ac:dyDescent="0.25">
      <c r="F5738" s="2"/>
    </row>
    <row r="5739" spans="6:6" x14ac:dyDescent="0.25">
      <c r="F5739" s="2"/>
    </row>
    <row r="5740" spans="6:6" x14ac:dyDescent="0.25">
      <c r="F5740" s="2"/>
    </row>
    <row r="5741" spans="6:6" x14ac:dyDescent="0.25">
      <c r="F5741" s="2"/>
    </row>
    <row r="5742" spans="6:6" x14ac:dyDescent="0.25">
      <c r="F5742" s="2"/>
    </row>
    <row r="5743" spans="6:6" x14ac:dyDescent="0.25">
      <c r="F5743" s="2"/>
    </row>
    <row r="5744" spans="6:6" x14ac:dyDescent="0.25">
      <c r="F5744" s="2"/>
    </row>
    <row r="5745" spans="6:6" x14ac:dyDescent="0.25">
      <c r="F5745" s="2"/>
    </row>
    <row r="5746" spans="6:6" x14ac:dyDescent="0.25">
      <c r="F5746" s="2"/>
    </row>
    <row r="5747" spans="6:6" x14ac:dyDescent="0.25">
      <c r="F5747" s="2"/>
    </row>
    <row r="5748" spans="6:6" x14ac:dyDescent="0.25">
      <c r="F5748" s="2"/>
    </row>
    <row r="5749" spans="6:6" x14ac:dyDescent="0.25">
      <c r="F5749" s="2"/>
    </row>
    <row r="5750" spans="6:6" x14ac:dyDescent="0.25">
      <c r="F5750" s="2"/>
    </row>
    <row r="5751" spans="6:6" x14ac:dyDescent="0.25">
      <c r="F5751" s="2"/>
    </row>
    <row r="5752" spans="6:6" x14ac:dyDescent="0.25">
      <c r="F5752" s="2"/>
    </row>
    <row r="5753" spans="6:6" x14ac:dyDescent="0.25">
      <c r="F5753" s="2"/>
    </row>
    <row r="5754" spans="6:6" x14ac:dyDescent="0.25">
      <c r="F5754" s="2"/>
    </row>
    <row r="5755" spans="6:6" x14ac:dyDescent="0.25">
      <c r="F5755" s="2"/>
    </row>
    <row r="5756" spans="6:6" x14ac:dyDescent="0.25">
      <c r="F5756" s="2"/>
    </row>
    <row r="5757" spans="6:6" x14ac:dyDescent="0.25">
      <c r="F5757" s="2"/>
    </row>
    <row r="5758" spans="6:6" x14ac:dyDescent="0.25">
      <c r="F5758" s="2"/>
    </row>
    <row r="5759" spans="6:6" x14ac:dyDescent="0.25">
      <c r="F5759" s="2"/>
    </row>
    <row r="5760" spans="6:6" x14ac:dyDescent="0.25">
      <c r="F5760" s="2"/>
    </row>
    <row r="5761" spans="6:6" x14ac:dyDescent="0.25">
      <c r="F5761" s="2"/>
    </row>
    <row r="5762" spans="6:6" x14ac:dyDescent="0.25">
      <c r="F5762" s="2"/>
    </row>
    <row r="5763" spans="6:6" x14ac:dyDescent="0.25">
      <c r="F5763" s="2"/>
    </row>
    <row r="5764" spans="6:6" x14ac:dyDescent="0.25">
      <c r="F5764" s="2"/>
    </row>
    <row r="5765" spans="6:6" x14ac:dyDescent="0.25">
      <c r="F5765" s="2"/>
    </row>
    <row r="5766" spans="6:6" x14ac:dyDescent="0.25">
      <c r="F5766" s="2"/>
    </row>
    <row r="5767" spans="6:6" x14ac:dyDescent="0.25">
      <c r="F5767" s="2"/>
    </row>
    <row r="5768" spans="6:6" x14ac:dyDescent="0.25">
      <c r="F5768" s="2"/>
    </row>
    <row r="5769" spans="6:6" x14ac:dyDescent="0.25">
      <c r="F5769" s="2"/>
    </row>
    <row r="5770" spans="6:6" x14ac:dyDescent="0.25">
      <c r="F5770" s="2"/>
    </row>
    <row r="5771" spans="6:6" x14ac:dyDescent="0.25">
      <c r="F5771" s="2"/>
    </row>
    <row r="5772" spans="6:6" x14ac:dyDescent="0.25">
      <c r="F5772" s="2"/>
    </row>
    <row r="5773" spans="6:6" x14ac:dyDescent="0.25">
      <c r="F5773" s="2"/>
    </row>
    <row r="5774" spans="6:6" x14ac:dyDescent="0.25">
      <c r="F5774" s="2"/>
    </row>
    <row r="5775" spans="6:6" x14ac:dyDescent="0.25">
      <c r="F5775" s="2"/>
    </row>
    <row r="5776" spans="6:6" x14ac:dyDescent="0.25">
      <c r="F5776" s="2"/>
    </row>
    <row r="5777" spans="6:6" x14ac:dyDescent="0.25">
      <c r="F5777" s="2"/>
    </row>
    <row r="5778" spans="6:6" x14ac:dyDescent="0.25">
      <c r="F5778" s="2"/>
    </row>
    <row r="5779" spans="6:6" x14ac:dyDescent="0.25">
      <c r="F5779" s="2"/>
    </row>
    <row r="5780" spans="6:6" x14ac:dyDescent="0.25">
      <c r="F5780" s="2"/>
    </row>
    <row r="5781" spans="6:6" x14ac:dyDescent="0.25">
      <c r="F5781" s="2"/>
    </row>
    <row r="5782" spans="6:6" x14ac:dyDescent="0.25">
      <c r="F5782" s="2"/>
    </row>
    <row r="5783" spans="6:6" x14ac:dyDescent="0.25">
      <c r="F5783" s="2"/>
    </row>
    <row r="5784" spans="6:6" x14ac:dyDescent="0.25">
      <c r="F5784" s="2"/>
    </row>
    <row r="5785" spans="6:6" x14ac:dyDescent="0.25">
      <c r="F5785" s="2"/>
    </row>
    <row r="5786" spans="6:6" x14ac:dyDescent="0.25">
      <c r="F5786" s="2"/>
    </row>
    <row r="5787" spans="6:6" x14ac:dyDescent="0.25">
      <c r="F5787" s="2"/>
    </row>
    <row r="5788" spans="6:6" x14ac:dyDescent="0.25">
      <c r="F5788" s="2"/>
    </row>
    <row r="5789" spans="6:6" x14ac:dyDescent="0.25">
      <c r="F5789" s="2"/>
    </row>
    <row r="5790" spans="6:6" x14ac:dyDescent="0.25">
      <c r="F5790" s="2"/>
    </row>
    <row r="5791" spans="6:6" x14ac:dyDescent="0.25">
      <c r="F5791" s="2"/>
    </row>
    <row r="5792" spans="6:6" x14ac:dyDescent="0.25">
      <c r="F5792" s="2"/>
    </row>
    <row r="5793" spans="6:6" x14ac:dyDescent="0.25">
      <c r="F5793" s="2"/>
    </row>
    <row r="5794" spans="6:6" x14ac:dyDescent="0.25">
      <c r="F5794" s="2"/>
    </row>
    <row r="5795" spans="6:6" x14ac:dyDescent="0.25">
      <c r="F5795" s="2"/>
    </row>
    <row r="5796" spans="6:6" x14ac:dyDescent="0.25">
      <c r="F5796" s="2"/>
    </row>
    <row r="5797" spans="6:6" x14ac:dyDescent="0.25">
      <c r="F5797" s="2"/>
    </row>
    <row r="5798" spans="6:6" x14ac:dyDescent="0.25">
      <c r="F5798" s="2"/>
    </row>
    <row r="5799" spans="6:6" x14ac:dyDescent="0.25">
      <c r="F5799" s="2"/>
    </row>
    <row r="5800" spans="6:6" x14ac:dyDescent="0.25">
      <c r="F5800" s="2"/>
    </row>
    <row r="5801" spans="6:6" x14ac:dyDescent="0.25">
      <c r="F5801" s="2"/>
    </row>
    <row r="5802" spans="6:6" x14ac:dyDescent="0.25">
      <c r="F5802" s="2"/>
    </row>
    <row r="5803" spans="6:6" x14ac:dyDescent="0.25">
      <c r="F5803" s="2"/>
    </row>
    <row r="5804" spans="6:6" x14ac:dyDescent="0.25">
      <c r="F5804" s="2"/>
    </row>
    <row r="5805" spans="6:6" x14ac:dyDescent="0.25">
      <c r="F5805" s="2"/>
    </row>
    <row r="5806" spans="6:6" x14ac:dyDescent="0.25">
      <c r="F5806" s="2"/>
    </row>
    <row r="5807" spans="6:6" x14ac:dyDescent="0.25">
      <c r="F5807" s="2"/>
    </row>
    <row r="5808" spans="6:6" x14ac:dyDescent="0.25">
      <c r="F5808" s="2"/>
    </row>
    <row r="5809" spans="6:6" x14ac:dyDescent="0.25">
      <c r="F5809" s="2"/>
    </row>
    <row r="5810" spans="6:6" x14ac:dyDescent="0.25">
      <c r="F5810" s="2"/>
    </row>
    <row r="5811" spans="6:6" x14ac:dyDescent="0.25">
      <c r="F5811" s="2"/>
    </row>
    <row r="5812" spans="6:6" x14ac:dyDescent="0.25">
      <c r="F5812" s="2"/>
    </row>
    <row r="5813" spans="6:6" x14ac:dyDescent="0.25">
      <c r="F5813" s="2"/>
    </row>
    <row r="5814" spans="6:6" x14ac:dyDescent="0.25">
      <c r="F5814" s="2"/>
    </row>
    <row r="5815" spans="6:6" x14ac:dyDescent="0.25">
      <c r="F5815" s="2"/>
    </row>
    <row r="5816" spans="6:6" x14ac:dyDescent="0.25">
      <c r="F5816" s="2"/>
    </row>
    <row r="5817" spans="6:6" x14ac:dyDescent="0.25">
      <c r="F5817" s="2"/>
    </row>
    <row r="5818" spans="6:6" x14ac:dyDescent="0.25">
      <c r="F5818" s="2"/>
    </row>
    <row r="5819" spans="6:6" x14ac:dyDescent="0.25">
      <c r="F5819" s="2"/>
    </row>
    <row r="5820" spans="6:6" x14ac:dyDescent="0.25">
      <c r="F5820" s="2"/>
    </row>
    <row r="5821" spans="6:6" x14ac:dyDescent="0.25">
      <c r="F5821" s="2"/>
    </row>
    <row r="5822" spans="6:6" x14ac:dyDescent="0.25">
      <c r="F5822" s="2"/>
    </row>
    <row r="5823" spans="6:6" x14ac:dyDescent="0.25">
      <c r="F5823" s="2"/>
    </row>
    <row r="5824" spans="6:6" x14ac:dyDescent="0.25">
      <c r="F5824" s="2"/>
    </row>
    <row r="5825" spans="6:6" x14ac:dyDescent="0.25">
      <c r="F5825" s="2"/>
    </row>
    <row r="5826" spans="6:6" x14ac:dyDescent="0.25">
      <c r="F5826" s="2"/>
    </row>
    <row r="5827" spans="6:6" x14ac:dyDescent="0.25">
      <c r="F5827" s="2"/>
    </row>
    <row r="5828" spans="6:6" x14ac:dyDescent="0.25">
      <c r="F5828" s="2"/>
    </row>
    <row r="5829" spans="6:6" x14ac:dyDescent="0.25">
      <c r="F5829" s="2"/>
    </row>
    <row r="5830" spans="6:6" x14ac:dyDescent="0.25">
      <c r="F5830" s="2"/>
    </row>
    <row r="5831" spans="6:6" x14ac:dyDescent="0.25">
      <c r="F5831" s="2"/>
    </row>
    <row r="5832" spans="6:6" x14ac:dyDescent="0.25">
      <c r="F5832" s="2"/>
    </row>
    <row r="5833" spans="6:6" x14ac:dyDescent="0.25">
      <c r="F5833" s="2"/>
    </row>
    <row r="5834" spans="6:6" x14ac:dyDescent="0.25">
      <c r="F5834" s="2"/>
    </row>
    <row r="5835" spans="6:6" x14ac:dyDescent="0.25">
      <c r="F5835" s="2"/>
    </row>
    <row r="5836" spans="6:6" x14ac:dyDescent="0.25">
      <c r="F5836" s="2"/>
    </row>
    <row r="5837" spans="6:6" x14ac:dyDescent="0.25">
      <c r="F5837" s="2"/>
    </row>
    <row r="5838" spans="6:6" x14ac:dyDescent="0.25">
      <c r="F5838" s="2"/>
    </row>
    <row r="5839" spans="6:6" x14ac:dyDescent="0.25">
      <c r="F5839" s="2"/>
    </row>
    <row r="5840" spans="6:6" x14ac:dyDescent="0.25">
      <c r="F5840" s="2"/>
    </row>
    <row r="5841" spans="6:6" x14ac:dyDescent="0.25">
      <c r="F5841" s="2"/>
    </row>
    <row r="5842" spans="6:6" x14ac:dyDescent="0.25">
      <c r="F5842" s="2"/>
    </row>
    <row r="5843" spans="6:6" x14ac:dyDescent="0.25">
      <c r="F5843" s="2"/>
    </row>
    <row r="5844" spans="6:6" x14ac:dyDescent="0.25">
      <c r="F5844" s="2"/>
    </row>
    <row r="5845" spans="6:6" x14ac:dyDescent="0.25">
      <c r="F5845" s="2"/>
    </row>
    <row r="5846" spans="6:6" x14ac:dyDescent="0.25">
      <c r="F5846" s="2"/>
    </row>
    <row r="5847" spans="6:6" x14ac:dyDescent="0.25">
      <c r="F5847" s="2"/>
    </row>
    <row r="5848" spans="6:6" x14ac:dyDescent="0.25">
      <c r="F5848" s="2"/>
    </row>
    <row r="5849" spans="6:6" x14ac:dyDescent="0.25">
      <c r="F5849" s="2"/>
    </row>
    <row r="5850" spans="6:6" x14ac:dyDescent="0.25">
      <c r="F5850" s="2"/>
    </row>
    <row r="5851" spans="6:6" x14ac:dyDescent="0.25">
      <c r="F5851" s="2"/>
    </row>
    <row r="5852" spans="6:6" x14ac:dyDescent="0.25">
      <c r="F5852" s="2"/>
    </row>
    <row r="5853" spans="6:6" x14ac:dyDescent="0.25">
      <c r="F5853" s="2"/>
    </row>
    <row r="5854" spans="6:6" x14ac:dyDescent="0.25">
      <c r="F5854" s="2"/>
    </row>
    <row r="5855" spans="6:6" x14ac:dyDescent="0.25">
      <c r="F5855" s="2"/>
    </row>
    <row r="5856" spans="6:6" x14ac:dyDescent="0.25">
      <c r="F5856" s="2"/>
    </row>
    <row r="5857" spans="6:6" x14ac:dyDescent="0.25">
      <c r="F5857" s="2"/>
    </row>
    <row r="5858" spans="6:6" x14ac:dyDescent="0.25">
      <c r="F5858" s="2"/>
    </row>
    <row r="5859" spans="6:6" x14ac:dyDescent="0.25">
      <c r="F5859" s="2"/>
    </row>
    <row r="5860" spans="6:6" x14ac:dyDescent="0.25">
      <c r="F5860" s="2"/>
    </row>
    <row r="5861" spans="6:6" x14ac:dyDescent="0.25">
      <c r="F5861" s="2"/>
    </row>
    <row r="5862" spans="6:6" x14ac:dyDescent="0.25">
      <c r="F5862" s="2"/>
    </row>
    <row r="5863" spans="6:6" x14ac:dyDescent="0.25">
      <c r="F5863" s="2"/>
    </row>
    <row r="5864" spans="6:6" x14ac:dyDescent="0.25">
      <c r="F5864" s="2"/>
    </row>
    <row r="5865" spans="6:6" x14ac:dyDescent="0.25">
      <c r="F5865" s="2"/>
    </row>
    <row r="5866" spans="6:6" x14ac:dyDescent="0.25">
      <c r="F5866" s="2"/>
    </row>
    <row r="5867" spans="6:6" x14ac:dyDescent="0.25">
      <c r="F5867" s="2"/>
    </row>
    <row r="5868" spans="6:6" x14ac:dyDescent="0.25">
      <c r="F5868" s="2"/>
    </row>
    <row r="5869" spans="6:6" x14ac:dyDescent="0.25">
      <c r="F5869" s="2"/>
    </row>
    <row r="5870" spans="6:6" x14ac:dyDescent="0.25">
      <c r="F5870" s="2"/>
    </row>
    <row r="5871" spans="6:6" x14ac:dyDescent="0.25">
      <c r="F5871" s="2"/>
    </row>
    <row r="5872" spans="6:6" x14ac:dyDescent="0.25">
      <c r="F5872" s="2"/>
    </row>
    <row r="5873" spans="6:6" x14ac:dyDescent="0.25">
      <c r="F5873" s="2"/>
    </row>
    <row r="5874" spans="6:6" x14ac:dyDescent="0.25">
      <c r="F5874" s="2"/>
    </row>
    <row r="5875" spans="6:6" x14ac:dyDescent="0.25">
      <c r="F5875" s="2"/>
    </row>
    <row r="5876" spans="6:6" x14ac:dyDescent="0.25">
      <c r="F5876" s="2"/>
    </row>
    <row r="5877" spans="6:6" x14ac:dyDescent="0.25">
      <c r="F5877" s="2"/>
    </row>
    <row r="5878" spans="6:6" x14ac:dyDescent="0.25">
      <c r="F5878" s="2"/>
    </row>
    <row r="5879" spans="6:6" x14ac:dyDescent="0.25">
      <c r="F5879" s="2"/>
    </row>
    <row r="5880" spans="6:6" x14ac:dyDescent="0.25">
      <c r="F5880" s="2"/>
    </row>
    <row r="5881" spans="6:6" x14ac:dyDescent="0.25">
      <c r="F5881" s="2"/>
    </row>
    <row r="5882" spans="6:6" x14ac:dyDescent="0.25">
      <c r="F5882" s="2"/>
    </row>
    <row r="5883" spans="6:6" x14ac:dyDescent="0.25">
      <c r="F5883" s="2"/>
    </row>
    <row r="5884" spans="6:6" x14ac:dyDescent="0.25">
      <c r="F5884" s="2"/>
    </row>
    <row r="5885" spans="6:6" x14ac:dyDescent="0.25">
      <c r="F5885" s="2"/>
    </row>
    <row r="5886" spans="6:6" x14ac:dyDescent="0.25">
      <c r="F5886" s="2"/>
    </row>
    <row r="5887" spans="6:6" x14ac:dyDescent="0.25">
      <c r="F5887" s="2"/>
    </row>
    <row r="5888" spans="6:6" x14ac:dyDescent="0.25">
      <c r="F5888" s="2"/>
    </row>
    <row r="5889" spans="6:6" x14ac:dyDescent="0.25">
      <c r="F5889" s="2"/>
    </row>
    <row r="5890" spans="6:6" x14ac:dyDescent="0.25">
      <c r="F5890" s="2"/>
    </row>
    <row r="5891" spans="6:6" x14ac:dyDescent="0.25">
      <c r="F5891" s="2"/>
    </row>
    <row r="5892" spans="6:6" x14ac:dyDescent="0.25">
      <c r="F5892" s="2"/>
    </row>
    <row r="5893" spans="6:6" x14ac:dyDescent="0.25">
      <c r="F5893" s="2"/>
    </row>
    <row r="5894" spans="6:6" x14ac:dyDescent="0.25">
      <c r="F5894" s="2"/>
    </row>
    <row r="5895" spans="6:6" x14ac:dyDescent="0.25">
      <c r="F5895" s="2"/>
    </row>
    <row r="5896" spans="6:6" x14ac:dyDescent="0.25">
      <c r="F5896" s="2"/>
    </row>
    <row r="5897" spans="6:6" x14ac:dyDescent="0.25">
      <c r="F5897" s="2"/>
    </row>
    <row r="5898" spans="6:6" x14ac:dyDescent="0.25">
      <c r="F5898" s="2"/>
    </row>
    <row r="5899" spans="6:6" x14ac:dyDescent="0.25">
      <c r="F5899" s="2"/>
    </row>
    <row r="5900" spans="6:6" x14ac:dyDescent="0.25">
      <c r="F5900" s="2"/>
    </row>
    <row r="5901" spans="6:6" x14ac:dyDescent="0.25">
      <c r="F5901" s="2"/>
    </row>
    <row r="5902" spans="6:6" x14ac:dyDescent="0.25">
      <c r="F5902" s="2"/>
    </row>
    <row r="5903" spans="6:6" x14ac:dyDescent="0.25">
      <c r="F5903" s="2"/>
    </row>
    <row r="5904" spans="6:6" x14ac:dyDescent="0.25">
      <c r="F5904" s="2"/>
    </row>
    <row r="5905" spans="6:6" x14ac:dyDescent="0.25">
      <c r="F5905" s="2"/>
    </row>
    <row r="5906" spans="6:6" x14ac:dyDescent="0.25">
      <c r="F5906" s="2"/>
    </row>
    <row r="5907" spans="6:6" x14ac:dyDescent="0.25">
      <c r="F5907" s="2"/>
    </row>
    <row r="5908" spans="6:6" x14ac:dyDescent="0.25">
      <c r="F5908" s="2"/>
    </row>
    <row r="5909" spans="6:6" x14ac:dyDescent="0.25">
      <c r="F5909" s="2"/>
    </row>
    <row r="5910" spans="6:6" x14ac:dyDescent="0.25">
      <c r="F5910" s="2"/>
    </row>
    <row r="5911" spans="6:6" x14ac:dyDescent="0.25">
      <c r="F5911" s="2"/>
    </row>
    <row r="5912" spans="6:6" x14ac:dyDescent="0.25">
      <c r="F5912" s="2"/>
    </row>
    <row r="5913" spans="6:6" x14ac:dyDescent="0.25">
      <c r="F5913" s="2"/>
    </row>
    <row r="5914" spans="6:6" x14ac:dyDescent="0.25">
      <c r="F5914" s="2"/>
    </row>
    <row r="5915" spans="6:6" x14ac:dyDescent="0.25">
      <c r="F5915" s="2"/>
    </row>
    <row r="5916" spans="6:6" x14ac:dyDescent="0.25">
      <c r="F5916" s="2"/>
    </row>
    <row r="5917" spans="6:6" x14ac:dyDescent="0.25">
      <c r="F5917" s="2"/>
    </row>
    <row r="5918" spans="6:6" x14ac:dyDescent="0.25">
      <c r="F5918" s="2"/>
    </row>
    <row r="5919" spans="6:6" x14ac:dyDescent="0.25">
      <c r="F5919" s="2"/>
    </row>
    <row r="5920" spans="6:6" x14ac:dyDescent="0.25">
      <c r="F5920" s="2"/>
    </row>
    <row r="5921" spans="6:6" x14ac:dyDescent="0.25">
      <c r="F5921" s="2"/>
    </row>
    <row r="5922" spans="6:6" x14ac:dyDescent="0.25">
      <c r="F5922" s="2"/>
    </row>
    <row r="5923" spans="6:6" x14ac:dyDescent="0.25">
      <c r="F5923" s="2"/>
    </row>
    <row r="5924" spans="6:6" x14ac:dyDescent="0.25">
      <c r="F5924" s="2"/>
    </row>
    <row r="5925" spans="6:6" x14ac:dyDescent="0.25">
      <c r="F5925" s="2"/>
    </row>
    <row r="5926" spans="6:6" x14ac:dyDescent="0.25">
      <c r="F5926" s="2"/>
    </row>
    <row r="5927" spans="6:6" x14ac:dyDescent="0.25">
      <c r="F5927" s="2"/>
    </row>
    <row r="5928" spans="6:6" x14ac:dyDescent="0.25">
      <c r="F5928" s="2"/>
    </row>
    <row r="5929" spans="6:6" x14ac:dyDescent="0.25">
      <c r="F5929" s="2"/>
    </row>
    <row r="5930" spans="6:6" x14ac:dyDescent="0.25">
      <c r="F5930" s="2"/>
    </row>
    <row r="5931" spans="6:6" x14ac:dyDescent="0.25">
      <c r="F5931" s="2"/>
    </row>
    <row r="5932" spans="6:6" x14ac:dyDescent="0.25">
      <c r="F5932" s="2"/>
    </row>
    <row r="5933" spans="6:6" x14ac:dyDescent="0.25">
      <c r="F5933" s="2"/>
    </row>
    <row r="5934" spans="6:6" x14ac:dyDescent="0.25">
      <c r="F5934" s="2"/>
    </row>
    <row r="5935" spans="6:6" x14ac:dyDescent="0.25">
      <c r="F5935" s="2"/>
    </row>
    <row r="5936" spans="6:6" x14ac:dyDescent="0.25">
      <c r="F5936" s="2"/>
    </row>
    <row r="5937" spans="6:6" x14ac:dyDescent="0.25">
      <c r="F5937" s="2"/>
    </row>
    <row r="5938" spans="6:6" x14ac:dyDescent="0.25">
      <c r="F5938" s="2"/>
    </row>
    <row r="5939" spans="6:6" x14ac:dyDescent="0.25">
      <c r="F5939" s="2"/>
    </row>
    <row r="5940" spans="6:6" x14ac:dyDescent="0.25">
      <c r="F5940" s="2"/>
    </row>
    <row r="5941" spans="6:6" x14ac:dyDescent="0.25">
      <c r="F5941" s="2"/>
    </row>
    <row r="5942" spans="6:6" x14ac:dyDescent="0.25">
      <c r="F5942" s="2"/>
    </row>
    <row r="5943" spans="6:6" x14ac:dyDescent="0.25">
      <c r="F5943" s="2"/>
    </row>
    <row r="5944" spans="6:6" x14ac:dyDescent="0.25">
      <c r="F5944" s="2"/>
    </row>
    <row r="5945" spans="6:6" x14ac:dyDescent="0.25">
      <c r="F5945" s="2"/>
    </row>
    <row r="5946" spans="6:6" x14ac:dyDescent="0.25">
      <c r="F5946" s="2"/>
    </row>
    <row r="5947" spans="6:6" x14ac:dyDescent="0.25">
      <c r="F5947" s="2"/>
    </row>
    <row r="5948" spans="6:6" x14ac:dyDescent="0.25">
      <c r="F5948" s="2"/>
    </row>
    <row r="5949" spans="6:6" x14ac:dyDescent="0.25">
      <c r="F5949" s="2"/>
    </row>
    <row r="5950" spans="6:6" x14ac:dyDescent="0.25">
      <c r="F5950" s="2"/>
    </row>
    <row r="5951" spans="6:6" x14ac:dyDescent="0.25">
      <c r="F5951" s="2"/>
    </row>
    <row r="5952" spans="6:6" x14ac:dyDescent="0.25">
      <c r="F5952" s="2"/>
    </row>
    <row r="5953" spans="6:6" x14ac:dyDescent="0.25">
      <c r="F5953" s="2"/>
    </row>
    <row r="5954" spans="6:6" x14ac:dyDescent="0.25">
      <c r="F5954" s="2"/>
    </row>
    <row r="5955" spans="6:6" x14ac:dyDescent="0.25">
      <c r="F5955" s="2"/>
    </row>
    <row r="5956" spans="6:6" x14ac:dyDescent="0.25">
      <c r="F5956" s="2"/>
    </row>
    <row r="5957" spans="6:6" x14ac:dyDescent="0.25">
      <c r="F5957" s="2"/>
    </row>
    <row r="5958" spans="6:6" x14ac:dyDescent="0.25">
      <c r="F5958" s="2"/>
    </row>
    <row r="5959" spans="6:6" x14ac:dyDescent="0.25">
      <c r="F5959" s="2"/>
    </row>
    <row r="5960" spans="6:6" x14ac:dyDescent="0.25">
      <c r="F5960" s="2"/>
    </row>
    <row r="5961" spans="6:6" x14ac:dyDescent="0.25">
      <c r="F5961" s="2"/>
    </row>
    <row r="5962" spans="6:6" x14ac:dyDescent="0.25">
      <c r="F5962" s="2"/>
    </row>
    <row r="5963" spans="6:6" x14ac:dyDescent="0.25">
      <c r="F5963" s="2"/>
    </row>
    <row r="5964" spans="6:6" x14ac:dyDescent="0.25">
      <c r="F5964" s="2"/>
    </row>
    <row r="5965" spans="6:6" x14ac:dyDescent="0.25">
      <c r="F5965" s="2"/>
    </row>
    <row r="5966" spans="6:6" x14ac:dyDescent="0.25">
      <c r="F5966" s="2"/>
    </row>
    <row r="5967" spans="6:6" x14ac:dyDescent="0.25">
      <c r="F5967" s="2"/>
    </row>
    <row r="5968" spans="6:6" x14ac:dyDescent="0.25">
      <c r="F5968" s="2"/>
    </row>
    <row r="5969" spans="6:6" x14ac:dyDescent="0.25">
      <c r="F5969" s="2"/>
    </row>
    <row r="5970" spans="6:6" x14ac:dyDescent="0.25">
      <c r="F5970" s="2"/>
    </row>
    <row r="5971" spans="6:6" x14ac:dyDescent="0.25">
      <c r="F5971" s="2"/>
    </row>
    <row r="5972" spans="6:6" x14ac:dyDescent="0.25">
      <c r="F5972" s="2"/>
    </row>
    <row r="5973" spans="6:6" x14ac:dyDescent="0.25">
      <c r="F5973" s="2"/>
    </row>
    <row r="5974" spans="6:6" x14ac:dyDescent="0.25">
      <c r="F5974" s="2"/>
    </row>
    <row r="5975" spans="6:6" x14ac:dyDescent="0.25">
      <c r="F5975" s="2"/>
    </row>
    <row r="5976" spans="6:6" x14ac:dyDescent="0.25">
      <c r="F5976" s="2"/>
    </row>
    <row r="5977" spans="6:6" x14ac:dyDescent="0.25">
      <c r="F5977" s="2"/>
    </row>
    <row r="5978" spans="6:6" x14ac:dyDescent="0.25">
      <c r="F5978" s="2"/>
    </row>
    <row r="5979" spans="6:6" x14ac:dyDescent="0.25">
      <c r="F5979" s="2"/>
    </row>
    <row r="5980" spans="6:6" x14ac:dyDescent="0.25">
      <c r="F5980" s="2"/>
    </row>
    <row r="5981" spans="6:6" x14ac:dyDescent="0.25">
      <c r="F5981" s="2"/>
    </row>
    <row r="5982" spans="6:6" x14ac:dyDescent="0.25">
      <c r="F5982" s="2"/>
    </row>
    <row r="5983" spans="6:6" x14ac:dyDescent="0.25">
      <c r="F5983" s="2"/>
    </row>
    <row r="5984" spans="6:6" x14ac:dyDescent="0.25">
      <c r="F5984" s="2"/>
    </row>
    <row r="5985" spans="6:6" x14ac:dyDescent="0.25">
      <c r="F5985" s="2"/>
    </row>
    <row r="5986" spans="6:6" x14ac:dyDescent="0.25">
      <c r="F5986" s="2"/>
    </row>
    <row r="5987" spans="6:6" x14ac:dyDescent="0.25">
      <c r="F5987" s="2"/>
    </row>
    <row r="5988" spans="6:6" x14ac:dyDescent="0.25">
      <c r="F5988" s="2"/>
    </row>
    <row r="5989" spans="6:6" x14ac:dyDescent="0.25">
      <c r="F5989" s="2"/>
    </row>
    <row r="5990" spans="6:6" x14ac:dyDescent="0.25">
      <c r="F5990" s="2"/>
    </row>
    <row r="5991" spans="6:6" x14ac:dyDescent="0.25">
      <c r="F5991" s="2"/>
    </row>
    <row r="5992" spans="6:6" x14ac:dyDescent="0.25">
      <c r="F5992" s="2"/>
    </row>
    <row r="5993" spans="6:6" x14ac:dyDescent="0.25">
      <c r="F5993" s="2"/>
    </row>
    <row r="5994" spans="6:6" x14ac:dyDescent="0.25">
      <c r="F5994" s="2"/>
    </row>
    <row r="5995" spans="6:6" x14ac:dyDescent="0.25">
      <c r="F5995" s="2"/>
    </row>
    <row r="5996" spans="6:6" x14ac:dyDescent="0.25">
      <c r="F5996" s="2"/>
    </row>
    <row r="5997" spans="6:6" x14ac:dyDescent="0.25">
      <c r="F5997" s="2"/>
    </row>
    <row r="5998" spans="6:6" x14ac:dyDescent="0.25">
      <c r="F5998" s="2"/>
    </row>
    <row r="5999" spans="6:6" x14ac:dyDescent="0.25">
      <c r="F5999" s="2"/>
    </row>
    <row r="6000" spans="6:6" x14ac:dyDescent="0.25">
      <c r="F6000" s="2"/>
    </row>
    <row r="6001" spans="6:6" x14ac:dyDescent="0.25">
      <c r="F6001" s="2"/>
    </row>
    <row r="6002" spans="6:6" x14ac:dyDescent="0.25">
      <c r="F6002" s="2"/>
    </row>
    <row r="6003" spans="6:6" x14ac:dyDescent="0.25">
      <c r="F6003" s="2"/>
    </row>
    <row r="6004" spans="6:6" x14ac:dyDescent="0.25">
      <c r="F6004" s="2"/>
    </row>
    <row r="6005" spans="6:6" x14ac:dyDescent="0.25">
      <c r="F6005" s="2"/>
    </row>
    <row r="6006" spans="6:6" x14ac:dyDescent="0.25">
      <c r="F6006" s="2"/>
    </row>
    <row r="6007" spans="6:6" x14ac:dyDescent="0.25">
      <c r="F6007" s="2"/>
    </row>
    <row r="6008" spans="6:6" x14ac:dyDescent="0.25">
      <c r="F6008" s="2"/>
    </row>
    <row r="6009" spans="6:6" x14ac:dyDescent="0.25">
      <c r="F6009" s="2"/>
    </row>
    <row r="6010" spans="6:6" x14ac:dyDescent="0.25">
      <c r="F6010" s="2"/>
    </row>
    <row r="6011" spans="6:6" x14ac:dyDescent="0.25">
      <c r="F6011" s="2"/>
    </row>
    <row r="6012" spans="6:6" x14ac:dyDescent="0.25">
      <c r="F6012" s="2"/>
    </row>
    <row r="6013" spans="6:6" x14ac:dyDescent="0.25">
      <c r="F6013" s="2"/>
    </row>
    <row r="6014" spans="6:6" x14ac:dyDescent="0.25">
      <c r="F6014" s="2"/>
    </row>
    <row r="6015" spans="6:6" x14ac:dyDescent="0.25">
      <c r="F6015" s="2"/>
    </row>
    <row r="6016" spans="6:6" x14ac:dyDescent="0.25">
      <c r="F6016" s="2"/>
    </row>
    <row r="6017" spans="6:6" x14ac:dyDescent="0.25">
      <c r="F6017" s="2"/>
    </row>
    <row r="6018" spans="6:6" x14ac:dyDescent="0.25">
      <c r="F6018" s="2"/>
    </row>
    <row r="6019" spans="6:6" x14ac:dyDescent="0.25">
      <c r="F6019" s="2"/>
    </row>
    <row r="6020" spans="6:6" x14ac:dyDescent="0.25">
      <c r="F6020" s="2"/>
    </row>
    <row r="6021" spans="6:6" x14ac:dyDescent="0.25">
      <c r="F6021" s="2"/>
    </row>
    <row r="6022" spans="6:6" x14ac:dyDescent="0.25">
      <c r="F6022" s="2"/>
    </row>
    <row r="6023" spans="6:6" x14ac:dyDescent="0.25">
      <c r="F6023" s="2"/>
    </row>
    <row r="6024" spans="6:6" x14ac:dyDescent="0.25">
      <c r="F6024" s="2"/>
    </row>
    <row r="6025" spans="6:6" x14ac:dyDescent="0.25">
      <c r="F6025" s="2"/>
    </row>
    <row r="6026" spans="6:6" x14ac:dyDescent="0.25">
      <c r="F6026" s="2"/>
    </row>
    <row r="6027" spans="6:6" x14ac:dyDescent="0.25">
      <c r="F6027" s="2"/>
    </row>
    <row r="6028" spans="6:6" x14ac:dyDescent="0.25">
      <c r="F6028" s="2"/>
    </row>
    <row r="6029" spans="6:6" x14ac:dyDescent="0.25">
      <c r="F6029" s="2"/>
    </row>
    <row r="6030" spans="6:6" x14ac:dyDescent="0.25">
      <c r="F6030" s="2"/>
    </row>
    <row r="6031" spans="6:6" x14ac:dyDescent="0.25">
      <c r="F6031" s="2"/>
    </row>
    <row r="6032" spans="6:6" x14ac:dyDescent="0.25">
      <c r="F6032" s="2"/>
    </row>
    <row r="6033" spans="6:6" x14ac:dyDescent="0.25">
      <c r="F6033" s="2"/>
    </row>
    <row r="6034" spans="6:6" x14ac:dyDescent="0.25">
      <c r="F6034" s="2"/>
    </row>
    <row r="6035" spans="6:6" x14ac:dyDescent="0.25">
      <c r="F6035" s="2"/>
    </row>
    <row r="6036" spans="6:6" x14ac:dyDescent="0.25">
      <c r="F6036" s="2"/>
    </row>
    <row r="6037" spans="6:6" x14ac:dyDescent="0.25">
      <c r="F6037" s="2"/>
    </row>
    <row r="6038" spans="6:6" x14ac:dyDescent="0.25">
      <c r="F6038" s="2"/>
    </row>
    <row r="6039" spans="6:6" x14ac:dyDescent="0.25">
      <c r="F6039" s="2"/>
    </row>
    <row r="6040" spans="6:6" x14ac:dyDescent="0.25">
      <c r="F6040" s="2"/>
    </row>
    <row r="6041" spans="6:6" x14ac:dyDescent="0.25">
      <c r="F6041" s="2"/>
    </row>
    <row r="6042" spans="6:6" x14ac:dyDescent="0.25">
      <c r="F6042" s="2"/>
    </row>
    <row r="6043" spans="6:6" x14ac:dyDescent="0.25">
      <c r="F6043" s="2"/>
    </row>
    <row r="6044" spans="6:6" x14ac:dyDescent="0.25">
      <c r="F6044" s="2"/>
    </row>
    <row r="6045" spans="6:6" x14ac:dyDescent="0.25">
      <c r="F6045" s="2"/>
    </row>
    <row r="6046" spans="6:6" x14ac:dyDescent="0.25">
      <c r="F6046" s="2"/>
    </row>
    <row r="6047" spans="6:6" x14ac:dyDescent="0.25">
      <c r="F6047" s="2"/>
    </row>
    <row r="6048" spans="6:6" x14ac:dyDescent="0.25">
      <c r="F6048" s="2"/>
    </row>
    <row r="6049" spans="6:6" x14ac:dyDescent="0.25">
      <c r="F6049" s="2"/>
    </row>
    <row r="6050" spans="6:6" x14ac:dyDescent="0.25">
      <c r="F6050" s="2"/>
    </row>
    <row r="6051" spans="6:6" x14ac:dyDescent="0.25">
      <c r="F6051" s="2"/>
    </row>
    <row r="6052" spans="6:6" x14ac:dyDescent="0.25">
      <c r="F6052" s="2"/>
    </row>
    <row r="6053" spans="6:6" x14ac:dyDescent="0.25">
      <c r="F6053" s="2"/>
    </row>
    <row r="6054" spans="6:6" x14ac:dyDescent="0.25">
      <c r="F6054" s="2"/>
    </row>
    <row r="6055" spans="6:6" x14ac:dyDescent="0.25">
      <c r="F6055" s="2"/>
    </row>
    <row r="6056" spans="6:6" x14ac:dyDescent="0.25">
      <c r="F6056" s="2"/>
    </row>
    <row r="6057" spans="6:6" x14ac:dyDescent="0.25">
      <c r="F6057" s="2"/>
    </row>
    <row r="6058" spans="6:6" x14ac:dyDescent="0.25">
      <c r="F6058" s="2"/>
    </row>
    <row r="6059" spans="6:6" x14ac:dyDescent="0.25">
      <c r="F6059" s="2"/>
    </row>
    <row r="6060" spans="6:6" x14ac:dyDescent="0.25">
      <c r="F6060" s="2"/>
    </row>
    <row r="6061" spans="6:6" x14ac:dyDescent="0.25">
      <c r="F6061" s="2"/>
    </row>
    <row r="6062" spans="6:6" x14ac:dyDescent="0.25">
      <c r="F6062" s="2"/>
    </row>
    <row r="6063" spans="6:6" x14ac:dyDescent="0.25">
      <c r="F6063" s="2"/>
    </row>
    <row r="6064" spans="6:6" x14ac:dyDescent="0.25">
      <c r="F6064" s="2"/>
    </row>
    <row r="6065" spans="6:6" x14ac:dyDescent="0.25">
      <c r="F6065" s="2"/>
    </row>
    <row r="6066" spans="6:6" x14ac:dyDescent="0.25">
      <c r="F6066" s="2"/>
    </row>
    <row r="6067" spans="6:6" x14ac:dyDescent="0.25">
      <c r="F6067" s="2"/>
    </row>
    <row r="6068" spans="6:6" x14ac:dyDescent="0.25">
      <c r="F6068" s="2"/>
    </row>
    <row r="6069" spans="6:6" x14ac:dyDescent="0.25">
      <c r="F6069" s="2"/>
    </row>
    <row r="6070" spans="6:6" x14ac:dyDescent="0.25">
      <c r="F6070" s="2"/>
    </row>
    <row r="6071" spans="6:6" x14ac:dyDescent="0.25">
      <c r="F6071" s="2"/>
    </row>
    <row r="6072" spans="6:6" x14ac:dyDescent="0.25">
      <c r="F6072" s="2"/>
    </row>
    <row r="6073" spans="6:6" x14ac:dyDescent="0.25">
      <c r="F6073" s="2"/>
    </row>
    <row r="6074" spans="6:6" x14ac:dyDescent="0.25">
      <c r="F6074" s="2"/>
    </row>
    <row r="6075" spans="6:6" x14ac:dyDescent="0.25">
      <c r="F6075" s="2"/>
    </row>
    <row r="6076" spans="6:6" x14ac:dyDescent="0.25">
      <c r="F6076" s="2"/>
    </row>
    <row r="6077" spans="6:6" x14ac:dyDescent="0.25">
      <c r="F6077" s="2"/>
    </row>
    <row r="6078" spans="6:6" x14ac:dyDescent="0.25">
      <c r="F6078" s="2"/>
    </row>
    <row r="6079" spans="6:6" x14ac:dyDescent="0.25">
      <c r="F6079" s="2"/>
    </row>
    <row r="6080" spans="6:6" x14ac:dyDescent="0.25">
      <c r="F6080" s="2"/>
    </row>
    <row r="6081" spans="6:6" x14ac:dyDescent="0.25">
      <c r="F6081" s="2"/>
    </row>
    <row r="6082" spans="6:6" x14ac:dyDescent="0.25">
      <c r="F6082" s="2"/>
    </row>
    <row r="6083" spans="6:6" x14ac:dyDescent="0.25">
      <c r="F6083" s="2"/>
    </row>
    <row r="6084" spans="6:6" x14ac:dyDescent="0.25">
      <c r="F6084" s="2"/>
    </row>
    <row r="6085" spans="6:6" x14ac:dyDescent="0.25">
      <c r="F6085" s="2"/>
    </row>
    <row r="6086" spans="6:6" x14ac:dyDescent="0.25">
      <c r="F6086" s="2"/>
    </row>
    <row r="6087" spans="6:6" x14ac:dyDescent="0.25">
      <c r="F6087" s="2"/>
    </row>
    <row r="6088" spans="6:6" x14ac:dyDescent="0.25">
      <c r="F6088" s="2"/>
    </row>
    <row r="6089" spans="6:6" x14ac:dyDescent="0.25">
      <c r="F6089" s="2"/>
    </row>
    <row r="6090" spans="6:6" x14ac:dyDescent="0.25">
      <c r="F6090" s="2"/>
    </row>
    <row r="6091" spans="6:6" x14ac:dyDescent="0.25">
      <c r="F6091" s="2"/>
    </row>
    <row r="6092" spans="6:6" x14ac:dyDescent="0.25">
      <c r="F6092" s="2"/>
    </row>
    <row r="6093" spans="6:6" x14ac:dyDescent="0.25">
      <c r="F6093" s="2"/>
    </row>
    <row r="6094" spans="6:6" x14ac:dyDescent="0.25">
      <c r="F6094" s="2"/>
    </row>
    <row r="6095" spans="6:6" x14ac:dyDescent="0.25">
      <c r="F6095" s="2"/>
    </row>
    <row r="6096" spans="6:6" x14ac:dyDescent="0.25">
      <c r="F6096" s="2"/>
    </row>
    <row r="6097" spans="6:6" x14ac:dyDescent="0.25">
      <c r="F6097" s="2"/>
    </row>
    <row r="6098" spans="6:6" x14ac:dyDescent="0.25">
      <c r="F6098" s="2"/>
    </row>
    <row r="6099" spans="6:6" x14ac:dyDescent="0.25">
      <c r="F6099" s="2"/>
    </row>
    <row r="6100" spans="6:6" x14ac:dyDescent="0.25">
      <c r="F6100" s="2"/>
    </row>
    <row r="6101" spans="6:6" x14ac:dyDescent="0.25">
      <c r="F6101" s="2"/>
    </row>
    <row r="6102" spans="6:6" x14ac:dyDescent="0.25">
      <c r="F6102" s="2"/>
    </row>
    <row r="6103" spans="6:6" x14ac:dyDescent="0.25">
      <c r="F6103" s="2"/>
    </row>
    <row r="6104" spans="6:6" x14ac:dyDescent="0.25">
      <c r="F6104" s="2"/>
    </row>
    <row r="6105" spans="6:6" x14ac:dyDescent="0.25">
      <c r="F6105" s="2"/>
    </row>
    <row r="6106" spans="6:6" x14ac:dyDescent="0.25">
      <c r="F6106" s="2"/>
    </row>
    <row r="6107" spans="6:6" x14ac:dyDescent="0.25">
      <c r="F6107" s="2"/>
    </row>
    <row r="6108" spans="6:6" x14ac:dyDescent="0.25">
      <c r="F6108" s="2"/>
    </row>
    <row r="6109" spans="6:6" x14ac:dyDescent="0.25">
      <c r="F6109" s="2"/>
    </row>
    <row r="6110" spans="6:6" x14ac:dyDescent="0.25">
      <c r="F6110" s="2"/>
    </row>
    <row r="6111" spans="6:6" x14ac:dyDescent="0.25">
      <c r="F6111" s="2"/>
    </row>
    <row r="6112" spans="6:6" x14ac:dyDescent="0.25">
      <c r="F6112" s="2"/>
    </row>
    <row r="6113" spans="6:6" x14ac:dyDescent="0.25">
      <c r="F6113" s="2"/>
    </row>
    <row r="6114" spans="6:6" x14ac:dyDescent="0.25">
      <c r="F6114" s="2"/>
    </row>
    <row r="6115" spans="6:6" x14ac:dyDescent="0.25">
      <c r="F6115" s="2"/>
    </row>
    <row r="6116" spans="6:6" x14ac:dyDescent="0.25">
      <c r="F6116" s="2"/>
    </row>
    <row r="6117" spans="6:6" x14ac:dyDescent="0.25">
      <c r="F6117" s="2"/>
    </row>
    <row r="6118" spans="6:6" x14ac:dyDescent="0.25">
      <c r="F6118" s="2"/>
    </row>
    <row r="6119" spans="6:6" x14ac:dyDescent="0.25">
      <c r="F6119" s="2"/>
    </row>
    <row r="6120" spans="6:6" x14ac:dyDescent="0.25">
      <c r="F6120" s="2"/>
    </row>
    <row r="6121" spans="6:6" x14ac:dyDescent="0.25">
      <c r="F6121" s="2"/>
    </row>
    <row r="6122" spans="6:6" x14ac:dyDescent="0.25">
      <c r="F6122" s="2"/>
    </row>
    <row r="6123" spans="6:6" x14ac:dyDescent="0.25">
      <c r="F6123" s="2"/>
    </row>
    <row r="6124" spans="6:6" x14ac:dyDescent="0.25">
      <c r="F6124" s="2"/>
    </row>
    <row r="6125" spans="6:6" x14ac:dyDescent="0.25">
      <c r="F6125" s="2"/>
    </row>
    <row r="6126" spans="6:6" x14ac:dyDescent="0.25">
      <c r="F6126" s="2"/>
    </row>
    <row r="6127" spans="6:6" x14ac:dyDescent="0.25">
      <c r="F6127" s="2"/>
    </row>
    <row r="6128" spans="6:6" x14ac:dyDescent="0.25">
      <c r="F6128" s="2"/>
    </row>
    <row r="6129" spans="6:6" x14ac:dyDescent="0.25">
      <c r="F6129" s="2"/>
    </row>
    <row r="6130" spans="6:6" x14ac:dyDescent="0.25">
      <c r="F6130" s="2"/>
    </row>
    <row r="6131" spans="6:6" x14ac:dyDescent="0.25">
      <c r="F6131" s="2"/>
    </row>
    <row r="6132" spans="6:6" x14ac:dyDescent="0.25">
      <c r="F6132" s="2"/>
    </row>
    <row r="6133" spans="6:6" x14ac:dyDescent="0.25">
      <c r="F6133" s="2"/>
    </row>
    <row r="6134" spans="6:6" x14ac:dyDescent="0.25">
      <c r="F6134" s="2"/>
    </row>
    <row r="6135" spans="6:6" x14ac:dyDescent="0.25">
      <c r="F6135" s="2"/>
    </row>
    <row r="6136" spans="6:6" x14ac:dyDescent="0.25">
      <c r="F6136" s="2"/>
    </row>
    <row r="6137" spans="6:6" x14ac:dyDescent="0.25">
      <c r="F6137" s="2"/>
    </row>
    <row r="6138" spans="6:6" x14ac:dyDescent="0.25">
      <c r="F6138" s="2"/>
    </row>
    <row r="6139" spans="6:6" x14ac:dyDescent="0.25">
      <c r="F6139" s="2"/>
    </row>
    <row r="6140" spans="6:6" x14ac:dyDescent="0.25">
      <c r="F6140" s="2"/>
    </row>
    <row r="6141" spans="6:6" x14ac:dyDescent="0.25">
      <c r="F6141" s="2"/>
    </row>
    <row r="6142" spans="6:6" x14ac:dyDescent="0.25">
      <c r="F6142" s="2"/>
    </row>
    <row r="6143" spans="6:6" x14ac:dyDescent="0.25">
      <c r="F6143" s="2"/>
    </row>
    <row r="6144" spans="6:6" x14ac:dyDescent="0.25">
      <c r="F6144" s="2"/>
    </row>
    <row r="6145" spans="6:6" x14ac:dyDescent="0.25">
      <c r="F6145" s="2"/>
    </row>
    <row r="6146" spans="6:6" x14ac:dyDescent="0.25">
      <c r="F6146" s="2"/>
    </row>
    <row r="6147" spans="6:6" x14ac:dyDescent="0.25">
      <c r="F6147" s="2"/>
    </row>
    <row r="6148" spans="6:6" x14ac:dyDescent="0.25">
      <c r="F6148" s="2"/>
    </row>
    <row r="6149" spans="6:6" x14ac:dyDescent="0.25">
      <c r="F6149" s="2"/>
    </row>
    <row r="6150" spans="6:6" x14ac:dyDescent="0.25">
      <c r="F6150" s="2"/>
    </row>
    <row r="6151" spans="6:6" x14ac:dyDescent="0.25">
      <c r="F6151" s="2"/>
    </row>
    <row r="6152" spans="6:6" x14ac:dyDescent="0.25">
      <c r="F6152" s="2"/>
    </row>
    <row r="6153" spans="6:6" x14ac:dyDescent="0.25">
      <c r="F6153" s="2"/>
    </row>
    <row r="6154" spans="6:6" x14ac:dyDescent="0.25">
      <c r="F6154" s="2"/>
    </row>
    <row r="6155" spans="6:6" x14ac:dyDescent="0.25">
      <c r="F6155" s="2"/>
    </row>
    <row r="6156" spans="6:6" x14ac:dyDescent="0.25">
      <c r="F6156" s="2"/>
    </row>
    <row r="6157" spans="6:6" x14ac:dyDescent="0.25">
      <c r="F6157" s="2"/>
    </row>
    <row r="6158" spans="6:6" x14ac:dyDescent="0.25">
      <c r="F6158" s="2"/>
    </row>
    <row r="6159" spans="6:6" x14ac:dyDescent="0.25">
      <c r="F6159" s="2"/>
    </row>
    <row r="6160" spans="6:6" x14ac:dyDescent="0.25">
      <c r="F6160" s="2"/>
    </row>
    <row r="6161" spans="6:6" x14ac:dyDescent="0.25">
      <c r="F6161" s="2"/>
    </row>
    <row r="6162" spans="6:6" x14ac:dyDescent="0.25">
      <c r="F6162" s="2"/>
    </row>
    <row r="6163" spans="6:6" x14ac:dyDescent="0.25">
      <c r="F6163" s="2"/>
    </row>
    <row r="6164" spans="6:6" x14ac:dyDescent="0.25">
      <c r="F6164" s="2"/>
    </row>
    <row r="6165" spans="6:6" x14ac:dyDescent="0.25">
      <c r="F6165" s="2"/>
    </row>
    <row r="6166" spans="6:6" x14ac:dyDescent="0.25">
      <c r="F6166" s="2"/>
    </row>
    <row r="6167" spans="6:6" x14ac:dyDescent="0.25">
      <c r="F6167" s="2"/>
    </row>
    <row r="6168" spans="6:6" x14ac:dyDescent="0.25">
      <c r="F6168" s="2"/>
    </row>
    <row r="6169" spans="6:6" x14ac:dyDescent="0.25">
      <c r="F6169" s="2"/>
    </row>
    <row r="6170" spans="6:6" x14ac:dyDescent="0.25">
      <c r="F6170" s="2"/>
    </row>
    <row r="6171" spans="6:6" x14ac:dyDescent="0.25">
      <c r="F6171" s="2"/>
    </row>
    <row r="6172" spans="6:6" x14ac:dyDescent="0.25">
      <c r="F6172" s="2"/>
    </row>
    <row r="6173" spans="6:6" x14ac:dyDescent="0.25">
      <c r="F6173" s="2"/>
    </row>
    <row r="6174" spans="6:6" x14ac:dyDescent="0.25">
      <c r="F6174" s="2"/>
    </row>
    <row r="6175" spans="6:6" x14ac:dyDescent="0.25">
      <c r="F6175" s="2"/>
    </row>
    <row r="6176" spans="6:6" x14ac:dyDescent="0.25">
      <c r="F6176" s="2"/>
    </row>
    <row r="6177" spans="6:6" x14ac:dyDescent="0.25">
      <c r="F6177" s="2"/>
    </row>
    <row r="6178" spans="6:6" x14ac:dyDescent="0.25">
      <c r="F6178" s="2"/>
    </row>
    <row r="6179" spans="6:6" x14ac:dyDescent="0.25">
      <c r="F6179" s="2"/>
    </row>
    <row r="6180" spans="6:6" x14ac:dyDescent="0.25">
      <c r="F6180" s="2"/>
    </row>
    <row r="6181" spans="6:6" x14ac:dyDescent="0.25">
      <c r="F6181" s="2"/>
    </row>
    <row r="6182" spans="6:6" x14ac:dyDescent="0.25">
      <c r="F6182" s="2"/>
    </row>
    <row r="6183" spans="6:6" x14ac:dyDescent="0.25">
      <c r="F6183" s="2"/>
    </row>
    <row r="6184" spans="6:6" x14ac:dyDescent="0.25">
      <c r="F6184" s="2"/>
    </row>
    <row r="6185" spans="6:6" x14ac:dyDescent="0.25">
      <c r="F6185" s="2"/>
    </row>
    <row r="6186" spans="6:6" x14ac:dyDescent="0.25">
      <c r="F6186" s="2"/>
    </row>
    <row r="6187" spans="6:6" x14ac:dyDescent="0.25">
      <c r="F6187" s="2"/>
    </row>
    <row r="6188" spans="6:6" x14ac:dyDescent="0.25">
      <c r="F6188" s="2"/>
    </row>
    <row r="6189" spans="6:6" x14ac:dyDescent="0.25">
      <c r="F6189" s="2"/>
    </row>
    <row r="6190" spans="6:6" x14ac:dyDescent="0.25">
      <c r="F6190" s="2"/>
    </row>
    <row r="6191" spans="6:6" x14ac:dyDescent="0.25">
      <c r="F6191" s="2"/>
    </row>
    <row r="6192" spans="6:6" x14ac:dyDescent="0.25">
      <c r="F6192" s="2"/>
    </row>
    <row r="6193" spans="6:6" x14ac:dyDescent="0.25">
      <c r="F6193" s="2"/>
    </row>
    <row r="6194" spans="6:6" x14ac:dyDescent="0.25">
      <c r="F6194" s="2"/>
    </row>
    <row r="6195" spans="6:6" x14ac:dyDescent="0.25">
      <c r="F6195" s="2"/>
    </row>
    <row r="6196" spans="6:6" x14ac:dyDescent="0.25">
      <c r="F6196" s="2"/>
    </row>
    <row r="6197" spans="6:6" x14ac:dyDescent="0.25">
      <c r="F6197" s="2"/>
    </row>
    <row r="6198" spans="6:6" x14ac:dyDescent="0.25">
      <c r="F6198" s="2"/>
    </row>
    <row r="6199" spans="6:6" x14ac:dyDescent="0.25">
      <c r="F6199" s="2"/>
    </row>
    <row r="6200" spans="6:6" x14ac:dyDescent="0.25">
      <c r="F6200" s="2"/>
    </row>
    <row r="6201" spans="6:6" x14ac:dyDescent="0.25">
      <c r="F6201" s="2"/>
    </row>
    <row r="6202" spans="6:6" x14ac:dyDescent="0.25">
      <c r="F6202" s="2"/>
    </row>
    <row r="6203" spans="6:6" x14ac:dyDescent="0.25">
      <c r="F6203" s="2"/>
    </row>
    <row r="6204" spans="6:6" x14ac:dyDescent="0.25">
      <c r="F6204" s="2"/>
    </row>
    <row r="6205" spans="6:6" x14ac:dyDescent="0.25">
      <c r="F6205" s="2"/>
    </row>
    <row r="6206" spans="6:6" x14ac:dyDescent="0.25">
      <c r="F6206" s="2"/>
    </row>
    <row r="6207" spans="6:6" x14ac:dyDescent="0.25">
      <c r="F6207" s="2"/>
    </row>
    <row r="6208" spans="6:6" x14ac:dyDescent="0.25">
      <c r="F6208" s="2"/>
    </row>
    <row r="6209" spans="6:6" x14ac:dyDescent="0.25">
      <c r="F6209" s="2"/>
    </row>
    <row r="6210" spans="6:6" x14ac:dyDescent="0.25">
      <c r="F6210" s="2"/>
    </row>
    <row r="6211" spans="6:6" x14ac:dyDescent="0.25">
      <c r="F6211" s="2"/>
    </row>
    <row r="6212" spans="6:6" x14ac:dyDescent="0.25">
      <c r="F6212" s="2"/>
    </row>
    <row r="6213" spans="6:6" x14ac:dyDescent="0.25">
      <c r="F6213" s="2"/>
    </row>
    <row r="6214" spans="6:6" x14ac:dyDescent="0.25">
      <c r="F6214" s="2"/>
    </row>
    <row r="6215" spans="6:6" x14ac:dyDescent="0.25">
      <c r="F6215" s="2"/>
    </row>
    <row r="6216" spans="6:6" x14ac:dyDescent="0.25">
      <c r="F6216" s="2"/>
    </row>
    <row r="6217" spans="6:6" x14ac:dyDescent="0.25">
      <c r="F6217" s="2"/>
    </row>
    <row r="6218" spans="6:6" x14ac:dyDescent="0.25">
      <c r="F6218" s="2"/>
    </row>
    <row r="6219" spans="6:6" x14ac:dyDescent="0.25">
      <c r="F6219" s="2"/>
    </row>
    <row r="6220" spans="6:6" x14ac:dyDescent="0.25">
      <c r="F6220" s="2"/>
    </row>
    <row r="6221" spans="6:6" x14ac:dyDescent="0.25">
      <c r="F6221" s="2"/>
    </row>
    <row r="6222" spans="6:6" x14ac:dyDescent="0.25">
      <c r="F6222" s="2"/>
    </row>
    <row r="6223" spans="6:6" x14ac:dyDescent="0.25">
      <c r="F6223" s="2"/>
    </row>
    <row r="6224" spans="6:6" x14ac:dyDescent="0.25">
      <c r="F6224" s="2"/>
    </row>
    <row r="6225" spans="6:6" x14ac:dyDescent="0.25">
      <c r="F6225" s="2"/>
    </row>
    <row r="6226" spans="6:6" x14ac:dyDescent="0.25">
      <c r="F6226" s="2"/>
    </row>
    <row r="6227" spans="6:6" x14ac:dyDescent="0.25">
      <c r="F6227" s="2"/>
    </row>
    <row r="6228" spans="6:6" x14ac:dyDescent="0.25">
      <c r="F6228" s="2"/>
    </row>
    <row r="6229" spans="6:6" x14ac:dyDescent="0.25">
      <c r="F6229" s="2"/>
    </row>
    <row r="6230" spans="6:6" x14ac:dyDescent="0.25">
      <c r="F6230" s="2"/>
    </row>
    <row r="6231" spans="6:6" x14ac:dyDescent="0.25">
      <c r="F6231" s="2"/>
    </row>
    <row r="6232" spans="6:6" x14ac:dyDescent="0.25">
      <c r="F6232" s="2"/>
    </row>
    <row r="6233" spans="6:6" x14ac:dyDescent="0.25">
      <c r="F6233" s="2"/>
    </row>
    <row r="6234" spans="6:6" x14ac:dyDescent="0.25">
      <c r="F6234" s="2"/>
    </row>
    <row r="6235" spans="6:6" x14ac:dyDescent="0.25">
      <c r="F6235" s="2"/>
    </row>
    <row r="6236" spans="6:6" x14ac:dyDescent="0.25">
      <c r="F6236" s="2"/>
    </row>
    <row r="6237" spans="6:6" x14ac:dyDescent="0.25">
      <c r="F6237" s="2"/>
    </row>
    <row r="6238" spans="6:6" x14ac:dyDescent="0.25">
      <c r="F6238" s="2"/>
    </row>
    <row r="6239" spans="6:6" x14ac:dyDescent="0.25">
      <c r="F6239" s="2"/>
    </row>
    <row r="6240" spans="6:6" x14ac:dyDescent="0.25">
      <c r="F6240" s="2"/>
    </row>
    <row r="6241" spans="6:6" x14ac:dyDescent="0.25">
      <c r="F6241" s="2"/>
    </row>
    <row r="6242" spans="6:6" x14ac:dyDescent="0.25">
      <c r="F6242" s="2"/>
    </row>
    <row r="6243" spans="6:6" x14ac:dyDescent="0.25">
      <c r="F6243" s="2"/>
    </row>
    <row r="6244" spans="6:6" x14ac:dyDescent="0.25">
      <c r="F6244" s="2"/>
    </row>
    <row r="6245" spans="6:6" x14ac:dyDescent="0.25">
      <c r="F6245" s="2"/>
    </row>
    <row r="6246" spans="6:6" x14ac:dyDescent="0.25">
      <c r="F6246" s="2"/>
    </row>
    <row r="6247" spans="6:6" x14ac:dyDescent="0.25">
      <c r="F6247" s="2"/>
    </row>
    <row r="6248" spans="6:6" x14ac:dyDescent="0.25">
      <c r="F6248" s="2"/>
    </row>
    <row r="6249" spans="6:6" x14ac:dyDescent="0.25">
      <c r="F6249" s="2"/>
    </row>
    <row r="6250" spans="6:6" x14ac:dyDescent="0.25">
      <c r="F6250" s="2"/>
    </row>
    <row r="6251" spans="6:6" x14ac:dyDescent="0.25">
      <c r="F6251" s="2"/>
    </row>
    <row r="6252" spans="6:6" x14ac:dyDescent="0.25">
      <c r="F6252" s="2"/>
    </row>
    <row r="6253" spans="6:6" x14ac:dyDescent="0.25">
      <c r="F6253" s="2"/>
    </row>
    <row r="6254" spans="6:6" x14ac:dyDescent="0.25">
      <c r="F6254" s="2"/>
    </row>
    <row r="6255" spans="6:6" x14ac:dyDescent="0.25">
      <c r="F6255" s="2"/>
    </row>
    <row r="6256" spans="6:6" x14ac:dyDescent="0.25">
      <c r="F6256" s="2"/>
    </row>
    <row r="6257" spans="6:6" x14ac:dyDescent="0.25">
      <c r="F6257" s="2"/>
    </row>
    <row r="6258" spans="6:6" x14ac:dyDescent="0.25">
      <c r="F6258" s="2"/>
    </row>
    <row r="6259" spans="6:6" x14ac:dyDescent="0.25">
      <c r="F6259" s="2"/>
    </row>
    <row r="6260" spans="6:6" x14ac:dyDescent="0.25">
      <c r="F6260" s="2"/>
    </row>
    <row r="6261" spans="6:6" x14ac:dyDescent="0.25">
      <c r="F6261" s="2"/>
    </row>
    <row r="6262" spans="6:6" x14ac:dyDescent="0.25">
      <c r="F6262" s="2"/>
    </row>
    <row r="6263" spans="6:6" x14ac:dyDescent="0.25">
      <c r="F6263" s="2"/>
    </row>
    <row r="6264" spans="6:6" x14ac:dyDescent="0.25">
      <c r="F6264" s="2"/>
    </row>
    <row r="6265" spans="6:6" x14ac:dyDescent="0.25">
      <c r="F6265" s="2"/>
    </row>
    <row r="6266" spans="6:6" x14ac:dyDescent="0.25">
      <c r="F6266" s="2"/>
    </row>
    <row r="6267" spans="6:6" x14ac:dyDescent="0.25">
      <c r="F6267" s="2"/>
    </row>
    <row r="6268" spans="6:6" x14ac:dyDescent="0.25">
      <c r="F6268" s="2"/>
    </row>
    <row r="6269" spans="6:6" x14ac:dyDescent="0.25">
      <c r="F6269" s="2"/>
    </row>
    <row r="6270" spans="6:6" x14ac:dyDescent="0.25">
      <c r="F6270" s="2"/>
    </row>
    <row r="6271" spans="6:6" x14ac:dyDescent="0.25">
      <c r="F6271" s="2"/>
    </row>
    <row r="6272" spans="6:6" x14ac:dyDescent="0.25">
      <c r="F6272" s="2"/>
    </row>
    <row r="6273" spans="6:6" x14ac:dyDescent="0.25">
      <c r="F6273" s="2"/>
    </row>
    <row r="6274" spans="6:6" x14ac:dyDescent="0.25">
      <c r="F6274" s="2"/>
    </row>
    <row r="6275" spans="6:6" x14ac:dyDescent="0.25">
      <c r="F6275" s="2"/>
    </row>
    <row r="6276" spans="6:6" x14ac:dyDescent="0.25">
      <c r="F6276" s="2"/>
    </row>
    <row r="6277" spans="6:6" x14ac:dyDescent="0.25">
      <c r="F6277" s="2"/>
    </row>
    <row r="6278" spans="6:6" x14ac:dyDescent="0.25">
      <c r="F6278" s="2"/>
    </row>
    <row r="6279" spans="6:6" x14ac:dyDescent="0.25">
      <c r="F6279" s="2"/>
    </row>
    <row r="6280" spans="6:6" x14ac:dyDescent="0.25">
      <c r="F6280" s="2"/>
    </row>
    <row r="6281" spans="6:6" x14ac:dyDescent="0.25">
      <c r="F6281" s="2"/>
    </row>
    <row r="6282" spans="6:6" x14ac:dyDescent="0.25">
      <c r="F6282" s="2"/>
    </row>
    <row r="6283" spans="6:6" x14ac:dyDescent="0.25">
      <c r="F6283" s="2"/>
    </row>
    <row r="6284" spans="6:6" x14ac:dyDescent="0.25">
      <c r="F6284" s="2"/>
    </row>
    <row r="6285" spans="6:6" x14ac:dyDescent="0.25">
      <c r="F6285" s="2"/>
    </row>
    <row r="6286" spans="6:6" x14ac:dyDescent="0.25">
      <c r="F6286" s="2"/>
    </row>
    <row r="6287" spans="6:6" x14ac:dyDescent="0.25">
      <c r="F6287" s="2"/>
    </row>
    <row r="6288" spans="6:6" x14ac:dyDescent="0.25">
      <c r="F6288" s="2"/>
    </row>
    <row r="6289" spans="6:6" x14ac:dyDescent="0.25">
      <c r="F6289" s="2"/>
    </row>
    <row r="6290" spans="6:6" x14ac:dyDescent="0.25">
      <c r="F6290" s="2"/>
    </row>
    <row r="6291" spans="6:6" x14ac:dyDescent="0.25">
      <c r="F6291" s="2"/>
    </row>
    <row r="6292" spans="6:6" x14ac:dyDescent="0.25">
      <c r="F6292" s="2"/>
    </row>
    <row r="6293" spans="6:6" x14ac:dyDescent="0.25">
      <c r="F6293" s="2"/>
    </row>
    <row r="6294" spans="6:6" x14ac:dyDescent="0.25">
      <c r="F6294" s="2"/>
    </row>
    <row r="6295" spans="6:6" x14ac:dyDescent="0.25">
      <c r="F6295" s="2"/>
    </row>
    <row r="6296" spans="6:6" x14ac:dyDescent="0.25">
      <c r="F6296" s="2"/>
    </row>
    <row r="6297" spans="6:6" x14ac:dyDescent="0.25">
      <c r="F6297" s="2"/>
    </row>
    <row r="6298" spans="6:6" x14ac:dyDescent="0.25">
      <c r="F6298" s="2"/>
    </row>
    <row r="6299" spans="6:6" x14ac:dyDescent="0.25">
      <c r="F6299" s="2"/>
    </row>
    <row r="6300" spans="6:6" x14ac:dyDescent="0.25">
      <c r="F6300" s="2"/>
    </row>
    <row r="6301" spans="6:6" x14ac:dyDescent="0.25">
      <c r="F6301" s="2"/>
    </row>
    <row r="6302" spans="6:6" x14ac:dyDescent="0.25">
      <c r="F6302" s="2"/>
    </row>
    <row r="6303" spans="6:6" x14ac:dyDescent="0.25">
      <c r="F6303" s="2"/>
    </row>
    <row r="6304" spans="6:6" x14ac:dyDescent="0.25">
      <c r="F6304" s="2"/>
    </row>
    <row r="6305" spans="6:6" x14ac:dyDescent="0.25">
      <c r="F6305" s="2"/>
    </row>
    <row r="6306" spans="6:6" x14ac:dyDescent="0.25">
      <c r="F6306" s="2"/>
    </row>
    <row r="6307" spans="6:6" x14ac:dyDescent="0.25">
      <c r="F6307" s="2"/>
    </row>
    <row r="6308" spans="6:6" x14ac:dyDescent="0.25">
      <c r="F6308" s="2"/>
    </row>
    <row r="6309" spans="6:6" x14ac:dyDescent="0.25">
      <c r="F6309" s="2"/>
    </row>
    <row r="6310" spans="6:6" x14ac:dyDescent="0.25">
      <c r="F6310" s="2"/>
    </row>
    <row r="6311" spans="6:6" x14ac:dyDescent="0.25">
      <c r="F6311" s="2"/>
    </row>
    <row r="6312" spans="6:6" x14ac:dyDescent="0.25">
      <c r="F6312" s="2"/>
    </row>
    <row r="6313" spans="6:6" x14ac:dyDescent="0.25">
      <c r="F6313" s="2"/>
    </row>
    <row r="6314" spans="6:6" x14ac:dyDescent="0.25">
      <c r="F6314" s="2"/>
    </row>
    <row r="6315" spans="6:6" x14ac:dyDescent="0.25">
      <c r="F6315" s="2"/>
    </row>
    <row r="6316" spans="6:6" x14ac:dyDescent="0.25">
      <c r="F6316" s="2"/>
    </row>
    <row r="6317" spans="6:6" x14ac:dyDescent="0.25">
      <c r="F6317" s="2"/>
    </row>
    <row r="6318" spans="6:6" x14ac:dyDescent="0.25">
      <c r="F6318" s="2"/>
    </row>
    <row r="6319" spans="6:6" x14ac:dyDescent="0.25">
      <c r="F6319" s="2"/>
    </row>
    <row r="6320" spans="6:6" x14ac:dyDescent="0.25">
      <c r="F6320" s="2"/>
    </row>
    <row r="6321" spans="6:6" x14ac:dyDescent="0.25">
      <c r="F6321" s="2"/>
    </row>
    <row r="6322" spans="6:6" x14ac:dyDescent="0.25">
      <c r="F6322" s="2"/>
    </row>
    <row r="6323" spans="6:6" x14ac:dyDescent="0.25">
      <c r="F6323" s="2"/>
    </row>
    <row r="6324" spans="6:6" x14ac:dyDescent="0.25">
      <c r="F6324" s="2"/>
    </row>
    <row r="6325" spans="6:6" x14ac:dyDescent="0.25">
      <c r="F6325" s="2"/>
    </row>
    <row r="6326" spans="6:6" x14ac:dyDescent="0.25">
      <c r="F6326" s="2"/>
    </row>
    <row r="6327" spans="6:6" x14ac:dyDescent="0.25">
      <c r="F6327" s="2"/>
    </row>
    <row r="6328" spans="6:6" x14ac:dyDescent="0.25">
      <c r="F6328" s="2"/>
    </row>
    <row r="6329" spans="6:6" x14ac:dyDescent="0.25">
      <c r="F6329" s="2"/>
    </row>
    <row r="6330" spans="6:6" x14ac:dyDescent="0.25">
      <c r="F6330" s="2"/>
    </row>
    <row r="6331" spans="6:6" x14ac:dyDescent="0.25">
      <c r="F6331" s="2"/>
    </row>
    <row r="6332" spans="6:6" x14ac:dyDescent="0.25">
      <c r="F6332" s="2"/>
    </row>
    <row r="6333" spans="6:6" x14ac:dyDescent="0.25">
      <c r="F6333" s="2"/>
    </row>
    <row r="6334" spans="6:6" x14ac:dyDescent="0.25">
      <c r="F6334" s="2"/>
    </row>
    <row r="6335" spans="6:6" x14ac:dyDescent="0.25">
      <c r="F6335" s="2"/>
    </row>
    <row r="6336" spans="6:6" x14ac:dyDescent="0.25">
      <c r="F6336" s="2"/>
    </row>
    <row r="6337" spans="6:6" x14ac:dyDescent="0.25">
      <c r="F6337" s="2"/>
    </row>
    <row r="6338" spans="6:6" x14ac:dyDescent="0.25">
      <c r="F6338" s="2"/>
    </row>
    <row r="6339" spans="6:6" x14ac:dyDescent="0.25">
      <c r="F6339" s="2"/>
    </row>
    <row r="6340" spans="6:6" x14ac:dyDescent="0.25">
      <c r="F6340" s="2"/>
    </row>
    <row r="6341" spans="6:6" x14ac:dyDescent="0.25">
      <c r="F6341" s="2"/>
    </row>
    <row r="6342" spans="6:6" x14ac:dyDescent="0.25">
      <c r="F6342" s="2"/>
    </row>
    <row r="6343" spans="6:6" x14ac:dyDescent="0.25">
      <c r="F6343" s="2"/>
    </row>
    <row r="6344" spans="6:6" x14ac:dyDescent="0.25">
      <c r="F6344" s="2"/>
    </row>
    <row r="6345" spans="6:6" x14ac:dyDescent="0.25">
      <c r="F6345" s="2"/>
    </row>
    <row r="6346" spans="6:6" x14ac:dyDescent="0.25">
      <c r="F6346" s="2"/>
    </row>
    <row r="6347" spans="6:6" x14ac:dyDescent="0.25">
      <c r="F6347" s="2"/>
    </row>
    <row r="6348" spans="6:6" x14ac:dyDescent="0.25">
      <c r="F6348" s="2"/>
    </row>
    <row r="6349" spans="6:6" x14ac:dyDescent="0.25">
      <c r="F6349" s="2"/>
    </row>
    <row r="6350" spans="6:6" x14ac:dyDescent="0.25">
      <c r="F6350" s="2"/>
    </row>
    <row r="6351" spans="6:6" x14ac:dyDescent="0.25">
      <c r="F6351" s="2"/>
    </row>
    <row r="6352" spans="6:6" x14ac:dyDescent="0.25">
      <c r="F6352" s="2"/>
    </row>
    <row r="6353" spans="6:6" x14ac:dyDescent="0.25">
      <c r="F6353" s="2"/>
    </row>
    <row r="6354" spans="6:6" x14ac:dyDescent="0.25">
      <c r="F6354" s="2"/>
    </row>
    <row r="6355" spans="6:6" x14ac:dyDescent="0.25">
      <c r="F6355" s="2"/>
    </row>
    <row r="6356" spans="6:6" x14ac:dyDescent="0.25">
      <c r="F6356" s="2"/>
    </row>
    <row r="6357" spans="6:6" x14ac:dyDescent="0.25">
      <c r="F6357" s="2"/>
    </row>
    <row r="6358" spans="6:6" x14ac:dyDescent="0.25">
      <c r="F6358" s="2"/>
    </row>
    <row r="6359" spans="6:6" x14ac:dyDescent="0.25">
      <c r="F6359" s="2"/>
    </row>
    <row r="6360" spans="6:6" x14ac:dyDescent="0.25">
      <c r="F6360" s="2"/>
    </row>
    <row r="6361" spans="6:6" x14ac:dyDescent="0.25">
      <c r="F6361" s="2"/>
    </row>
    <row r="6362" spans="6:6" x14ac:dyDescent="0.25">
      <c r="F6362" s="2"/>
    </row>
    <row r="6363" spans="6:6" x14ac:dyDescent="0.25">
      <c r="F6363" s="2"/>
    </row>
    <row r="6364" spans="6:6" x14ac:dyDescent="0.25">
      <c r="F6364" s="2"/>
    </row>
    <row r="6365" spans="6:6" x14ac:dyDescent="0.25">
      <c r="F6365" s="2"/>
    </row>
    <row r="6366" spans="6:6" x14ac:dyDescent="0.25">
      <c r="F6366" s="2"/>
    </row>
    <row r="6367" spans="6:6" x14ac:dyDescent="0.25">
      <c r="F6367" s="2"/>
    </row>
    <row r="6368" spans="6:6" x14ac:dyDescent="0.25">
      <c r="F6368" s="2"/>
    </row>
    <row r="6369" spans="6:6" x14ac:dyDescent="0.25">
      <c r="F6369" s="2"/>
    </row>
    <row r="6370" spans="6:6" x14ac:dyDescent="0.25">
      <c r="F6370" s="2"/>
    </row>
    <row r="6371" spans="6:6" x14ac:dyDescent="0.25">
      <c r="F6371" s="2"/>
    </row>
    <row r="6372" spans="6:6" x14ac:dyDescent="0.25">
      <c r="F6372" s="2"/>
    </row>
    <row r="6373" spans="6:6" x14ac:dyDescent="0.25">
      <c r="F6373" s="2"/>
    </row>
    <row r="6374" spans="6:6" x14ac:dyDescent="0.25">
      <c r="F6374" s="2"/>
    </row>
    <row r="6375" spans="6:6" x14ac:dyDescent="0.25">
      <c r="F6375" s="2"/>
    </row>
    <row r="6376" spans="6:6" x14ac:dyDescent="0.25">
      <c r="F6376" s="2"/>
    </row>
    <row r="6377" spans="6:6" x14ac:dyDescent="0.25">
      <c r="F6377" s="2"/>
    </row>
    <row r="6378" spans="6:6" x14ac:dyDescent="0.25">
      <c r="F6378" s="2"/>
    </row>
    <row r="6379" spans="6:6" x14ac:dyDescent="0.25">
      <c r="F6379" s="2"/>
    </row>
    <row r="6380" spans="6:6" x14ac:dyDescent="0.25">
      <c r="F6380" s="2"/>
    </row>
    <row r="6381" spans="6:6" x14ac:dyDescent="0.25">
      <c r="F6381" s="2"/>
    </row>
    <row r="6382" spans="6:6" x14ac:dyDescent="0.25">
      <c r="F6382" s="2"/>
    </row>
    <row r="6383" spans="6:6" x14ac:dyDescent="0.25">
      <c r="F6383" s="2"/>
    </row>
    <row r="6384" spans="6:6" x14ac:dyDescent="0.25">
      <c r="F6384" s="2"/>
    </row>
    <row r="6385" spans="6:6" x14ac:dyDescent="0.25">
      <c r="F6385" s="2"/>
    </row>
    <row r="6386" spans="6:6" x14ac:dyDescent="0.25">
      <c r="F6386" s="2"/>
    </row>
    <row r="6387" spans="6:6" x14ac:dyDescent="0.25">
      <c r="F6387" s="2"/>
    </row>
    <row r="6388" spans="6:6" x14ac:dyDescent="0.25">
      <c r="F6388" s="2"/>
    </row>
    <row r="6389" spans="6:6" x14ac:dyDescent="0.25">
      <c r="F6389" s="2"/>
    </row>
    <row r="6390" spans="6:6" x14ac:dyDescent="0.25">
      <c r="F6390" s="2"/>
    </row>
    <row r="6391" spans="6:6" x14ac:dyDescent="0.25">
      <c r="F6391" s="2"/>
    </row>
    <row r="6392" spans="6:6" x14ac:dyDescent="0.25">
      <c r="F6392" s="2"/>
    </row>
    <row r="6393" spans="6:6" x14ac:dyDescent="0.25">
      <c r="F6393" s="2"/>
    </row>
    <row r="6394" spans="6:6" x14ac:dyDescent="0.25">
      <c r="F6394" s="2"/>
    </row>
    <row r="6395" spans="6:6" x14ac:dyDescent="0.25">
      <c r="F6395" s="2"/>
    </row>
    <row r="6396" spans="6:6" x14ac:dyDescent="0.25">
      <c r="F6396" s="2"/>
    </row>
    <row r="6397" spans="6:6" x14ac:dyDescent="0.25">
      <c r="F6397" s="2"/>
    </row>
    <row r="6398" spans="6:6" x14ac:dyDescent="0.25">
      <c r="F6398" s="2"/>
    </row>
    <row r="6399" spans="6:6" x14ac:dyDescent="0.25">
      <c r="F6399" s="2"/>
    </row>
    <row r="6400" spans="6:6" x14ac:dyDescent="0.25">
      <c r="F6400" s="2"/>
    </row>
    <row r="6401" spans="6:6" x14ac:dyDescent="0.25">
      <c r="F6401" s="2"/>
    </row>
    <row r="6402" spans="6:6" x14ac:dyDescent="0.25">
      <c r="F6402" s="2"/>
    </row>
    <row r="6403" spans="6:6" x14ac:dyDescent="0.25">
      <c r="F6403" s="2"/>
    </row>
    <row r="6404" spans="6:6" x14ac:dyDescent="0.25">
      <c r="F6404" s="2"/>
    </row>
    <row r="6405" spans="6:6" x14ac:dyDescent="0.25">
      <c r="F6405" s="2"/>
    </row>
    <row r="6406" spans="6:6" x14ac:dyDescent="0.25">
      <c r="F6406" s="2"/>
    </row>
    <row r="6407" spans="6:6" x14ac:dyDescent="0.25">
      <c r="F6407" s="2"/>
    </row>
    <row r="6408" spans="6:6" x14ac:dyDescent="0.25">
      <c r="F6408" s="2"/>
    </row>
    <row r="6409" spans="6:6" x14ac:dyDescent="0.25">
      <c r="F6409" s="2"/>
    </row>
    <row r="6410" spans="6:6" x14ac:dyDescent="0.25">
      <c r="F6410" s="2"/>
    </row>
    <row r="6411" spans="6:6" x14ac:dyDescent="0.25">
      <c r="F6411" s="2"/>
    </row>
    <row r="6412" spans="6:6" x14ac:dyDescent="0.25">
      <c r="F6412" s="2"/>
    </row>
    <row r="6413" spans="6:6" x14ac:dyDescent="0.25">
      <c r="F6413" s="2"/>
    </row>
    <row r="6414" spans="6:6" x14ac:dyDescent="0.25">
      <c r="F6414" s="2"/>
    </row>
    <row r="6415" spans="6:6" x14ac:dyDescent="0.25">
      <c r="F6415" s="2"/>
    </row>
    <row r="6416" spans="6:6" x14ac:dyDescent="0.25">
      <c r="F6416" s="2"/>
    </row>
    <row r="6417" spans="6:6" x14ac:dyDescent="0.25">
      <c r="F6417" s="2"/>
    </row>
    <row r="6418" spans="6:6" x14ac:dyDescent="0.25">
      <c r="F6418" s="2"/>
    </row>
    <row r="6419" spans="6:6" x14ac:dyDescent="0.25">
      <c r="F6419" s="2"/>
    </row>
    <row r="6420" spans="6:6" x14ac:dyDescent="0.25">
      <c r="F6420" s="2"/>
    </row>
    <row r="6421" spans="6:6" x14ac:dyDescent="0.25">
      <c r="F6421" s="2"/>
    </row>
    <row r="6422" spans="6:6" x14ac:dyDescent="0.25">
      <c r="F6422" s="2"/>
    </row>
    <row r="6423" spans="6:6" x14ac:dyDescent="0.25">
      <c r="F6423" s="2"/>
    </row>
    <row r="6424" spans="6:6" x14ac:dyDescent="0.25">
      <c r="F6424" s="2"/>
    </row>
    <row r="6425" spans="6:6" x14ac:dyDescent="0.25">
      <c r="F6425" s="2"/>
    </row>
    <row r="6426" spans="6:6" x14ac:dyDescent="0.25">
      <c r="F6426" s="2"/>
    </row>
    <row r="6427" spans="6:6" x14ac:dyDescent="0.25">
      <c r="F6427" s="2"/>
    </row>
    <row r="6428" spans="6:6" x14ac:dyDescent="0.25">
      <c r="F6428" s="2"/>
    </row>
    <row r="6429" spans="6:6" x14ac:dyDescent="0.25">
      <c r="F6429" s="2"/>
    </row>
    <row r="6430" spans="6:6" x14ac:dyDescent="0.25">
      <c r="F6430" s="2"/>
    </row>
    <row r="6431" spans="6:6" x14ac:dyDescent="0.25">
      <c r="F6431" s="2"/>
    </row>
    <row r="6432" spans="6:6" x14ac:dyDescent="0.25">
      <c r="F6432" s="2"/>
    </row>
    <row r="6433" spans="6:6" x14ac:dyDescent="0.25">
      <c r="F6433" s="2"/>
    </row>
    <row r="6434" spans="6:6" x14ac:dyDescent="0.25">
      <c r="F6434" s="2"/>
    </row>
    <row r="6435" spans="6:6" x14ac:dyDescent="0.25">
      <c r="F6435" s="2"/>
    </row>
    <row r="6436" spans="6:6" x14ac:dyDescent="0.25">
      <c r="F6436" s="2"/>
    </row>
    <row r="6437" spans="6:6" x14ac:dyDescent="0.25">
      <c r="F6437" s="2"/>
    </row>
    <row r="6438" spans="6:6" x14ac:dyDescent="0.25">
      <c r="F6438" s="2"/>
    </row>
    <row r="6439" spans="6:6" x14ac:dyDescent="0.25">
      <c r="F6439" s="2"/>
    </row>
    <row r="6440" spans="6:6" x14ac:dyDescent="0.25">
      <c r="F6440" s="2"/>
    </row>
    <row r="6441" spans="6:6" x14ac:dyDescent="0.25">
      <c r="F6441" s="2"/>
    </row>
    <row r="6442" spans="6:6" x14ac:dyDescent="0.25">
      <c r="F6442" s="2"/>
    </row>
    <row r="6443" spans="6:6" x14ac:dyDescent="0.25">
      <c r="F6443" s="2"/>
    </row>
    <row r="6444" spans="6:6" x14ac:dyDescent="0.25">
      <c r="F6444" s="2"/>
    </row>
    <row r="6445" spans="6:6" x14ac:dyDescent="0.25">
      <c r="F6445" s="2"/>
    </row>
    <row r="6446" spans="6:6" x14ac:dyDescent="0.25">
      <c r="F6446" s="2"/>
    </row>
    <row r="6447" spans="6:6" x14ac:dyDescent="0.25">
      <c r="F6447" s="2"/>
    </row>
    <row r="6448" spans="6:6" x14ac:dyDescent="0.25">
      <c r="F6448" s="2"/>
    </row>
    <row r="6449" spans="6:6" x14ac:dyDescent="0.25">
      <c r="F6449" s="2"/>
    </row>
    <row r="6450" spans="6:6" x14ac:dyDescent="0.25">
      <c r="F6450" s="2"/>
    </row>
    <row r="6451" spans="6:6" x14ac:dyDescent="0.25">
      <c r="F6451" s="2"/>
    </row>
    <row r="6452" spans="6:6" x14ac:dyDescent="0.25">
      <c r="F6452" s="2"/>
    </row>
    <row r="6453" spans="6:6" x14ac:dyDescent="0.25">
      <c r="F6453" s="2"/>
    </row>
    <row r="6454" spans="6:6" x14ac:dyDescent="0.25">
      <c r="F6454" s="2"/>
    </row>
    <row r="6455" spans="6:6" x14ac:dyDescent="0.25">
      <c r="F6455" s="2"/>
    </row>
    <row r="6456" spans="6:6" x14ac:dyDescent="0.25">
      <c r="F6456" s="2"/>
    </row>
    <row r="6457" spans="6:6" x14ac:dyDescent="0.25">
      <c r="F6457" s="2"/>
    </row>
    <row r="6458" spans="6:6" x14ac:dyDescent="0.25">
      <c r="F6458" s="2"/>
    </row>
    <row r="6459" spans="6:6" x14ac:dyDescent="0.25">
      <c r="F6459" s="2"/>
    </row>
    <row r="6460" spans="6:6" x14ac:dyDescent="0.25">
      <c r="F6460" s="2"/>
    </row>
    <row r="6461" spans="6:6" x14ac:dyDescent="0.25">
      <c r="F6461" s="2"/>
    </row>
    <row r="6462" spans="6:6" x14ac:dyDescent="0.25">
      <c r="F6462" s="2"/>
    </row>
    <row r="6463" spans="6:6" x14ac:dyDescent="0.25">
      <c r="F6463" s="2"/>
    </row>
    <row r="6464" spans="6:6" x14ac:dyDescent="0.25">
      <c r="F6464" s="2"/>
    </row>
    <row r="6465" spans="6:6" x14ac:dyDescent="0.25">
      <c r="F6465" s="2"/>
    </row>
    <row r="6466" spans="6:6" x14ac:dyDescent="0.25">
      <c r="F6466" s="2"/>
    </row>
    <row r="6467" spans="6:6" x14ac:dyDescent="0.25">
      <c r="F6467" s="2"/>
    </row>
    <row r="6468" spans="6:6" x14ac:dyDescent="0.25">
      <c r="F6468" s="2"/>
    </row>
    <row r="6469" spans="6:6" x14ac:dyDescent="0.25">
      <c r="F6469" s="2"/>
    </row>
    <row r="6470" spans="6:6" x14ac:dyDescent="0.25">
      <c r="F6470" s="2"/>
    </row>
    <row r="6471" spans="6:6" x14ac:dyDescent="0.25">
      <c r="F6471" s="2"/>
    </row>
    <row r="6472" spans="6:6" x14ac:dyDescent="0.25">
      <c r="F6472" s="2"/>
    </row>
    <row r="6473" spans="6:6" x14ac:dyDescent="0.25">
      <c r="F6473" s="2"/>
    </row>
    <row r="6474" spans="6:6" x14ac:dyDescent="0.25">
      <c r="F6474" s="2"/>
    </row>
    <row r="6475" spans="6:6" x14ac:dyDescent="0.25">
      <c r="F6475" s="2"/>
    </row>
    <row r="6476" spans="6:6" x14ac:dyDescent="0.25">
      <c r="F6476" s="2"/>
    </row>
    <row r="6477" spans="6:6" x14ac:dyDescent="0.25">
      <c r="F6477" s="2"/>
    </row>
    <row r="6478" spans="6:6" x14ac:dyDescent="0.25">
      <c r="F6478" s="2"/>
    </row>
    <row r="6479" spans="6:6" x14ac:dyDescent="0.25">
      <c r="F6479" s="2"/>
    </row>
    <row r="6480" spans="6:6" x14ac:dyDescent="0.25">
      <c r="F6480" s="2"/>
    </row>
    <row r="6481" spans="6:6" x14ac:dyDescent="0.25">
      <c r="F6481" s="2"/>
    </row>
    <row r="6482" spans="6:6" x14ac:dyDescent="0.25">
      <c r="F6482" s="2"/>
    </row>
    <row r="6483" spans="6:6" x14ac:dyDescent="0.25">
      <c r="F6483" s="2"/>
    </row>
    <row r="6484" spans="6:6" x14ac:dyDescent="0.25">
      <c r="F6484" s="2"/>
    </row>
    <row r="6485" spans="6:6" x14ac:dyDescent="0.25">
      <c r="F6485" s="2"/>
    </row>
    <row r="6486" spans="6:6" x14ac:dyDescent="0.25">
      <c r="F6486" s="2"/>
    </row>
    <row r="6487" spans="6:6" x14ac:dyDescent="0.25">
      <c r="F6487" s="2"/>
    </row>
    <row r="6488" spans="6:6" x14ac:dyDescent="0.25">
      <c r="F6488" s="2"/>
    </row>
    <row r="6489" spans="6:6" x14ac:dyDescent="0.25">
      <c r="F6489" s="2"/>
    </row>
    <row r="6490" spans="6:6" x14ac:dyDescent="0.25">
      <c r="F6490" s="2"/>
    </row>
    <row r="6491" spans="6:6" x14ac:dyDescent="0.25">
      <c r="F6491" s="2"/>
    </row>
    <row r="6492" spans="6:6" x14ac:dyDescent="0.25">
      <c r="F6492" s="2"/>
    </row>
    <row r="6493" spans="6:6" x14ac:dyDescent="0.25">
      <c r="F6493" s="2"/>
    </row>
    <row r="6494" spans="6:6" x14ac:dyDescent="0.25">
      <c r="F6494" s="2"/>
    </row>
    <row r="6495" spans="6:6" x14ac:dyDescent="0.25">
      <c r="F6495" s="2"/>
    </row>
    <row r="6496" spans="6:6" x14ac:dyDescent="0.25">
      <c r="F6496" s="2"/>
    </row>
    <row r="6497" spans="6:6" x14ac:dyDescent="0.25">
      <c r="F6497" s="2"/>
    </row>
    <row r="6498" spans="6:6" x14ac:dyDescent="0.25">
      <c r="F6498" s="2"/>
    </row>
    <row r="6499" spans="6:6" x14ac:dyDescent="0.25">
      <c r="F6499" s="2"/>
    </row>
    <row r="6500" spans="6:6" x14ac:dyDescent="0.25">
      <c r="F6500" s="2"/>
    </row>
    <row r="6501" spans="6:6" x14ac:dyDescent="0.25">
      <c r="F6501" s="2"/>
    </row>
    <row r="6502" spans="6:6" x14ac:dyDescent="0.25">
      <c r="F6502" s="2"/>
    </row>
    <row r="6503" spans="6:6" x14ac:dyDescent="0.25">
      <c r="F6503" s="2"/>
    </row>
    <row r="6504" spans="6:6" x14ac:dyDescent="0.25">
      <c r="F6504" s="2"/>
    </row>
    <row r="6505" spans="6:6" x14ac:dyDescent="0.25">
      <c r="F6505" s="2"/>
    </row>
    <row r="6506" spans="6:6" x14ac:dyDescent="0.25">
      <c r="F6506" s="2"/>
    </row>
    <row r="6507" spans="6:6" x14ac:dyDescent="0.25">
      <c r="F6507" s="2"/>
    </row>
    <row r="6508" spans="6:6" x14ac:dyDescent="0.25">
      <c r="F6508" s="2"/>
    </row>
    <row r="6509" spans="6:6" x14ac:dyDescent="0.25">
      <c r="F6509" s="2"/>
    </row>
    <row r="6510" spans="6:6" x14ac:dyDescent="0.25">
      <c r="F6510" s="2"/>
    </row>
    <row r="6511" spans="6:6" x14ac:dyDescent="0.25">
      <c r="F6511" s="2"/>
    </row>
    <row r="6512" spans="6:6" x14ac:dyDescent="0.25">
      <c r="F6512" s="2"/>
    </row>
    <row r="6513" spans="6:6" x14ac:dyDescent="0.25">
      <c r="F6513" s="2"/>
    </row>
    <row r="6514" spans="6:6" x14ac:dyDescent="0.25">
      <c r="F6514" s="2"/>
    </row>
    <row r="6515" spans="6:6" x14ac:dyDescent="0.25">
      <c r="F6515" s="2"/>
    </row>
    <row r="6516" spans="6:6" x14ac:dyDescent="0.25">
      <c r="F6516" s="2"/>
    </row>
    <row r="6517" spans="6:6" x14ac:dyDescent="0.25">
      <c r="F6517" s="2"/>
    </row>
    <row r="6518" spans="6:6" x14ac:dyDescent="0.25">
      <c r="F6518" s="2"/>
    </row>
    <row r="6519" spans="6:6" x14ac:dyDescent="0.25">
      <c r="F6519" s="2"/>
    </row>
    <row r="6520" spans="6:6" x14ac:dyDescent="0.25">
      <c r="F6520" s="2"/>
    </row>
    <row r="6521" spans="6:6" x14ac:dyDescent="0.25">
      <c r="F6521" s="2"/>
    </row>
    <row r="6522" spans="6:6" x14ac:dyDescent="0.25">
      <c r="F6522" s="2"/>
    </row>
    <row r="6523" spans="6:6" x14ac:dyDescent="0.25">
      <c r="F6523" s="2"/>
    </row>
    <row r="6524" spans="6:6" x14ac:dyDescent="0.25">
      <c r="F6524" s="2"/>
    </row>
    <row r="6525" spans="6:6" x14ac:dyDescent="0.25">
      <c r="F6525" s="2"/>
    </row>
    <row r="6526" spans="6:6" x14ac:dyDescent="0.25">
      <c r="F6526" s="2"/>
    </row>
    <row r="6527" spans="6:6" x14ac:dyDescent="0.25">
      <c r="F6527" s="2"/>
    </row>
    <row r="6528" spans="6:6" x14ac:dyDescent="0.25">
      <c r="F6528" s="2"/>
    </row>
    <row r="6529" spans="6:6" x14ac:dyDescent="0.25">
      <c r="F6529" s="2"/>
    </row>
    <row r="6530" spans="6:6" x14ac:dyDescent="0.25">
      <c r="F6530" s="2"/>
    </row>
    <row r="6531" spans="6:6" x14ac:dyDescent="0.25">
      <c r="F6531" s="2"/>
    </row>
    <row r="6532" spans="6:6" x14ac:dyDescent="0.25">
      <c r="F6532" s="2"/>
    </row>
    <row r="6533" spans="6:6" x14ac:dyDescent="0.25">
      <c r="F6533" s="2"/>
    </row>
    <row r="6534" spans="6:6" x14ac:dyDescent="0.25">
      <c r="F6534" s="2"/>
    </row>
    <row r="6535" spans="6:6" x14ac:dyDescent="0.25">
      <c r="F6535" s="2"/>
    </row>
    <row r="6536" spans="6:6" x14ac:dyDescent="0.25">
      <c r="F6536" s="2"/>
    </row>
    <row r="6537" spans="6:6" x14ac:dyDescent="0.25">
      <c r="F6537" s="2"/>
    </row>
    <row r="6538" spans="6:6" x14ac:dyDescent="0.25">
      <c r="F6538" s="2"/>
    </row>
    <row r="6539" spans="6:6" x14ac:dyDescent="0.25">
      <c r="F6539" s="2"/>
    </row>
    <row r="6540" spans="6:6" x14ac:dyDescent="0.25">
      <c r="F6540" s="2"/>
    </row>
    <row r="6541" spans="6:6" x14ac:dyDescent="0.25">
      <c r="F6541" s="2"/>
    </row>
    <row r="6542" spans="6:6" x14ac:dyDescent="0.25">
      <c r="F6542" s="2"/>
    </row>
    <row r="6543" spans="6:6" x14ac:dyDescent="0.25">
      <c r="F6543" s="2"/>
    </row>
    <row r="6544" spans="6:6" x14ac:dyDescent="0.25">
      <c r="F6544" s="2"/>
    </row>
    <row r="6545" spans="6:6" x14ac:dyDescent="0.25">
      <c r="F6545" s="2"/>
    </row>
    <row r="6546" spans="6:6" x14ac:dyDescent="0.25">
      <c r="F6546" s="2"/>
    </row>
    <row r="6547" spans="6:6" x14ac:dyDescent="0.25">
      <c r="F6547" s="2"/>
    </row>
    <row r="6548" spans="6:6" x14ac:dyDescent="0.25">
      <c r="F6548" s="2"/>
    </row>
    <row r="6549" spans="6:6" x14ac:dyDescent="0.25">
      <c r="F6549" s="2"/>
    </row>
    <row r="6550" spans="6:6" x14ac:dyDescent="0.25">
      <c r="F6550" s="2"/>
    </row>
    <row r="6551" spans="6:6" x14ac:dyDescent="0.25">
      <c r="F6551" s="2"/>
    </row>
    <row r="6552" spans="6:6" x14ac:dyDescent="0.25">
      <c r="F6552" s="2"/>
    </row>
    <row r="6553" spans="6:6" x14ac:dyDescent="0.25">
      <c r="F6553" s="2"/>
    </row>
    <row r="6554" spans="6:6" x14ac:dyDescent="0.25">
      <c r="F6554" s="2"/>
    </row>
    <row r="6555" spans="6:6" x14ac:dyDescent="0.25">
      <c r="F6555" s="2"/>
    </row>
    <row r="6556" spans="6:6" x14ac:dyDescent="0.25">
      <c r="F6556" s="2"/>
    </row>
    <row r="6557" spans="6:6" x14ac:dyDescent="0.25">
      <c r="F6557" s="2"/>
    </row>
    <row r="6558" spans="6:6" x14ac:dyDescent="0.25">
      <c r="F6558" s="2"/>
    </row>
    <row r="6559" spans="6:6" x14ac:dyDescent="0.25">
      <c r="F6559" s="2"/>
    </row>
    <row r="6560" spans="6:6" x14ac:dyDescent="0.25">
      <c r="F6560" s="2"/>
    </row>
    <row r="6561" spans="6:6" x14ac:dyDescent="0.25">
      <c r="F6561" s="2"/>
    </row>
    <row r="6562" spans="6:6" x14ac:dyDescent="0.25">
      <c r="F6562" s="2"/>
    </row>
    <row r="6563" spans="6:6" x14ac:dyDescent="0.25">
      <c r="F6563" s="2"/>
    </row>
    <row r="6564" spans="6:6" x14ac:dyDescent="0.25">
      <c r="F6564" s="2"/>
    </row>
    <row r="6565" spans="6:6" x14ac:dyDescent="0.25">
      <c r="F6565" s="2"/>
    </row>
    <row r="6566" spans="6:6" x14ac:dyDescent="0.25">
      <c r="F6566" s="2"/>
    </row>
    <row r="6567" spans="6:6" x14ac:dyDescent="0.25">
      <c r="F6567" s="2"/>
    </row>
    <row r="6568" spans="6:6" x14ac:dyDescent="0.25">
      <c r="F6568" s="2"/>
    </row>
    <row r="6569" spans="6:6" x14ac:dyDescent="0.25">
      <c r="F6569" s="2"/>
    </row>
    <row r="6570" spans="6:6" x14ac:dyDescent="0.25">
      <c r="F6570" s="2"/>
    </row>
    <row r="6571" spans="6:6" x14ac:dyDescent="0.25">
      <c r="F6571" s="2"/>
    </row>
    <row r="6572" spans="6:6" x14ac:dyDescent="0.25">
      <c r="F6572" s="2"/>
    </row>
    <row r="6573" spans="6:6" x14ac:dyDescent="0.25">
      <c r="F6573" s="2"/>
    </row>
    <row r="6574" spans="6:6" x14ac:dyDescent="0.25">
      <c r="F6574" s="2"/>
    </row>
    <row r="6575" spans="6:6" x14ac:dyDescent="0.25">
      <c r="F6575" s="2"/>
    </row>
    <row r="6576" spans="6:6" x14ac:dyDescent="0.25">
      <c r="F6576" s="2"/>
    </row>
    <row r="6577" spans="6:6" x14ac:dyDescent="0.25">
      <c r="F6577" s="2"/>
    </row>
    <row r="6578" spans="6:6" x14ac:dyDescent="0.25">
      <c r="F6578" s="2"/>
    </row>
    <row r="6579" spans="6:6" x14ac:dyDescent="0.25">
      <c r="F6579" s="2"/>
    </row>
    <row r="6580" spans="6:6" x14ac:dyDescent="0.25">
      <c r="F6580" s="2"/>
    </row>
    <row r="6581" spans="6:6" x14ac:dyDescent="0.25">
      <c r="F6581" s="2"/>
    </row>
    <row r="6582" spans="6:6" x14ac:dyDescent="0.25">
      <c r="F6582" s="2"/>
    </row>
    <row r="6583" spans="6:6" x14ac:dyDescent="0.25">
      <c r="F6583" s="2"/>
    </row>
    <row r="6584" spans="6:6" x14ac:dyDescent="0.25">
      <c r="F6584" s="2"/>
    </row>
    <row r="6585" spans="6:6" x14ac:dyDescent="0.25">
      <c r="F6585" s="2"/>
    </row>
    <row r="6586" spans="6:6" x14ac:dyDescent="0.25">
      <c r="F6586" s="2"/>
    </row>
    <row r="6587" spans="6:6" x14ac:dyDescent="0.25">
      <c r="F6587" s="2"/>
    </row>
    <row r="6588" spans="6:6" x14ac:dyDescent="0.25">
      <c r="F6588" s="2"/>
    </row>
    <row r="6589" spans="6:6" x14ac:dyDescent="0.25">
      <c r="F6589" s="2"/>
    </row>
    <row r="6590" spans="6:6" x14ac:dyDescent="0.25">
      <c r="F6590" s="2"/>
    </row>
    <row r="6591" spans="6:6" x14ac:dyDescent="0.25">
      <c r="F6591" s="2"/>
    </row>
    <row r="6592" spans="6:6" x14ac:dyDescent="0.25">
      <c r="F6592" s="2"/>
    </row>
    <row r="6593" spans="6:6" x14ac:dyDescent="0.25">
      <c r="F6593" s="2"/>
    </row>
    <row r="6594" spans="6:6" x14ac:dyDescent="0.25">
      <c r="F6594" s="2"/>
    </row>
    <row r="6595" spans="6:6" x14ac:dyDescent="0.25">
      <c r="F6595" s="2"/>
    </row>
    <row r="6596" spans="6:6" x14ac:dyDescent="0.25">
      <c r="F6596" s="2"/>
    </row>
    <row r="6597" spans="6:6" x14ac:dyDescent="0.25">
      <c r="F6597" s="2"/>
    </row>
    <row r="6598" spans="6:6" x14ac:dyDescent="0.25">
      <c r="F6598" s="2"/>
    </row>
    <row r="6599" spans="6:6" x14ac:dyDescent="0.25">
      <c r="F6599" s="2"/>
    </row>
    <row r="6600" spans="6:6" x14ac:dyDescent="0.25">
      <c r="F6600" s="2"/>
    </row>
    <row r="6601" spans="6:6" x14ac:dyDescent="0.25">
      <c r="F6601" s="2"/>
    </row>
    <row r="6602" spans="6:6" x14ac:dyDescent="0.25">
      <c r="F6602" s="2"/>
    </row>
    <row r="6603" spans="6:6" x14ac:dyDescent="0.25">
      <c r="F6603" s="2"/>
    </row>
    <row r="6604" spans="6:6" x14ac:dyDescent="0.25">
      <c r="F6604" s="2"/>
    </row>
    <row r="6605" spans="6:6" x14ac:dyDescent="0.25">
      <c r="F6605" s="2"/>
    </row>
    <row r="6606" spans="6:6" x14ac:dyDescent="0.25">
      <c r="F6606" s="2"/>
    </row>
    <row r="6607" spans="6:6" x14ac:dyDescent="0.25">
      <c r="F6607" s="2"/>
    </row>
    <row r="6608" spans="6:6" x14ac:dyDescent="0.25">
      <c r="F6608" s="2"/>
    </row>
    <row r="6609" spans="6:6" x14ac:dyDescent="0.25">
      <c r="F6609" s="2"/>
    </row>
    <row r="6610" spans="6:6" x14ac:dyDescent="0.25">
      <c r="F6610" s="2"/>
    </row>
    <row r="6611" spans="6:6" x14ac:dyDescent="0.25">
      <c r="F6611" s="2"/>
    </row>
    <row r="6612" spans="6:6" x14ac:dyDescent="0.25">
      <c r="F6612" s="2"/>
    </row>
    <row r="6613" spans="6:6" x14ac:dyDescent="0.25">
      <c r="F6613" s="2"/>
    </row>
    <row r="6614" spans="6:6" x14ac:dyDescent="0.25">
      <c r="F6614" s="2"/>
    </row>
    <row r="6615" spans="6:6" x14ac:dyDescent="0.25">
      <c r="F6615" s="2"/>
    </row>
    <row r="6616" spans="6:6" x14ac:dyDescent="0.25">
      <c r="F6616" s="2"/>
    </row>
    <row r="6617" spans="6:6" x14ac:dyDescent="0.25">
      <c r="F6617" s="2"/>
    </row>
    <row r="6618" spans="6:6" x14ac:dyDescent="0.25">
      <c r="F6618" s="2"/>
    </row>
    <row r="6619" spans="6:6" x14ac:dyDescent="0.25">
      <c r="F6619" s="2"/>
    </row>
    <row r="6620" spans="6:6" x14ac:dyDescent="0.25">
      <c r="F6620" s="2"/>
    </row>
    <row r="6621" spans="6:6" x14ac:dyDescent="0.25">
      <c r="F6621" s="2"/>
    </row>
    <row r="6622" spans="6:6" x14ac:dyDescent="0.25">
      <c r="F6622" s="2"/>
    </row>
    <row r="6623" spans="6:6" x14ac:dyDescent="0.25">
      <c r="F6623" s="2"/>
    </row>
    <row r="6624" spans="6:6" x14ac:dyDescent="0.25">
      <c r="F6624" s="2"/>
    </row>
    <row r="6625" spans="6:6" x14ac:dyDescent="0.25">
      <c r="F6625" s="2"/>
    </row>
    <row r="6626" spans="6:6" x14ac:dyDescent="0.25">
      <c r="F6626" s="2"/>
    </row>
    <row r="6627" spans="6:6" x14ac:dyDescent="0.25">
      <c r="F6627" s="2"/>
    </row>
    <row r="6628" spans="6:6" x14ac:dyDescent="0.25">
      <c r="F6628" s="2"/>
    </row>
    <row r="6629" spans="6:6" x14ac:dyDescent="0.25">
      <c r="F6629" s="2"/>
    </row>
    <row r="6630" spans="6:6" x14ac:dyDescent="0.25">
      <c r="F6630" s="2"/>
    </row>
    <row r="6631" spans="6:6" x14ac:dyDescent="0.25">
      <c r="F6631" s="2"/>
    </row>
    <row r="6632" spans="6:6" x14ac:dyDescent="0.25">
      <c r="F6632" s="2"/>
    </row>
    <row r="6633" spans="6:6" x14ac:dyDescent="0.25">
      <c r="F6633" s="2"/>
    </row>
    <row r="6634" spans="6:6" x14ac:dyDescent="0.25">
      <c r="F6634" s="2"/>
    </row>
    <row r="6635" spans="6:6" x14ac:dyDescent="0.25">
      <c r="F6635" s="2"/>
    </row>
    <row r="6636" spans="6:6" x14ac:dyDescent="0.25">
      <c r="F6636" s="2"/>
    </row>
    <row r="6637" spans="6:6" x14ac:dyDescent="0.25">
      <c r="F6637" s="2"/>
    </row>
    <row r="6638" spans="6:6" x14ac:dyDescent="0.25">
      <c r="F6638" s="2"/>
    </row>
    <row r="6639" spans="6:6" x14ac:dyDescent="0.25">
      <c r="F6639" s="2"/>
    </row>
    <row r="6640" spans="6:6" x14ac:dyDescent="0.25">
      <c r="F6640" s="2"/>
    </row>
    <row r="6641" spans="6:6" x14ac:dyDescent="0.25">
      <c r="F6641" s="2"/>
    </row>
    <row r="6642" spans="6:6" x14ac:dyDescent="0.25">
      <c r="F6642" s="2"/>
    </row>
    <row r="6643" spans="6:6" x14ac:dyDescent="0.25">
      <c r="F6643" s="2"/>
    </row>
    <row r="6644" spans="6:6" x14ac:dyDescent="0.25">
      <c r="F6644" s="2"/>
    </row>
    <row r="6645" spans="6:6" x14ac:dyDescent="0.25">
      <c r="F6645" s="2"/>
    </row>
    <row r="6646" spans="6:6" x14ac:dyDescent="0.25">
      <c r="F6646" s="2"/>
    </row>
    <row r="6647" spans="6:6" x14ac:dyDescent="0.25">
      <c r="F6647" s="2"/>
    </row>
    <row r="6648" spans="6:6" x14ac:dyDescent="0.25">
      <c r="F6648" s="2"/>
    </row>
    <row r="6649" spans="6:6" x14ac:dyDescent="0.25">
      <c r="F6649" s="2"/>
    </row>
    <row r="6650" spans="6:6" x14ac:dyDescent="0.25">
      <c r="F6650" s="2"/>
    </row>
    <row r="6651" spans="6:6" x14ac:dyDescent="0.25">
      <c r="F6651" s="2"/>
    </row>
    <row r="6652" spans="6:6" x14ac:dyDescent="0.25">
      <c r="F6652" s="2"/>
    </row>
    <row r="6653" spans="6:6" x14ac:dyDescent="0.25">
      <c r="F6653" s="2"/>
    </row>
    <row r="6654" spans="6:6" x14ac:dyDescent="0.25">
      <c r="F6654" s="2"/>
    </row>
    <row r="6655" spans="6:6" x14ac:dyDescent="0.25">
      <c r="F6655" s="2"/>
    </row>
    <row r="6656" spans="6:6" x14ac:dyDescent="0.25">
      <c r="F6656" s="2"/>
    </row>
    <row r="6657" spans="6:6" x14ac:dyDescent="0.25">
      <c r="F6657" s="2"/>
    </row>
    <row r="6658" spans="6:6" x14ac:dyDescent="0.25">
      <c r="F6658" s="2"/>
    </row>
    <row r="6659" spans="6:6" x14ac:dyDescent="0.25">
      <c r="F6659" s="2"/>
    </row>
    <row r="6660" spans="6:6" x14ac:dyDescent="0.25">
      <c r="F6660" s="2"/>
    </row>
    <row r="6661" spans="6:6" x14ac:dyDescent="0.25">
      <c r="F6661" s="2"/>
    </row>
    <row r="6662" spans="6:6" x14ac:dyDescent="0.25">
      <c r="F6662" s="2"/>
    </row>
    <row r="6663" spans="6:6" x14ac:dyDescent="0.25">
      <c r="F6663" s="2"/>
    </row>
    <row r="6664" spans="6:6" x14ac:dyDescent="0.25">
      <c r="F6664" s="2"/>
    </row>
    <row r="6665" spans="6:6" x14ac:dyDescent="0.25">
      <c r="F6665" s="2"/>
    </row>
    <row r="6666" spans="6:6" x14ac:dyDescent="0.25">
      <c r="F6666" s="2"/>
    </row>
    <row r="6667" spans="6:6" x14ac:dyDescent="0.25">
      <c r="F6667" s="2"/>
    </row>
    <row r="6668" spans="6:6" x14ac:dyDescent="0.25">
      <c r="F6668" s="2"/>
    </row>
    <row r="6669" spans="6:6" x14ac:dyDescent="0.25">
      <c r="F6669" s="2"/>
    </row>
    <row r="6670" spans="6:6" x14ac:dyDescent="0.25">
      <c r="F6670" s="2"/>
    </row>
    <row r="6671" spans="6:6" x14ac:dyDescent="0.25">
      <c r="F6671" s="2"/>
    </row>
    <row r="6672" spans="6:6" x14ac:dyDescent="0.25">
      <c r="F6672" s="2"/>
    </row>
    <row r="6673" spans="6:6" x14ac:dyDescent="0.25">
      <c r="F6673" s="2"/>
    </row>
    <row r="6674" spans="6:6" x14ac:dyDescent="0.25">
      <c r="F6674" s="2"/>
    </row>
    <row r="6675" spans="6:6" x14ac:dyDescent="0.25">
      <c r="F6675" s="2"/>
    </row>
    <row r="6676" spans="6:6" x14ac:dyDescent="0.25">
      <c r="F6676" s="2"/>
    </row>
    <row r="6677" spans="6:6" x14ac:dyDescent="0.25">
      <c r="F6677" s="2"/>
    </row>
    <row r="6678" spans="6:6" x14ac:dyDescent="0.25">
      <c r="F6678" s="2"/>
    </row>
    <row r="6679" spans="6:6" x14ac:dyDescent="0.25">
      <c r="F6679" s="2"/>
    </row>
    <row r="6680" spans="6:6" x14ac:dyDescent="0.25">
      <c r="F6680" s="2"/>
    </row>
    <row r="6681" spans="6:6" x14ac:dyDescent="0.25">
      <c r="F6681" s="2"/>
    </row>
    <row r="6682" spans="6:6" x14ac:dyDescent="0.25">
      <c r="F6682" s="2"/>
    </row>
    <row r="6683" spans="6:6" x14ac:dyDescent="0.25">
      <c r="F6683" s="2"/>
    </row>
    <row r="6684" spans="6:6" x14ac:dyDescent="0.25">
      <c r="F6684" s="2"/>
    </row>
    <row r="6685" spans="6:6" x14ac:dyDescent="0.25">
      <c r="F6685" s="2"/>
    </row>
    <row r="6686" spans="6:6" x14ac:dyDescent="0.25">
      <c r="F6686" s="2"/>
    </row>
    <row r="6687" spans="6:6" x14ac:dyDescent="0.25">
      <c r="F6687" s="2"/>
    </row>
    <row r="6688" spans="6:6" x14ac:dyDescent="0.25">
      <c r="F6688" s="2"/>
    </row>
    <row r="6689" spans="6:6" x14ac:dyDescent="0.25">
      <c r="F6689" s="2"/>
    </row>
    <row r="6690" spans="6:6" x14ac:dyDescent="0.25">
      <c r="F6690" s="2"/>
    </row>
    <row r="6691" spans="6:6" x14ac:dyDescent="0.25">
      <c r="F6691" s="2"/>
    </row>
    <row r="6692" spans="6:6" x14ac:dyDescent="0.25">
      <c r="F6692" s="2"/>
    </row>
    <row r="6693" spans="6:6" x14ac:dyDescent="0.25">
      <c r="F6693" s="2"/>
    </row>
    <row r="6694" spans="6:6" x14ac:dyDescent="0.25">
      <c r="F6694" s="2"/>
    </row>
    <row r="6695" spans="6:6" x14ac:dyDescent="0.25">
      <c r="F6695" s="2"/>
    </row>
    <row r="6696" spans="6:6" x14ac:dyDescent="0.25">
      <c r="F6696" s="2"/>
    </row>
    <row r="6697" spans="6:6" x14ac:dyDescent="0.25">
      <c r="F6697" s="2"/>
    </row>
    <row r="6698" spans="6:6" x14ac:dyDescent="0.25">
      <c r="F6698" s="2"/>
    </row>
    <row r="6699" spans="6:6" x14ac:dyDescent="0.25">
      <c r="F6699" s="2"/>
    </row>
    <row r="6700" spans="6:6" x14ac:dyDescent="0.25">
      <c r="F6700" s="2"/>
    </row>
    <row r="6701" spans="6:6" x14ac:dyDescent="0.25">
      <c r="F6701" s="2"/>
    </row>
    <row r="6702" spans="6:6" x14ac:dyDescent="0.25">
      <c r="F6702" s="2"/>
    </row>
    <row r="6703" spans="6:6" x14ac:dyDescent="0.25">
      <c r="F6703" s="2"/>
    </row>
    <row r="6704" spans="6:6" x14ac:dyDescent="0.25">
      <c r="F6704" s="2"/>
    </row>
    <row r="6705" spans="6:6" x14ac:dyDescent="0.25">
      <c r="F6705" s="2"/>
    </row>
    <row r="6706" spans="6:6" x14ac:dyDescent="0.25">
      <c r="F6706" s="2"/>
    </row>
    <row r="6707" spans="6:6" x14ac:dyDescent="0.25">
      <c r="F6707" s="2"/>
    </row>
    <row r="6708" spans="6:6" x14ac:dyDescent="0.25">
      <c r="F6708" s="2"/>
    </row>
    <row r="6709" spans="6:6" x14ac:dyDescent="0.25">
      <c r="F6709" s="2"/>
    </row>
    <row r="6710" spans="6:6" x14ac:dyDescent="0.25">
      <c r="F6710" s="2"/>
    </row>
    <row r="6711" spans="6:6" x14ac:dyDescent="0.25">
      <c r="F6711" s="2"/>
    </row>
    <row r="6712" spans="6:6" x14ac:dyDescent="0.25">
      <c r="F6712" s="2"/>
    </row>
    <row r="6713" spans="6:6" x14ac:dyDescent="0.25">
      <c r="F6713" s="2"/>
    </row>
    <row r="6714" spans="6:6" x14ac:dyDescent="0.25">
      <c r="F6714" s="2"/>
    </row>
    <row r="6715" spans="6:6" x14ac:dyDescent="0.25">
      <c r="F6715" s="2"/>
    </row>
    <row r="6716" spans="6:6" x14ac:dyDescent="0.25">
      <c r="F6716" s="2"/>
    </row>
    <row r="6717" spans="6:6" x14ac:dyDescent="0.25">
      <c r="F6717" s="2"/>
    </row>
    <row r="6718" spans="6:6" x14ac:dyDescent="0.25">
      <c r="F6718" s="2"/>
    </row>
    <row r="6719" spans="6:6" x14ac:dyDescent="0.25">
      <c r="F6719" s="2"/>
    </row>
    <row r="6720" spans="6:6" x14ac:dyDescent="0.25">
      <c r="F6720" s="2"/>
    </row>
    <row r="6721" spans="6:6" x14ac:dyDescent="0.25">
      <c r="F6721" s="2"/>
    </row>
    <row r="6722" spans="6:6" x14ac:dyDescent="0.25">
      <c r="F6722" s="2"/>
    </row>
    <row r="6723" spans="6:6" x14ac:dyDescent="0.25">
      <c r="F6723" s="2"/>
    </row>
    <row r="6724" spans="6:6" x14ac:dyDescent="0.25">
      <c r="F6724" s="2"/>
    </row>
    <row r="6725" spans="6:6" x14ac:dyDescent="0.25">
      <c r="F6725" s="2"/>
    </row>
    <row r="6726" spans="6:6" x14ac:dyDescent="0.25">
      <c r="F6726" s="2"/>
    </row>
    <row r="6727" spans="6:6" x14ac:dyDescent="0.25">
      <c r="F6727" s="2"/>
    </row>
    <row r="6728" spans="6:6" x14ac:dyDescent="0.25">
      <c r="F6728" s="2"/>
    </row>
    <row r="6729" spans="6:6" x14ac:dyDescent="0.25">
      <c r="F6729" s="2"/>
    </row>
    <row r="6730" spans="6:6" x14ac:dyDescent="0.25">
      <c r="F6730" s="2"/>
    </row>
    <row r="6731" spans="6:6" x14ac:dyDescent="0.25">
      <c r="F6731" s="2"/>
    </row>
    <row r="6732" spans="6:6" x14ac:dyDescent="0.25">
      <c r="F6732" s="2"/>
    </row>
    <row r="6733" spans="6:6" x14ac:dyDescent="0.25">
      <c r="F6733" s="2"/>
    </row>
    <row r="6734" spans="6:6" x14ac:dyDescent="0.25">
      <c r="F6734" s="2"/>
    </row>
    <row r="6735" spans="6:6" x14ac:dyDescent="0.25">
      <c r="F6735" s="2"/>
    </row>
    <row r="6736" spans="6:6" x14ac:dyDescent="0.25">
      <c r="F6736" s="2"/>
    </row>
    <row r="6737" spans="6:6" x14ac:dyDescent="0.25">
      <c r="F6737" s="2"/>
    </row>
    <row r="6738" spans="6:6" x14ac:dyDescent="0.25">
      <c r="F6738" s="2"/>
    </row>
    <row r="6739" spans="6:6" x14ac:dyDescent="0.25">
      <c r="F6739" s="2"/>
    </row>
    <row r="6740" spans="6:6" x14ac:dyDescent="0.25">
      <c r="F6740" s="2"/>
    </row>
    <row r="6741" spans="6:6" x14ac:dyDescent="0.25">
      <c r="F6741" s="2"/>
    </row>
    <row r="6742" spans="6:6" x14ac:dyDescent="0.25">
      <c r="F6742" s="2"/>
    </row>
    <row r="6743" spans="6:6" x14ac:dyDescent="0.25">
      <c r="F6743" s="2"/>
    </row>
    <row r="6744" spans="6:6" x14ac:dyDescent="0.25">
      <c r="F6744" s="2"/>
    </row>
    <row r="6745" spans="6:6" x14ac:dyDescent="0.25">
      <c r="F6745" s="2"/>
    </row>
    <row r="6746" spans="6:6" x14ac:dyDescent="0.25">
      <c r="F6746" s="2"/>
    </row>
    <row r="6747" spans="6:6" x14ac:dyDescent="0.25">
      <c r="F6747" s="2"/>
    </row>
    <row r="6748" spans="6:6" x14ac:dyDescent="0.25">
      <c r="F6748" s="2"/>
    </row>
    <row r="6749" spans="6:6" x14ac:dyDescent="0.25">
      <c r="F6749" s="2"/>
    </row>
    <row r="6750" spans="6:6" x14ac:dyDescent="0.25">
      <c r="F6750" s="2"/>
    </row>
    <row r="6751" spans="6:6" x14ac:dyDescent="0.25">
      <c r="F6751" s="2"/>
    </row>
    <row r="6752" spans="6:6" x14ac:dyDescent="0.25">
      <c r="F6752" s="2"/>
    </row>
    <row r="6753" spans="6:6" x14ac:dyDescent="0.25">
      <c r="F6753" s="2"/>
    </row>
    <row r="6754" spans="6:6" x14ac:dyDescent="0.25">
      <c r="F6754" s="2"/>
    </row>
    <row r="6755" spans="6:6" x14ac:dyDescent="0.25">
      <c r="F6755" s="2"/>
    </row>
    <row r="6756" spans="6:6" x14ac:dyDescent="0.25">
      <c r="F6756" s="2"/>
    </row>
    <row r="6757" spans="6:6" x14ac:dyDescent="0.25">
      <c r="F6757" s="2"/>
    </row>
    <row r="6758" spans="6:6" x14ac:dyDescent="0.25">
      <c r="F6758" s="2"/>
    </row>
    <row r="6759" spans="6:6" x14ac:dyDescent="0.25">
      <c r="F6759" s="2"/>
    </row>
    <row r="6760" spans="6:6" x14ac:dyDescent="0.25">
      <c r="F6760" s="2"/>
    </row>
    <row r="6761" spans="6:6" x14ac:dyDescent="0.25">
      <c r="F6761" s="2"/>
    </row>
    <row r="6762" spans="6:6" x14ac:dyDescent="0.25">
      <c r="F6762" s="2"/>
    </row>
    <row r="6763" spans="6:6" x14ac:dyDescent="0.25">
      <c r="F6763" s="2"/>
    </row>
    <row r="6764" spans="6:6" x14ac:dyDescent="0.25">
      <c r="F6764" s="2"/>
    </row>
    <row r="6765" spans="6:6" x14ac:dyDescent="0.25">
      <c r="F6765" s="2"/>
    </row>
    <row r="6766" spans="6:6" x14ac:dyDescent="0.25">
      <c r="F6766" s="2"/>
    </row>
    <row r="6767" spans="6:6" x14ac:dyDescent="0.25">
      <c r="F6767" s="2"/>
    </row>
    <row r="6768" spans="6:6" x14ac:dyDescent="0.25">
      <c r="F6768" s="2"/>
    </row>
    <row r="6769" spans="6:6" x14ac:dyDescent="0.25">
      <c r="F6769" s="2"/>
    </row>
    <row r="6770" spans="6:6" x14ac:dyDescent="0.25">
      <c r="F6770" s="2"/>
    </row>
    <row r="6771" spans="6:6" x14ac:dyDescent="0.25">
      <c r="F6771" s="2"/>
    </row>
    <row r="6772" spans="6:6" x14ac:dyDescent="0.25">
      <c r="F6772" s="2"/>
    </row>
    <row r="6773" spans="6:6" x14ac:dyDescent="0.25">
      <c r="F6773" s="2"/>
    </row>
    <row r="6774" spans="6:6" x14ac:dyDescent="0.25">
      <c r="F6774" s="2"/>
    </row>
    <row r="6775" spans="6:6" x14ac:dyDescent="0.25">
      <c r="F6775" s="2"/>
    </row>
    <row r="6776" spans="6:6" x14ac:dyDescent="0.25">
      <c r="F6776" s="2"/>
    </row>
    <row r="6777" spans="6:6" x14ac:dyDescent="0.25">
      <c r="F6777" s="2"/>
    </row>
    <row r="6778" spans="6:6" x14ac:dyDescent="0.25">
      <c r="F6778" s="2"/>
    </row>
    <row r="6779" spans="6:6" x14ac:dyDescent="0.25">
      <c r="F6779" s="2"/>
    </row>
    <row r="6780" spans="6:6" x14ac:dyDescent="0.25">
      <c r="F6780" s="2"/>
    </row>
    <row r="6781" spans="6:6" x14ac:dyDescent="0.25">
      <c r="F6781" s="2"/>
    </row>
    <row r="6782" spans="6:6" x14ac:dyDescent="0.25">
      <c r="F6782" s="2"/>
    </row>
    <row r="6783" spans="6:6" x14ac:dyDescent="0.25">
      <c r="F6783" s="2"/>
    </row>
    <row r="6784" spans="6:6" x14ac:dyDescent="0.25">
      <c r="F6784" s="2"/>
    </row>
    <row r="6785" spans="6:6" x14ac:dyDescent="0.25">
      <c r="F6785" s="2"/>
    </row>
    <row r="6786" spans="6:6" x14ac:dyDescent="0.25">
      <c r="F6786" s="2"/>
    </row>
    <row r="6787" spans="6:6" x14ac:dyDescent="0.25">
      <c r="F6787" s="2"/>
    </row>
    <row r="6788" spans="6:6" x14ac:dyDescent="0.25">
      <c r="F6788" s="2"/>
    </row>
    <row r="6789" spans="6:6" x14ac:dyDescent="0.25">
      <c r="F6789" s="2"/>
    </row>
    <row r="6790" spans="6:6" x14ac:dyDescent="0.25">
      <c r="F6790" s="2"/>
    </row>
    <row r="6791" spans="6:6" x14ac:dyDescent="0.25">
      <c r="F6791" s="2"/>
    </row>
    <row r="6792" spans="6:6" x14ac:dyDescent="0.25">
      <c r="F6792" s="2"/>
    </row>
    <row r="6793" spans="6:6" x14ac:dyDescent="0.25">
      <c r="F6793" s="2"/>
    </row>
    <row r="6794" spans="6:6" x14ac:dyDescent="0.25">
      <c r="F6794" s="2"/>
    </row>
    <row r="6795" spans="6:6" x14ac:dyDescent="0.25">
      <c r="F6795" s="2"/>
    </row>
    <row r="6796" spans="6:6" x14ac:dyDescent="0.25">
      <c r="F6796" s="2"/>
    </row>
    <row r="6797" spans="6:6" x14ac:dyDescent="0.25">
      <c r="F6797" s="2"/>
    </row>
    <row r="6798" spans="6:6" x14ac:dyDescent="0.25">
      <c r="F6798" s="2"/>
    </row>
    <row r="6799" spans="6:6" x14ac:dyDescent="0.25">
      <c r="F6799" s="2"/>
    </row>
    <row r="6800" spans="6:6" x14ac:dyDescent="0.25">
      <c r="F6800" s="2"/>
    </row>
    <row r="6801" spans="6:6" x14ac:dyDescent="0.25">
      <c r="F6801" s="2"/>
    </row>
    <row r="6802" spans="6:6" x14ac:dyDescent="0.25">
      <c r="F6802" s="2"/>
    </row>
    <row r="6803" spans="6:6" x14ac:dyDescent="0.25">
      <c r="F6803" s="2"/>
    </row>
    <row r="6804" spans="6:6" x14ac:dyDescent="0.25">
      <c r="F6804" s="2"/>
    </row>
    <row r="6805" spans="6:6" x14ac:dyDescent="0.25">
      <c r="F6805" s="2"/>
    </row>
    <row r="6806" spans="6:6" x14ac:dyDescent="0.25">
      <c r="F6806" s="2"/>
    </row>
    <row r="6807" spans="6:6" x14ac:dyDescent="0.25">
      <c r="F6807" s="2"/>
    </row>
    <row r="6808" spans="6:6" x14ac:dyDescent="0.25">
      <c r="F6808" s="2"/>
    </row>
    <row r="6809" spans="6:6" x14ac:dyDescent="0.25">
      <c r="F6809" s="2"/>
    </row>
    <row r="6810" spans="6:6" x14ac:dyDescent="0.25">
      <c r="F6810" s="2"/>
    </row>
    <row r="6811" spans="6:6" x14ac:dyDescent="0.25">
      <c r="F6811" s="2"/>
    </row>
    <row r="6812" spans="6:6" x14ac:dyDescent="0.25">
      <c r="F6812" s="2"/>
    </row>
    <row r="6813" spans="6:6" x14ac:dyDescent="0.25">
      <c r="F6813" s="2"/>
    </row>
    <row r="6814" spans="6:6" x14ac:dyDescent="0.25">
      <c r="F6814" s="2"/>
    </row>
    <row r="6815" spans="6:6" x14ac:dyDescent="0.25">
      <c r="F6815" s="2"/>
    </row>
    <row r="6816" spans="6:6" x14ac:dyDescent="0.25">
      <c r="F6816" s="2"/>
    </row>
    <row r="6817" spans="6:6" x14ac:dyDescent="0.25">
      <c r="F6817" s="2"/>
    </row>
    <row r="6818" spans="6:6" x14ac:dyDescent="0.25">
      <c r="F6818" s="2"/>
    </row>
    <row r="6819" spans="6:6" x14ac:dyDescent="0.25">
      <c r="F6819" s="2"/>
    </row>
    <row r="6820" spans="6:6" x14ac:dyDescent="0.25">
      <c r="F6820" s="2"/>
    </row>
    <row r="6821" spans="6:6" x14ac:dyDescent="0.25">
      <c r="F6821" s="2"/>
    </row>
    <row r="6822" spans="6:6" x14ac:dyDescent="0.25">
      <c r="F6822" s="2"/>
    </row>
    <row r="6823" spans="6:6" x14ac:dyDescent="0.25">
      <c r="F6823" s="2"/>
    </row>
    <row r="6824" spans="6:6" x14ac:dyDescent="0.25">
      <c r="F6824" s="2"/>
    </row>
    <row r="6825" spans="6:6" x14ac:dyDescent="0.25">
      <c r="F6825" s="2"/>
    </row>
    <row r="6826" spans="6:6" x14ac:dyDescent="0.25">
      <c r="F6826" s="2"/>
    </row>
    <row r="6827" spans="6:6" x14ac:dyDescent="0.25">
      <c r="F6827" s="2"/>
    </row>
    <row r="6828" spans="6:6" x14ac:dyDescent="0.25">
      <c r="F6828" s="2"/>
    </row>
    <row r="6829" spans="6:6" x14ac:dyDescent="0.25">
      <c r="F6829" s="2"/>
    </row>
    <row r="6830" spans="6:6" x14ac:dyDescent="0.25">
      <c r="F6830" s="2"/>
    </row>
    <row r="6831" spans="6:6" x14ac:dyDescent="0.25">
      <c r="F6831" s="2"/>
    </row>
    <row r="6832" spans="6:6" x14ac:dyDescent="0.25">
      <c r="F6832" s="2"/>
    </row>
    <row r="6833" spans="6:6" x14ac:dyDescent="0.25">
      <c r="F6833" s="2"/>
    </row>
    <row r="6834" spans="6:6" x14ac:dyDescent="0.25">
      <c r="F6834" s="2"/>
    </row>
    <row r="6835" spans="6:6" x14ac:dyDescent="0.25">
      <c r="F6835" s="2"/>
    </row>
    <row r="6836" spans="6:6" x14ac:dyDescent="0.25">
      <c r="F6836" s="2"/>
    </row>
    <row r="6837" spans="6:6" x14ac:dyDescent="0.25">
      <c r="F6837" s="2"/>
    </row>
    <row r="6838" spans="6:6" x14ac:dyDescent="0.25">
      <c r="F6838" s="2"/>
    </row>
    <row r="6839" spans="6:6" x14ac:dyDescent="0.25">
      <c r="F6839" s="2"/>
    </row>
    <row r="6840" spans="6:6" x14ac:dyDescent="0.25">
      <c r="F6840" s="2"/>
    </row>
    <row r="6841" spans="6:6" x14ac:dyDescent="0.25">
      <c r="F6841" s="2"/>
    </row>
    <row r="6842" spans="6:6" x14ac:dyDescent="0.25">
      <c r="F6842" s="2"/>
    </row>
    <row r="6843" spans="6:6" x14ac:dyDescent="0.25">
      <c r="F6843" s="2"/>
    </row>
    <row r="6844" spans="6:6" x14ac:dyDescent="0.25">
      <c r="F6844" s="2"/>
    </row>
    <row r="6845" spans="6:6" x14ac:dyDescent="0.25">
      <c r="F6845" s="2"/>
    </row>
    <row r="6846" spans="6:6" x14ac:dyDescent="0.25">
      <c r="F6846" s="2"/>
    </row>
    <row r="6847" spans="6:6" x14ac:dyDescent="0.25">
      <c r="F6847" s="2"/>
    </row>
    <row r="6848" spans="6:6" x14ac:dyDescent="0.25">
      <c r="F6848" s="2"/>
    </row>
    <row r="6849" spans="6:6" x14ac:dyDescent="0.25">
      <c r="F6849" s="2"/>
    </row>
    <row r="6850" spans="6:6" x14ac:dyDescent="0.25">
      <c r="F6850" s="2"/>
    </row>
    <row r="6851" spans="6:6" x14ac:dyDescent="0.25">
      <c r="F6851" s="2"/>
    </row>
    <row r="6852" spans="6:6" x14ac:dyDescent="0.25">
      <c r="F6852" s="2"/>
    </row>
    <row r="6853" spans="6:6" x14ac:dyDescent="0.25">
      <c r="F6853" s="2"/>
    </row>
    <row r="6854" spans="6:6" x14ac:dyDescent="0.25">
      <c r="F6854" s="2"/>
    </row>
    <row r="6855" spans="6:6" x14ac:dyDescent="0.25">
      <c r="F6855" s="2"/>
    </row>
    <row r="6856" spans="6:6" x14ac:dyDescent="0.25">
      <c r="F6856" s="2"/>
    </row>
    <row r="6857" spans="6:6" x14ac:dyDescent="0.25">
      <c r="F6857" s="2"/>
    </row>
    <row r="6858" spans="6:6" x14ac:dyDescent="0.25">
      <c r="F6858" s="2"/>
    </row>
    <row r="6859" spans="6:6" x14ac:dyDescent="0.25">
      <c r="F6859" s="2"/>
    </row>
    <row r="6860" spans="6:6" x14ac:dyDescent="0.25">
      <c r="F6860" s="2"/>
    </row>
    <row r="6861" spans="6:6" x14ac:dyDescent="0.25">
      <c r="F6861" s="2"/>
    </row>
    <row r="6862" spans="6:6" x14ac:dyDescent="0.25">
      <c r="F6862" s="2"/>
    </row>
    <row r="6863" spans="6:6" x14ac:dyDescent="0.25">
      <c r="F6863" s="2"/>
    </row>
    <row r="6864" spans="6:6" x14ac:dyDescent="0.25">
      <c r="F6864" s="2"/>
    </row>
    <row r="6865" spans="6:6" x14ac:dyDescent="0.25">
      <c r="F6865" s="2"/>
    </row>
    <row r="6866" spans="6:6" x14ac:dyDescent="0.25">
      <c r="F6866" s="2"/>
    </row>
    <row r="6867" spans="6:6" x14ac:dyDescent="0.25">
      <c r="F6867" s="2"/>
    </row>
    <row r="6868" spans="6:6" x14ac:dyDescent="0.25">
      <c r="F6868" s="2"/>
    </row>
    <row r="6869" spans="6:6" x14ac:dyDescent="0.25">
      <c r="F6869" s="2"/>
    </row>
    <row r="6870" spans="6:6" x14ac:dyDescent="0.25">
      <c r="F6870" s="2"/>
    </row>
    <row r="6871" spans="6:6" x14ac:dyDescent="0.25">
      <c r="F6871" s="2"/>
    </row>
    <row r="6872" spans="6:6" x14ac:dyDescent="0.25">
      <c r="F6872" s="2"/>
    </row>
    <row r="6873" spans="6:6" x14ac:dyDescent="0.25">
      <c r="F6873" s="2"/>
    </row>
    <row r="6874" spans="6:6" x14ac:dyDescent="0.25">
      <c r="F6874" s="2"/>
    </row>
    <row r="6875" spans="6:6" x14ac:dyDescent="0.25">
      <c r="F6875" s="2"/>
    </row>
    <row r="6876" spans="6:6" x14ac:dyDescent="0.25">
      <c r="F6876" s="2"/>
    </row>
    <row r="6877" spans="6:6" x14ac:dyDescent="0.25">
      <c r="F6877" s="2"/>
    </row>
    <row r="6878" spans="6:6" x14ac:dyDescent="0.25">
      <c r="F6878" s="2"/>
    </row>
    <row r="6879" spans="6:6" x14ac:dyDescent="0.25">
      <c r="F6879" s="2"/>
    </row>
    <row r="6880" spans="6:6" x14ac:dyDescent="0.25">
      <c r="F6880" s="2"/>
    </row>
    <row r="6881" spans="6:6" x14ac:dyDescent="0.25">
      <c r="F6881" s="2"/>
    </row>
    <row r="6882" spans="6:6" x14ac:dyDescent="0.25">
      <c r="F6882" s="2"/>
    </row>
    <row r="6883" spans="6:6" x14ac:dyDescent="0.25">
      <c r="F6883" s="2"/>
    </row>
    <row r="6884" spans="6:6" x14ac:dyDescent="0.25">
      <c r="F6884" s="2"/>
    </row>
    <row r="6885" spans="6:6" x14ac:dyDescent="0.25">
      <c r="F6885" s="2"/>
    </row>
    <row r="6886" spans="6:6" x14ac:dyDescent="0.25">
      <c r="F6886" s="2"/>
    </row>
    <row r="6887" spans="6:6" x14ac:dyDescent="0.25">
      <c r="F6887" s="2"/>
    </row>
    <row r="6888" spans="6:6" x14ac:dyDescent="0.25">
      <c r="F6888" s="2"/>
    </row>
    <row r="6889" spans="6:6" x14ac:dyDescent="0.25">
      <c r="F6889" s="2"/>
    </row>
    <row r="6890" spans="6:6" x14ac:dyDescent="0.25">
      <c r="F6890" s="2"/>
    </row>
    <row r="6891" spans="6:6" x14ac:dyDescent="0.25">
      <c r="F6891" s="2"/>
    </row>
    <row r="6892" spans="6:6" x14ac:dyDescent="0.25">
      <c r="F6892" s="2"/>
    </row>
    <row r="6893" spans="6:6" x14ac:dyDescent="0.25">
      <c r="F6893" s="2"/>
    </row>
    <row r="6894" spans="6:6" x14ac:dyDescent="0.25">
      <c r="F6894" s="2"/>
    </row>
    <row r="6895" spans="6:6" x14ac:dyDescent="0.25">
      <c r="F6895" s="2"/>
    </row>
    <row r="6896" spans="6:6" x14ac:dyDescent="0.25">
      <c r="F6896" s="2"/>
    </row>
    <row r="6897" spans="6:6" x14ac:dyDescent="0.25">
      <c r="F6897" s="2"/>
    </row>
    <row r="6898" spans="6:6" x14ac:dyDescent="0.25">
      <c r="F6898" s="2"/>
    </row>
    <row r="6899" spans="6:6" x14ac:dyDescent="0.25">
      <c r="F6899" s="2"/>
    </row>
    <row r="6900" spans="6:6" x14ac:dyDescent="0.25">
      <c r="F6900" s="2"/>
    </row>
    <row r="6901" spans="6:6" x14ac:dyDescent="0.25">
      <c r="F6901" s="2"/>
    </row>
    <row r="6902" spans="6:6" x14ac:dyDescent="0.25">
      <c r="F6902" s="2"/>
    </row>
    <row r="6903" spans="6:6" x14ac:dyDescent="0.25">
      <c r="F6903" s="2"/>
    </row>
    <row r="6904" spans="6:6" x14ac:dyDescent="0.25">
      <c r="F6904" s="2"/>
    </row>
    <row r="6905" spans="6:6" x14ac:dyDescent="0.25">
      <c r="F6905" s="2"/>
    </row>
    <row r="6906" spans="6:6" x14ac:dyDescent="0.25">
      <c r="F6906" s="2"/>
    </row>
    <row r="6907" spans="6:6" x14ac:dyDescent="0.25">
      <c r="F6907" s="2"/>
    </row>
    <row r="6908" spans="6:6" x14ac:dyDescent="0.25">
      <c r="F6908" s="2"/>
    </row>
    <row r="6909" spans="6:6" x14ac:dyDescent="0.25">
      <c r="F6909" s="2"/>
    </row>
    <row r="6910" spans="6:6" x14ac:dyDescent="0.25">
      <c r="F6910" s="2"/>
    </row>
    <row r="6911" spans="6:6" x14ac:dyDescent="0.25">
      <c r="F6911" s="2"/>
    </row>
    <row r="6912" spans="6:6" x14ac:dyDescent="0.25">
      <c r="F6912" s="2"/>
    </row>
    <row r="6913" spans="6:6" x14ac:dyDescent="0.25">
      <c r="F6913" s="2"/>
    </row>
    <row r="6914" spans="6:6" x14ac:dyDescent="0.25">
      <c r="F6914" s="2"/>
    </row>
    <row r="6915" spans="6:6" x14ac:dyDescent="0.25">
      <c r="F6915" s="2"/>
    </row>
    <row r="6916" spans="6:6" x14ac:dyDescent="0.25">
      <c r="F6916" s="2"/>
    </row>
    <row r="6917" spans="6:6" x14ac:dyDescent="0.25">
      <c r="F6917" s="2"/>
    </row>
    <row r="6918" spans="6:6" x14ac:dyDescent="0.25">
      <c r="F6918" s="2"/>
    </row>
    <row r="6919" spans="6:6" x14ac:dyDescent="0.25">
      <c r="F6919" s="2"/>
    </row>
    <row r="6920" spans="6:6" x14ac:dyDescent="0.25">
      <c r="F6920" s="2"/>
    </row>
    <row r="6921" spans="6:6" x14ac:dyDescent="0.25">
      <c r="F6921" s="2"/>
    </row>
    <row r="6922" spans="6:6" x14ac:dyDescent="0.25">
      <c r="F6922" s="2"/>
    </row>
    <row r="6923" spans="6:6" x14ac:dyDescent="0.25">
      <c r="F6923" s="2"/>
    </row>
    <row r="6924" spans="6:6" x14ac:dyDescent="0.25">
      <c r="F6924" s="2"/>
    </row>
    <row r="6925" spans="6:6" x14ac:dyDescent="0.25">
      <c r="F6925" s="2"/>
    </row>
    <row r="6926" spans="6:6" x14ac:dyDescent="0.25">
      <c r="F6926" s="2"/>
    </row>
    <row r="6927" spans="6:6" x14ac:dyDescent="0.25">
      <c r="F6927" s="2"/>
    </row>
    <row r="6928" spans="6:6" x14ac:dyDescent="0.25">
      <c r="F6928" s="2"/>
    </row>
    <row r="6929" spans="6:6" x14ac:dyDescent="0.25">
      <c r="F6929" s="2"/>
    </row>
    <row r="6930" spans="6:6" x14ac:dyDescent="0.25">
      <c r="F6930" s="2"/>
    </row>
    <row r="6931" spans="6:6" x14ac:dyDescent="0.25">
      <c r="F6931" s="2"/>
    </row>
    <row r="6932" spans="6:6" x14ac:dyDescent="0.25">
      <c r="F6932" s="2"/>
    </row>
    <row r="6933" spans="6:6" x14ac:dyDescent="0.25">
      <c r="F6933" s="2"/>
    </row>
    <row r="6934" spans="6:6" x14ac:dyDescent="0.25">
      <c r="F6934" s="2"/>
    </row>
    <row r="6935" spans="6:6" x14ac:dyDescent="0.25">
      <c r="F6935" s="2"/>
    </row>
    <row r="6936" spans="6:6" x14ac:dyDescent="0.25">
      <c r="F6936" s="2"/>
    </row>
    <row r="6937" spans="6:6" x14ac:dyDescent="0.25">
      <c r="F6937" s="2"/>
    </row>
    <row r="6938" spans="6:6" x14ac:dyDescent="0.25">
      <c r="F6938" s="2"/>
    </row>
    <row r="6939" spans="6:6" x14ac:dyDescent="0.25">
      <c r="F6939" s="2"/>
    </row>
    <row r="6940" spans="6:6" x14ac:dyDescent="0.25">
      <c r="F6940" s="2"/>
    </row>
    <row r="6941" spans="6:6" x14ac:dyDescent="0.25">
      <c r="F6941" s="2"/>
    </row>
    <row r="6942" spans="6:6" x14ac:dyDescent="0.25">
      <c r="F6942" s="2"/>
    </row>
    <row r="6943" spans="6:6" x14ac:dyDescent="0.25">
      <c r="F6943" s="2"/>
    </row>
    <row r="6944" spans="6:6" x14ac:dyDescent="0.25">
      <c r="F6944" s="2"/>
    </row>
    <row r="6945" spans="6:6" x14ac:dyDescent="0.25">
      <c r="F6945" s="2"/>
    </row>
    <row r="6946" spans="6:6" x14ac:dyDescent="0.25">
      <c r="F6946" s="2"/>
    </row>
    <row r="6947" spans="6:6" x14ac:dyDescent="0.25">
      <c r="F6947" s="2"/>
    </row>
    <row r="6948" spans="6:6" x14ac:dyDescent="0.25">
      <c r="F6948" s="2"/>
    </row>
    <row r="6949" spans="6:6" x14ac:dyDescent="0.25">
      <c r="F6949" s="2"/>
    </row>
    <row r="6950" spans="6:6" x14ac:dyDescent="0.25">
      <c r="F6950" s="2"/>
    </row>
    <row r="6951" spans="6:6" x14ac:dyDescent="0.25">
      <c r="F6951" s="2"/>
    </row>
    <row r="6952" spans="6:6" x14ac:dyDescent="0.25">
      <c r="F6952" s="2"/>
    </row>
    <row r="6953" spans="6:6" x14ac:dyDescent="0.25">
      <c r="F6953" s="2"/>
    </row>
    <row r="6954" spans="6:6" x14ac:dyDescent="0.25">
      <c r="F6954" s="2"/>
    </row>
    <row r="6955" spans="6:6" x14ac:dyDescent="0.25">
      <c r="F6955" s="2"/>
    </row>
    <row r="6956" spans="6:6" x14ac:dyDescent="0.25">
      <c r="F6956" s="2"/>
    </row>
    <row r="6957" spans="6:6" x14ac:dyDescent="0.25">
      <c r="F6957" s="2"/>
    </row>
    <row r="6958" spans="6:6" x14ac:dyDescent="0.25">
      <c r="F6958" s="2"/>
    </row>
    <row r="6959" spans="6:6" x14ac:dyDescent="0.25">
      <c r="F6959" s="2"/>
    </row>
    <row r="6960" spans="6:6" x14ac:dyDescent="0.25">
      <c r="F6960" s="2"/>
    </row>
    <row r="6961" spans="6:6" x14ac:dyDescent="0.25">
      <c r="F6961" s="2"/>
    </row>
    <row r="6962" spans="6:6" x14ac:dyDescent="0.25">
      <c r="F6962" s="2"/>
    </row>
    <row r="6963" spans="6:6" x14ac:dyDescent="0.25">
      <c r="F6963" s="2"/>
    </row>
    <row r="6964" spans="6:6" x14ac:dyDescent="0.25">
      <c r="F6964" s="2"/>
    </row>
    <row r="6965" spans="6:6" x14ac:dyDescent="0.25">
      <c r="F6965" s="2"/>
    </row>
    <row r="6966" spans="6:6" x14ac:dyDescent="0.25">
      <c r="F6966" s="2"/>
    </row>
    <row r="6967" spans="6:6" x14ac:dyDescent="0.25">
      <c r="F6967" s="2"/>
    </row>
    <row r="6968" spans="6:6" x14ac:dyDescent="0.25">
      <c r="F6968" s="2"/>
    </row>
    <row r="6969" spans="6:6" x14ac:dyDescent="0.25">
      <c r="F6969" s="2"/>
    </row>
    <row r="6970" spans="6:6" x14ac:dyDescent="0.25">
      <c r="F6970" s="2"/>
    </row>
    <row r="6971" spans="6:6" x14ac:dyDescent="0.25">
      <c r="F6971" s="2"/>
    </row>
    <row r="6972" spans="6:6" x14ac:dyDescent="0.25">
      <c r="F6972" s="2"/>
    </row>
    <row r="6973" spans="6:6" x14ac:dyDescent="0.25">
      <c r="F6973" s="2"/>
    </row>
    <row r="6974" spans="6:6" x14ac:dyDescent="0.25">
      <c r="F6974" s="2"/>
    </row>
    <row r="6975" spans="6:6" x14ac:dyDescent="0.25">
      <c r="F6975" s="2"/>
    </row>
    <row r="6976" spans="6:6" x14ac:dyDescent="0.25">
      <c r="F6976" s="2"/>
    </row>
    <row r="6977" spans="6:6" x14ac:dyDescent="0.25">
      <c r="F6977" s="2"/>
    </row>
    <row r="6978" spans="6:6" x14ac:dyDescent="0.25">
      <c r="F6978" s="2"/>
    </row>
    <row r="6979" spans="6:6" x14ac:dyDescent="0.25">
      <c r="F6979" s="2"/>
    </row>
    <row r="6980" spans="6:6" x14ac:dyDescent="0.25">
      <c r="F6980" s="2"/>
    </row>
    <row r="6981" spans="6:6" x14ac:dyDescent="0.25">
      <c r="F6981" s="2"/>
    </row>
    <row r="6982" spans="6:6" x14ac:dyDescent="0.25">
      <c r="F6982" s="2"/>
    </row>
    <row r="6983" spans="6:6" x14ac:dyDescent="0.25">
      <c r="F6983" s="2"/>
    </row>
    <row r="6984" spans="6:6" x14ac:dyDescent="0.25">
      <c r="F6984" s="2"/>
    </row>
    <row r="6985" spans="6:6" x14ac:dyDescent="0.25">
      <c r="F6985" s="2"/>
    </row>
    <row r="6986" spans="6:6" x14ac:dyDescent="0.25">
      <c r="F6986" s="2"/>
    </row>
    <row r="6987" spans="6:6" x14ac:dyDescent="0.25">
      <c r="F6987" s="2"/>
    </row>
    <row r="6988" spans="6:6" x14ac:dyDescent="0.25">
      <c r="F6988" s="2"/>
    </row>
    <row r="6989" spans="6:6" x14ac:dyDescent="0.25">
      <c r="F6989" s="2"/>
    </row>
    <row r="6990" spans="6:6" x14ac:dyDescent="0.25">
      <c r="F6990" s="2"/>
    </row>
    <row r="6991" spans="6:6" x14ac:dyDescent="0.25">
      <c r="F6991" s="2"/>
    </row>
    <row r="6992" spans="6:6" x14ac:dyDescent="0.25">
      <c r="F6992" s="2"/>
    </row>
    <row r="6993" spans="6:6" x14ac:dyDescent="0.25">
      <c r="F6993" s="2"/>
    </row>
    <row r="6994" spans="6:6" x14ac:dyDescent="0.25">
      <c r="F6994" s="2"/>
    </row>
    <row r="6995" spans="6:6" x14ac:dyDescent="0.25">
      <c r="F6995" s="2"/>
    </row>
    <row r="6996" spans="6:6" x14ac:dyDescent="0.25">
      <c r="F6996" s="2"/>
    </row>
    <row r="6997" spans="6:6" x14ac:dyDescent="0.25">
      <c r="F6997" s="2"/>
    </row>
    <row r="6998" spans="6:6" x14ac:dyDescent="0.25">
      <c r="F6998" s="2"/>
    </row>
    <row r="6999" spans="6:6" x14ac:dyDescent="0.25">
      <c r="F6999" s="2"/>
    </row>
    <row r="7000" spans="6:6" x14ac:dyDescent="0.25">
      <c r="F7000" s="2"/>
    </row>
    <row r="7001" spans="6:6" x14ac:dyDescent="0.25">
      <c r="F7001" s="2"/>
    </row>
    <row r="7002" spans="6:6" x14ac:dyDescent="0.25">
      <c r="F7002" s="2"/>
    </row>
    <row r="7003" spans="6:6" x14ac:dyDescent="0.25">
      <c r="F7003" s="2"/>
    </row>
    <row r="7004" spans="6:6" x14ac:dyDescent="0.25">
      <c r="F7004" s="2"/>
    </row>
    <row r="7005" spans="6:6" x14ac:dyDescent="0.25">
      <c r="F7005" s="2"/>
    </row>
    <row r="7006" spans="6:6" x14ac:dyDescent="0.25">
      <c r="F7006" s="2"/>
    </row>
    <row r="7007" spans="6:6" x14ac:dyDescent="0.25">
      <c r="F7007" s="2"/>
    </row>
    <row r="7008" spans="6:6" x14ac:dyDescent="0.25">
      <c r="F7008" s="2"/>
    </row>
    <row r="7009" spans="6:6" x14ac:dyDescent="0.25">
      <c r="F7009" s="2"/>
    </row>
    <row r="7010" spans="6:6" x14ac:dyDescent="0.25">
      <c r="F7010" s="2"/>
    </row>
    <row r="7011" spans="6:6" x14ac:dyDescent="0.25">
      <c r="F7011" s="2"/>
    </row>
    <row r="7012" spans="6:6" x14ac:dyDescent="0.25">
      <c r="F7012" s="2"/>
    </row>
    <row r="7013" spans="6:6" x14ac:dyDescent="0.25">
      <c r="F7013" s="2"/>
    </row>
    <row r="7014" spans="6:6" x14ac:dyDescent="0.25">
      <c r="F7014" s="2"/>
    </row>
    <row r="7015" spans="6:6" x14ac:dyDescent="0.25">
      <c r="F7015" s="2"/>
    </row>
    <row r="7016" spans="6:6" x14ac:dyDescent="0.25">
      <c r="F7016" s="2"/>
    </row>
    <row r="7017" spans="6:6" x14ac:dyDescent="0.25">
      <c r="F7017" s="2"/>
    </row>
    <row r="7018" spans="6:6" x14ac:dyDescent="0.25">
      <c r="F7018" s="2"/>
    </row>
    <row r="7019" spans="6:6" x14ac:dyDescent="0.25">
      <c r="F7019" s="2"/>
    </row>
    <row r="7020" spans="6:6" x14ac:dyDescent="0.25">
      <c r="F7020" s="2"/>
    </row>
    <row r="7021" spans="6:6" x14ac:dyDescent="0.25">
      <c r="F7021" s="2"/>
    </row>
    <row r="7022" spans="6:6" x14ac:dyDescent="0.25">
      <c r="F7022" s="2"/>
    </row>
    <row r="7023" spans="6:6" x14ac:dyDescent="0.25">
      <c r="F7023" s="2"/>
    </row>
    <row r="7024" spans="6:6" x14ac:dyDescent="0.25">
      <c r="F7024" s="2"/>
    </row>
    <row r="7025" spans="6:6" x14ac:dyDescent="0.25">
      <c r="F7025" s="2"/>
    </row>
    <row r="7026" spans="6:6" x14ac:dyDescent="0.25">
      <c r="F7026" s="2"/>
    </row>
    <row r="7027" spans="6:6" x14ac:dyDescent="0.25">
      <c r="F7027" s="2"/>
    </row>
    <row r="7028" spans="6:6" x14ac:dyDescent="0.25">
      <c r="F7028" s="2"/>
    </row>
    <row r="7029" spans="6:6" x14ac:dyDescent="0.25">
      <c r="F7029" s="2"/>
    </row>
    <row r="7030" spans="6:6" x14ac:dyDescent="0.25">
      <c r="F7030" s="2"/>
    </row>
    <row r="7031" spans="6:6" x14ac:dyDescent="0.25">
      <c r="F7031" s="2"/>
    </row>
    <row r="7032" spans="6:6" x14ac:dyDescent="0.25">
      <c r="F7032" s="2"/>
    </row>
    <row r="7033" spans="6:6" x14ac:dyDescent="0.25">
      <c r="F7033" s="2"/>
    </row>
    <row r="7034" spans="6:6" x14ac:dyDescent="0.25">
      <c r="F7034" s="2"/>
    </row>
    <row r="7035" spans="6:6" x14ac:dyDescent="0.25">
      <c r="F7035" s="2"/>
    </row>
    <row r="7036" spans="6:6" x14ac:dyDescent="0.25">
      <c r="F7036" s="2"/>
    </row>
    <row r="7037" spans="6:6" x14ac:dyDescent="0.25">
      <c r="F7037" s="2"/>
    </row>
    <row r="7038" spans="6:6" x14ac:dyDescent="0.25">
      <c r="F7038" s="2"/>
    </row>
    <row r="7039" spans="6:6" x14ac:dyDescent="0.25">
      <c r="F7039" s="2"/>
    </row>
    <row r="7040" spans="6:6" x14ac:dyDescent="0.25">
      <c r="F7040" s="2"/>
    </row>
    <row r="7041" spans="6:6" x14ac:dyDescent="0.25">
      <c r="F7041" s="2"/>
    </row>
    <row r="7042" spans="6:6" x14ac:dyDescent="0.25">
      <c r="F7042" s="2"/>
    </row>
    <row r="7043" spans="6:6" x14ac:dyDescent="0.25">
      <c r="F7043" s="2"/>
    </row>
    <row r="7044" spans="6:6" x14ac:dyDescent="0.25">
      <c r="F7044" s="2"/>
    </row>
    <row r="7045" spans="6:6" x14ac:dyDescent="0.25">
      <c r="F7045" s="2"/>
    </row>
    <row r="7046" spans="6:6" x14ac:dyDescent="0.25">
      <c r="F7046" s="2"/>
    </row>
    <row r="7047" spans="6:6" x14ac:dyDescent="0.25">
      <c r="F7047" s="2"/>
    </row>
    <row r="7048" spans="6:6" x14ac:dyDescent="0.25">
      <c r="F7048" s="2"/>
    </row>
    <row r="7049" spans="6:6" x14ac:dyDescent="0.25">
      <c r="F7049" s="2"/>
    </row>
    <row r="7050" spans="6:6" x14ac:dyDescent="0.25">
      <c r="F7050" s="2"/>
    </row>
    <row r="7051" spans="6:6" x14ac:dyDescent="0.25">
      <c r="F7051" s="2"/>
    </row>
    <row r="7052" spans="6:6" x14ac:dyDescent="0.25">
      <c r="F7052" s="2"/>
    </row>
    <row r="7053" spans="6:6" x14ac:dyDescent="0.25">
      <c r="F7053" s="2"/>
    </row>
    <row r="7054" spans="6:6" x14ac:dyDescent="0.25">
      <c r="F7054" s="2"/>
    </row>
    <row r="7055" spans="6:6" x14ac:dyDescent="0.25">
      <c r="F7055" s="2"/>
    </row>
    <row r="7056" spans="6:6" x14ac:dyDescent="0.25">
      <c r="F7056" s="2"/>
    </row>
    <row r="7057" spans="6:6" x14ac:dyDescent="0.25">
      <c r="F7057" s="2"/>
    </row>
    <row r="7058" spans="6:6" x14ac:dyDescent="0.25">
      <c r="F7058" s="2"/>
    </row>
    <row r="7059" spans="6:6" x14ac:dyDescent="0.25">
      <c r="F7059" s="2"/>
    </row>
    <row r="7060" spans="6:6" x14ac:dyDescent="0.25">
      <c r="F7060" s="2"/>
    </row>
    <row r="7061" spans="6:6" x14ac:dyDescent="0.25">
      <c r="F7061" s="2"/>
    </row>
    <row r="7062" spans="6:6" x14ac:dyDescent="0.25">
      <c r="F7062" s="2"/>
    </row>
    <row r="7063" spans="6:6" x14ac:dyDescent="0.25">
      <c r="F7063" s="2"/>
    </row>
    <row r="7064" spans="6:6" x14ac:dyDescent="0.25">
      <c r="F7064" s="2"/>
    </row>
    <row r="7065" spans="6:6" x14ac:dyDescent="0.25">
      <c r="F7065" s="2"/>
    </row>
    <row r="7066" spans="6:6" x14ac:dyDescent="0.25">
      <c r="F7066" s="2"/>
    </row>
    <row r="7067" spans="6:6" x14ac:dyDescent="0.25">
      <c r="F7067" s="2"/>
    </row>
    <row r="7068" spans="6:6" x14ac:dyDescent="0.25">
      <c r="F7068" s="2"/>
    </row>
    <row r="7069" spans="6:6" x14ac:dyDescent="0.25">
      <c r="F7069" s="2"/>
    </row>
    <row r="7070" spans="6:6" x14ac:dyDescent="0.25">
      <c r="F7070" s="2"/>
    </row>
    <row r="7071" spans="6:6" x14ac:dyDescent="0.25">
      <c r="F7071" s="2"/>
    </row>
    <row r="7072" spans="6:6" x14ac:dyDescent="0.25">
      <c r="F7072" s="2"/>
    </row>
    <row r="7073" spans="6:6" x14ac:dyDescent="0.25">
      <c r="F7073" s="2"/>
    </row>
    <row r="7074" spans="6:6" x14ac:dyDescent="0.25">
      <c r="F7074" s="2"/>
    </row>
    <row r="7075" spans="6:6" x14ac:dyDescent="0.25">
      <c r="F7075" s="2"/>
    </row>
    <row r="7076" spans="6:6" x14ac:dyDescent="0.25">
      <c r="F7076" s="2"/>
    </row>
    <row r="7077" spans="6:6" x14ac:dyDescent="0.25">
      <c r="F7077" s="2"/>
    </row>
    <row r="7078" spans="6:6" x14ac:dyDescent="0.25">
      <c r="F7078" s="2"/>
    </row>
    <row r="7079" spans="6:6" x14ac:dyDescent="0.25">
      <c r="F7079" s="2"/>
    </row>
    <row r="7080" spans="6:6" x14ac:dyDescent="0.25">
      <c r="F7080" s="2"/>
    </row>
    <row r="7081" spans="6:6" x14ac:dyDescent="0.25">
      <c r="F7081" s="2"/>
    </row>
    <row r="7082" spans="6:6" x14ac:dyDescent="0.25">
      <c r="F7082" s="2"/>
    </row>
    <row r="7083" spans="6:6" x14ac:dyDescent="0.25">
      <c r="F7083" s="2"/>
    </row>
    <row r="7084" spans="6:6" x14ac:dyDescent="0.25">
      <c r="F7084" s="2"/>
    </row>
    <row r="7085" spans="6:6" x14ac:dyDescent="0.25">
      <c r="F7085" s="2"/>
    </row>
    <row r="7086" spans="6:6" x14ac:dyDescent="0.25">
      <c r="F7086" s="2"/>
    </row>
    <row r="7087" spans="6:6" x14ac:dyDescent="0.25">
      <c r="F7087" s="2"/>
    </row>
    <row r="7088" spans="6:6" x14ac:dyDescent="0.25">
      <c r="F7088" s="2"/>
    </row>
    <row r="7089" spans="6:6" x14ac:dyDescent="0.25">
      <c r="F7089" s="2"/>
    </row>
    <row r="7090" spans="6:6" x14ac:dyDescent="0.25">
      <c r="F7090" s="2"/>
    </row>
    <row r="7091" spans="6:6" x14ac:dyDescent="0.25">
      <c r="F7091" s="2"/>
    </row>
    <row r="7092" spans="6:6" x14ac:dyDescent="0.25">
      <c r="F7092" s="2"/>
    </row>
    <row r="7093" spans="6:6" x14ac:dyDescent="0.25">
      <c r="F7093" s="2"/>
    </row>
    <row r="7094" spans="6:6" x14ac:dyDescent="0.25">
      <c r="F7094" s="2"/>
    </row>
    <row r="7095" spans="6:6" x14ac:dyDescent="0.25">
      <c r="F7095" s="2"/>
    </row>
    <row r="7096" spans="6:6" x14ac:dyDescent="0.25">
      <c r="F7096" s="2"/>
    </row>
    <row r="7097" spans="6:6" x14ac:dyDescent="0.25">
      <c r="F7097" s="2"/>
    </row>
    <row r="7098" spans="6:6" x14ac:dyDescent="0.25">
      <c r="F7098" s="2"/>
    </row>
    <row r="7099" spans="6:6" x14ac:dyDescent="0.25">
      <c r="F7099" s="2"/>
    </row>
    <row r="7100" spans="6:6" x14ac:dyDescent="0.25">
      <c r="F7100" s="2"/>
    </row>
    <row r="7101" spans="6:6" x14ac:dyDescent="0.25">
      <c r="F7101" s="2"/>
    </row>
    <row r="7102" spans="6:6" x14ac:dyDescent="0.25">
      <c r="F7102" s="2"/>
    </row>
    <row r="7103" spans="6:6" x14ac:dyDescent="0.25">
      <c r="F7103" s="2"/>
    </row>
    <row r="7104" spans="6:6" x14ac:dyDescent="0.25">
      <c r="F7104" s="2"/>
    </row>
    <row r="7105" spans="6:6" x14ac:dyDescent="0.25">
      <c r="F7105" s="2"/>
    </row>
    <row r="7106" spans="6:6" x14ac:dyDescent="0.25">
      <c r="F7106" s="2"/>
    </row>
    <row r="7107" spans="6:6" x14ac:dyDescent="0.25">
      <c r="F7107" s="2"/>
    </row>
    <row r="7108" spans="6:6" x14ac:dyDescent="0.25">
      <c r="F7108" s="2"/>
    </row>
    <row r="7109" spans="6:6" x14ac:dyDescent="0.25">
      <c r="F7109" s="2"/>
    </row>
    <row r="7110" spans="6:6" x14ac:dyDescent="0.25">
      <c r="F7110" s="2"/>
    </row>
    <row r="7111" spans="6:6" x14ac:dyDescent="0.25">
      <c r="F7111" s="2"/>
    </row>
    <row r="7112" spans="6:6" x14ac:dyDescent="0.25">
      <c r="F7112" s="2"/>
    </row>
    <row r="7113" spans="6:6" x14ac:dyDescent="0.25">
      <c r="F7113" s="2"/>
    </row>
    <row r="7114" spans="6:6" x14ac:dyDescent="0.25">
      <c r="F7114" s="2"/>
    </row>
    <row r="7115" spans="6:6" x14ac:dyDescent="0.25">
      <c r="F7115" s="2"/>
    </row>
    <row r="7116" spans="6:6" x14ac:dyDescent="0.25">
      <c r="F7116" s="2"/>
    </row>
    <row r="7117" spans="6:6" x14ac:dyDescent="0.25">
      <c r="F7117" s="2"/>
    </row>
    <row r="7118" spans="6:6" x14ac:dyDescent="0.25">
      <c r="F7118" s="2"/>
    </row>
    <row r="7119" spans="6:6" x14ac:dyDescent="0.25">
      <c r="F7119" s="2"/>
    </row>
    <row r="7120" spans="6:6" x14ac:dyDescent="0.25">
      <c r="F7120" s="2"/>
    </row>
    <row r="7121" spans="6:6" x14ac:dyDescent="0.25">
      <c r="F7121" s="2"/>
    </row>
    <row r="7122" spans="6:6" x14ac:dyDescent="0.25">
      <c r="F7122" s="2"/>
    </row>
    <row r="7123" spans="6:6" x14ac:dyDescent="0.25">
      <c r="F7123" s="2"/>
    </row>
    <row r="7124" spans="6:6" x14ac:dyDescent="0.25">
      <c r="F7124" s="2"/>
    </row>
    <row r="7125" spans="6:6" x14ac:dyDescent="0.25">
      <c r="F7125" s="2"/>
    </row>
    <row r="7126" spans="6:6" x14ac:dyDescent="0.25">
      <c r="F7126" s="2"/>
    </row>
    <row r="7127" spans="6:6" x14ac:dyDescent="0.25">
      <c r="F7127" s="2"/>
    </row>
    <row r="7128" spans="6:6" x14ac:dyDescent="0.25">
      <c r="F7128" s="2"/>
    </row>
    <row r="7129" spans="6:6" x14ac:dyDescent="0.25">
      <c r="F7129" s="2"/>
    </row>
    <row r="7130" spans="6:6" x14ac:dyDescent="0.25">
      <c r="F7130" s="2"/>
    </row>
    <row r="7131" spans="6:6" x14ac:dyDescent="0.25">
      <c r="F7131" s="2"/>
    </row>
    <row r="7132" spans="6:6" x14ac:dyDescent="0.25">
      <c r="F7132" s="2"/>
    </row>
    <row r="7133" spans="6:6" x14ac:dyDescent="0.25">
      <c r="F7133" s="2"/>
    </row>
    <row r="7134" spans="6:6" x14ac:dyDescent="0.25">
      <c r="F7134" s="2"/>
    </row>
    <row r="7135" spans="6:6" x14ac:dyDescent="0.25">
      <c r="F7135" s="2"/>
    </row>
    <row r="7136" spans="6:6" x14ac:dyDescent="0.25">
      <c r="F7136" s="2"/>
    </row>
    <row r="7137" spans="6:6" x14ac:dyDescent="0.25">
      <c r="F7137" s="2"/>
    </row>
    <row r="7138" spans="6:6" x14ac:dyDescent="0.25">
      <c r="F7138" s="2"/>
    </row>
    <row r="7139" spans="6:6" x14ac:dyDescent="0.25">
      <c r="F7139" s="2"/>
    </row>
    <row r="7140" spans="6:6" x14ac:dyDescent="0.25">
      <c r="F7140" s="2"/>
    </row>
    <row r="7141" spans="6:6" x14ac:dyDescent="0.25">
      <c r="F7141" s="2"/>
    </row>
    <row r="7142" spans="6:6" x14ac:dyDescent="0.25">
      <c r="F7142" s="2"/>
    </row>
    <row r="7143" spans="6:6" x14ac:dyDescent="0.25">
      <c r="F7143" s="2"/>
    </row>
    <row r="7144" spans="6:6" x14ac:dyDescent="0.25">
      <c r="F7144" s="2"/>
    </row>
    <row r="7145" spans="6:6" x14ac:dyDescent="0.25">
      <c r="F7145" s="2"/>
    </row>
    <row r="7146" spans="6:6" x14ac:dyDescent="0.25">
      <c r="F7146" s="2"/>
    </row>
    <row r="7147" spans="6:6" x14ac:dyDescent="0.25">
      <c r="F7147" s="2"/>
    </row>
    <row r="7148" spans="6:6" x14ac:dyDescent="0.25">
      <c r="F7148" s="2"/>
    </row>
    <row r="7149" spans="6:6" x14ac:dyDescent="0.25">
      <c r="F7149" s="2"/>
    </row>
    <row r="7150" spans="6:6" x14ac:dyDescent="0.25">
      <c r="F7150" s="2"/>
    </row>
    <row r="7151" spans="6:6" x14ac:dyDescent="0.25">
      <c r="F7151" s="2"/>
    </row>
    <row r="7152" spans="6:6" x14ac:dyDescent="0.25">
      <c r="F7152" s="2"/>
    </row>
    <row r="7153" spans="6:6" x14ac:dyDescent="0.25">
      <c r="F7153" s="2"/>
    </row>
    <row r="7154" spans="6:6" x14ac:dyDescent="0.25">
      <c r="F7154" s="2"/>
    </row>
    <row r="7155" spans="6:6" x14ac:dyDescent="0.25">
      <c r="F7155" s="2"/>
    </row>
    <row r="7156" spans="6:6" x14ac:dyDescent="0.25">
      <c r="F7156" s="2"/>
    </row>
    <row r="7157" spans="6:6" x14ac:dyDescent="0.25">
      <c r="F7157" s="2"/>
    </row>
    <row r="7158" spans="6:6" x14ac:dyDescent="0.25">
      <c r="F7158" s="2"/>
    </row>
    <row r="7159" spans="6:6" x14ac:dyDescent="0.25">
      <c r="F7159" s="2"/>
    </row>
    <row r="7160" spans="6:6" x14ac:dyDescent="0.25">
      <c r="F7160" s="2"/>
    </row>
    <row r="7161" spans="6:6" x14ac:dyDescent="0.25">
      <c r="F7161" s="2"/>
    </row>
    <row r="7162" spans="6:6" x14ac:dyDescent="0.25">
      <c r="F7162" s="2"/>
    </row>
    <row r="7163" spans="6:6" x14ac:dyDescent="0.25">
      <c r="F7163" s="2"/>
    </row>
    <row r="7164" spans="6:6" x14ac:dyDescent="0.25">
      <c r="F7164" s="2"/>
    </row>
    <row r="7165" spans="6:6" x14ac:dyDescent="0.25">
      <c r="F7165" s="2"/>
    </row>
    <row r="7166" spans="6:6" x14ac:dyDescent="0.25">
      <c r="F7166" s="2"/>
    </row>
    <row r="7167" spans="6:6" x14ac:dyDescent="0.25">
      <c r="F7167" s="2"/>
    </row>
    <row r="7168" spans="6:6" x14ac:dyDescent="0.25">
      <c r="F7168" s="2"/>
    </row>
    <row r="7169" spans="6:6" x14ac:dyDescent="0.25">
      <c r="F7169" s="2"/>
    </row>
    <row r="7170" spans="6:6" x14ac:dyDescent="0.25">
      <c r="F7170" s="2"/>
    </row>
    <row r="7171" spans="6:6" x14ac:dyDescent="0.25">
      <c r="F7171" s="2"/>
    </row>
    <row r="7172" spans="6:6" x14ac:dyDescent="0.25">
      <c r="F7172" s="2"/>
    </row>
    <row r="7173" spans="6:6" x14ac:dyDescent="0.25">
      <c r="F7173" s="2"/>
    </row>
    <row r="7174" spans="6:6" x14ac:dyDescent="0.25">
      <c r="F7174" s="2"/>
    </row>
    <row r="7175" spans="6:6" x14ac:dyDescent="0.25">
      <c r="F7175" s="2"/>
    </row>
    <row r="7176" spans="6:6" x14ac:dyDescent="0.25">
      <c r="F7176" s="2"/>
    </row>
    <row r="7177" spans="6:6" x14ac:dyDescent="0.25">
      <c r="F7177" s="2"/>
    </row>
    <row r="7178" spans="6:6" x14ac:dyDescent="0.25">
      <c r="F7178" s="2"/>
    </row>
    <row r="7179" spans="6:6" x14ac:dyDescent="0.25">
      <c r="F7179" s="2"/>
    </row>
    <row r="7180" spans="6:6" x14ac:dyDescent="0.25">
      <c r="F7180" s="2"/>
    </row>
    <row r="7181" spans="6:6" x14ac:dyDescent="0.25">
      <c r="F7181" s="2"/>
    </row>
    <row r="7182" spans="6:6" x14ac:dyDescent="0.25">
      <c r="F7182" s="2"/>
    </row>
    <row r="7183" spans="6:6" x14ac:dyDescent="0.25">
      <c r="F7183" s="2"/>
    </row>
    <row r="7184" spans="6:6" x14ac:dyDescent="0.25">
      <c r="F7184" s="2"/>
    </row>
    <row r="7185" spans="6:6" x14ac:dyDescent="0.25">
      <c r="F7185" s="2"/>
    </row>
    <row r="7186" spans="6:6" x14ac:dyDescent="0.25">
      <c r="F7186" s="2"/>
    </row>
    <row r="7187" spans="6:6" x14ac:dyDescent="0.25">
      <c r="F7187" s="2"/>
    </row>
    <row r="7188" spans="6:6" x14ac:dyDescent="0.25">
      <c r="F7188" s="2"/>
    </row>
    <row r="7189" spans="6:6" x14ac:dyDescent="0.25">
      <c r="F7189" s="2"/>
    </row>
    <row r="7190" spans="6:6" x14ac:dyDescent="0.25">
      <c r="F7190" s="2"/>
    </row>
    <row r="7191" spans="6:6" x14ac:dyDescent="0.25">
      <c r="F7191" s="2"/>
    </row>
    <row r="7192" spans="6:6" x14ac:dyDescent="0.25">
      <c r="F7192" s="2"/>
    </row>
    <row r="7193" spans="6:6" x14ac:dyDescent="0.25">
      <c r="F7193" s="2"/>
    </row>
    <row r="7194" spans="6:6" x14ac:dyDescent="0.25">
      <c r="F7194" s="2"/>
    </row>
    <row r="7195" spans="6:6" x14ac:dyDescent="0.25">
      <c r="F7195" s="2"/>
    </row>
    <row r="7196" spans="6:6" x14ac:dyDescent="0.25">
      <c r="F7196" s="2"/>
    </row>
    <row r="7197" spans="6:6" x14ac:dyDescent="0.25">
      <c r="F7197" s="2"/>
    </row>
    <row r="7198" spans="6:6" x14ac:dyDescent="0.25">
      <c r="F7198" s="2"/>
    </row>
    <row r="7199" spans="6:6" x14ac:dyDescent="0.25">
      <c r="F7199" s="2"/>
    </row>
    <row r="7200" spans="6:6" x14ac:dyDescent="0.25">
      <c r="F7200" s="2"/>
    </row>
    <row r="7201" spans="6:6" x14ac:dyDescent="0.25">
      <c r="F7201" s="2"/>
    </row>
    <row r="7202" spans="6:6" x14ac:dyDescent="0.25">
      <c r="F7202" s="2"/>
    </row>
    <row r="7203" spans="6:6" x14ac:dyDescent="0.25">
      <c r="F7203" s="2"/>
    </row>
    <row r="7204" spans="6:6" x14ac:dyDescent="0.25">
      <c r="F7204" s="2"/>
    </row>
    <row r="7205" spans="6:6" x14ac:dyDescent="0.25">
      <c r="F7205" s="2"/>
    </row>
    <row r="7206" spans="6:6" x14ac:dyDescent="0.25">
      <c r="F7206" s="2"/>
    </row>
    <row r="7207" spans="6:6" x14ac:dyDescent="0.25">
      <c r="F7207" s="2"/>
    </row>
    <row r="7208" spans="6:6" x14ac:dyDescent="0.25">
      <c r="F7208" s="2"/>
    </row>
    <row r="7209" spans="6:6" x14ac:dyDescent="0.25">
      <c r="F7209" s="2"/>
    </row>
    <row r="7210" spans="6:6" x14ac:dyDescent="0.25">
      <c r="F7210" s="2"/>
    </row>
    <row r="7211" spans="6:6" x14ac:dyDescent="0.25">
      <c r="F7211" s="2"/>
    </row>
    <row r="7212" spans="6:6" x14ac:dyDescent="0.25">
      <c r="F7212" s="2"/>
    </row>
    <row r="7213" spans="6:6" x14ac:dyDescent="0.25">
      <c r="F7213" s="2"/>
    </row>
    <row r="7214" spans="6:6" x14ac:dyDescent="0.25">
      <c r="F7214" s="2"/>
    </row>
    <row r="7215" spans="6:6" x14ac:dyDescent="0.25">
      <c r="F7215" s="2"/>
    </row>
    <row r="7216" spans="6:6" x14ac:dyDescent="0.25">
      <c r="F7216" s="2"/>
    </row>
    <row r="7217" spans="6:6" x14ac:dyDescent="0.25">
      <c r="F7217" s="2"/>
    </row>
    <row r="7218" spans="6:6" x14ac:dyDescent="0.25">
      <c r="F7218" s="2"/>
    </row>
    <row r="7219" spans="6:6" x14ac:dyDescent="0.25">
      <c r="F7219" s="2"/>
    </row>
    <row r="7220" spans="6:6" x14ac:dyDescent="0.25">
      <c r="F7220" s="2"/>
    </row>
    <row r="7221" spans="6:6" x14ac:dyDescent="0.25">
      <c r="F7221" s="2"/>
    </row>
    <row r="7222" spans="6:6" x14ac:dyDescent="0.25">
      <c r="F7222" s="2"/>
    </row>
    <row r="7223" spans="6:6" x14ac:dyDescent="0.25">
      <c r="F7223" s="2"/>
    </row>
    <row r="7224" spans="6:6" x14ac:dyDescent="0.25">
      <c r="F7224" s="2"/>
    </row>
    <row r="7225" spans="6:6" x14ac:dyDescent="0.25">
      <c r="F7225" s="2"/>
    </row>
    <row r="7226" spans="6:6" x14ac:dyDescent="0.25">
      <c r="F7226" s="2"/>
    </row>
    <row r="7227" spans="6:6" x14ac:dyDescent="0.25">
      <c r="F7227" s="2"/>
    </row>
    <row r="7228" spans="6:6" x14ac:dyDescent="0.25">
      <c r="F7228" s="2"/>
    </row>
    <row r="7229" spans="6:6" x14ac:dyDescent="0.25">
      <c r="F7229" s="2"/>
    </row>
    <row r="7230" spans="6:6" x14ac:dyDescent="0.25">
      <c r="F7230" s="2"/>
    </row>
    <row r="7231" spans="6:6" x14ac:dyDescent="0.25">
      <c r="F7231" s="2"/>
    </row>
    <row r="7232" spans="6:6" x14ac:dyDescent="0.25">
      <c r="F7232" s="2"/>
    </row>
    <row r="7233" spans="6:6" x14ac:dyDescent="0.25">
      <c r="F7233" s="2"/>
    </row>
    <row r="7234" spans="6:6" x14ac:dyDescent="0.25">
      <c r="F7234" s="2"/>
    </row>
    <row r="7235" spans="6:6" x14ac:dyDescent="0.25">
      <c r="F7235" s="2"/>
    </row>
    <row r="7236" spans="6:6" x14ac:dyDescent="0.25">
      <c r="F7236" s="2"/>
    </row>
    <row r="7237" spans="6:6" x14ac:dyDescent="0.25">
      <c r="F7237" s="2"/>
    </row>
    <row r="7238" spans="6:6" x14ac:dyDescent="0.25">
      <c r="F7238" s="2"/>
    </row>
    <row r="7239" spans="6:6" x14ac:dyDescent="0.25">
      <c r="F7239" s="2"/>
    </row>
    <row r="7240" spans="6:6" x14ac:dyDescent="0.25">
      <c r="F7240" s="2"/>
    </row>
    <row r="7241" spans="6:6" x14ac:dyDescent="0.25">
      <c r="F7241" s="2"/>
    </row>
    <row r="7242" spans="6:6" x14ac:dyDescent="0.25">
      <c r="F7242" s="2"/>
    </row>
    <row r="7243" spans="6:6" x14ac:dyDescent="0.25">
      <c r="F7243" s="2"/>
    </row>
    <row r="7244" spans="6:6" x14ac:dyDescent="0.25">
      <c r="F7244" s="2"/>
    </row>
    <row r="7245" spans="6:6" x14ac:dyDescent="0.25">
      <c r="F7245" s="2"/>
    </row>
    <row r="7246" spans="6:6" x14ac:dyDescent="0.25">
      <c r="F7246" s="2"/>
    </row>
    <row r="7247" spans="6:6" x14ac:dyDescent="0.25">
      <c r="F7247" s="2"/>
    </row>
    <row r="7248" spans="6:6" x14ac:dyDescent="0.25">
      <c r="F7248" s="2"/>
    </row>
    <row r="7249" spans="6:6" x14ac:dyDescent="0.25">
      <c r="F7249" s="2"/>
    </row>
    <row r="7250" spans="6:6" x14ac:dyDescent="0.25">
      <c r="F7250" s="2"/>
    </row>
    <row r="7251" spans="6:6" x14ac:dyDescent="0.25">
      <c r="F7251" s="2"/>
    </row>
    <row r="7252" spans="6:6" x14ac:dyDescent="0.25">
      <c r="F7252" s="2"/>
    </row>
    <row r="7253" spans="6:6" x14ac:dyDescent="0.25">
      <c r="F7253" s="2"/>
    </row>
    <row r="7254" spans="6:6" x14ac:dyDescent="0.25">
      <c r="F7254" s="2"/>
    </row>
    <row r="7255" spans="6:6" x14ac:dyDescent="0.25">
      <c r="F7255" s="2"/>
    </row>
    <row r="7256" spans="6:6" x14ac:dyDescent="0.25">
      <c r="F7256" s="2"/>
    </row>
    <row r="7257" spans="6:6" x14ac:dyDescent="0.25">
      <c r="F7257" s="2"/>
    </row>
    <row r="7258" spans="6:6" x14ac:dyDescent="0.25">
      <c r="F7258" s="2"/>
    </row>
    <row r="7259" spans="6:6" x14ac:dyDescent="0.25">
      <c r="F7259" s="2"/>
    </row>
    <row r="7260" spans="6:6" x14ac:dyDescent="0.25">
      <c r="F7260" s="2"/>
    </row>
    <row r="7261" spans="6:6" x14ac:dyDescent="0.25">
      <c r="F7261" s="2"/>
    </row>
    <row r="7262" spans="6:6" x14ac:dyDescent="0.25">
      <c r="F7262" s="2"/>
    </row>
    <row r="7263" spans="6:6" x14ac:dyDescent="0.25">
      <c r="F7263" s="2"/>
    </row>
    <row r="7264" spans="6:6" x14ac:dyDescent="0.25">
      <c r="F7264" s="2"/>
    </row>
    <row r="7265" spans="6:6" x14ac:dyDescent="0.25">
      <c r="F7265" s="2"/>
    </row>
    <row r="7266" spans="6:6" x14ac:dyDescent="0.25">
      <c r="F7266" s="2"/>
    </row>
    <row r="7267" spans="6:6" x14ac:dyDescent="0.25">
      <c r="F7267" s="2"/>
    </row>
    <row r="7268" spans="6:6" x14ac:dyDescent="0.25">
      <c r="F7268" s="2"/>
    </row>
    <row r="7269" spans="6:6" x14ac:dyDescent="0.25">
      <c r="F7269" s="2"/>
    </row>
    <row r="7270" spans="6:6" x14ac:dyDescent="0.25">
      <c r="F7270" s="2"/>
    </row>
    <row r="7271" spans="6:6" x14ac:dyDescent="0.25">
      <c r="F7271" s="2"/>
    </row>
    <row r="7272" spans="6:6" x14ac:dyDescent="0.25">
      <c r="F7272" s="2"/>
    </row>
    <row r="7273" spans="6:6" x14ac:dyDescent="0.25">
      <c r="F7273" s="2"/>
    </row>
    <row r="7274" spans="6:6" x14ac:dyDescent="0.25">
      <c r="F7274" s="2"/>
    </row>
    <row r="7275" spans="6:6" x14ac:dyDescent="0.25">
      <c r="F7275" s="2"/>
    </row>
    <row r="7276" spans="6:6" x14ac:dyDescent="0.25">
      <c r="F7276" s="2"/>
    </row>
    <row r="7277" spans="6:6" x14ac:dyDescent="0.25">
      <c r="F7277" s="2"/>
    </row>
    <row r="7278" spans="6:6" x14ac:dyDescent="0.25">
      <c r="F7278" s="2"/>
    </row>
    <row r="7279" spans="6:6" x14ac:dyDescent="0.25">
      <c r="F7279" s="2"/>
    </row>
    <row r="7280" spans="6:6" x14ac:dyDescent="0.25">
      <c r="F7280" s="2"/>
    </row>
    <row r="7281" spans="6:6" x14ac:dyDescent="0.25">
      <c r="F7281" s="2"/>
    </row>
    <row r="7282" spans="6:6" x14ac:dyDescent="0.25">
      <c r="F7282" s="2"/>
    </row>
    <row r="7283" spans="6:6" x14ac:dyDescent="0.25">
      <c r="F7283" s="2"/>
    </row>
    <row r="7284" spans="6:6" x14ac:dyDescent="0.25">
      <c r="F7284" s="2"/>
    </row>
    <row r="7285" spans="6:6" x14ac:dyDescent="0.25">
      <c r="F7285" s="2"/>
    </row>
    <row r="7286" spans="6:6" x14ac:dyDescent="0.25">
      <c r="F7286" s="2"/>
    </row>
    <row r="7287" spans="6:6" x14ac:dyDescent="0.25">
      <c r="F7287" s="2"/>
    </row>
    <row r="7288" spans="6:6" x14ac:dyDescent="0.25">
      <c r="F7288" s="2"/>
    </row>
    <row r="7289" spans="6:6" x14ac:dyDescent="0.25">
      <c r="F7289" s="2"/>
    </row>
    <row r="7290" spans="6:6" x14ac:dyDescent="0.25">
      <c r="F7290" s="2"/>
    </row>
    <row r="7291" spans="6:6" x14ac:dyDescent="0.25">
      <c r="F7291" s="2"/>
    </row>
    <row r="7292" spans="6:6" x14ac:dyDescent="0.25">
      <c r="F7292" s="2"/>
    </row>
    <row r="7293" spans="6:6" x14ac:dyDescent="0.25">
      <c r="F7293" s="2"/>
    </row>
    <row r="7294" spans="6:6" x14ac:dyDescent="0.25">
      <c r="F7294" s="2"/>
    </row>
    <row r="7295" spans="6:6" x14ac:dyDescent="0.25">
      <c r="F7295" s="2"/>
    </row>
    <row r="7296" spans="6:6" x14ac:dyDescent="0.25">
      <c r="F7296" s="2"/>
    </row>
    <row r="7297" spans="6:6" x14ac:dyDescent="0.25">
      <c r="F7297" s="2"/>
    </row>
    <row r="7298" spans="6:6" x14ac:dyDescent="0.25">
      <c r="F7298" s="2"/>
    </row>
    <row r="7299" spans="6:6" x14ac:dyDescent="0.25">
      <c r="F7299" s="2"/>
    </row>
    <row r="7300" spans="6:6" x14ac:dyDescent="0.25">
      <c r="F7300" s="2"/>
    </row>
    <row r="7301" spans="6:6" x14ac:dyDescent="0.25">
      <c r="F7301" s="2"/>
    </row>
    <row r="7302" spans="6:6" x14ac:dyDescent="0.25">
      <c r="F7302" s="2"/>
    </row>
    <row r="7303" spans="6:6" x14ac:dyDescent="0.25">
      <c r="F7303" s="2"/>
    </row>
    <row r="7304" spans="6:6" x14ac:dyDescent="0.25">
      <c r="F7304" s="2"/>
    </row>
    <row r="7305" spans="6:6" x14ac:dyDescent="0.25">
      <c r="F7305" s="2"/>
    </row>
    <row r="7306" spans="6:6" x14ac:dyDescent="0.25">
      <c r="F7306" s="2"/>
    </row>
    <row r="7307" spans="6:6" x14ac:dyDescent="0.25">
      <c r="F7307" s="2"/>
    </row>
    <row r="7308" spans="6:6" x14ac:dyDescent="0.25">
      <c r="F7308" s="2"/>
    </row>
    <row r="7309" spans="6:6" x14ac:dyDescent="0.25">
      <c r="F7309" s="2"/>
    </row>
    <row r="7310" spans="6:6" x14ac:dyDescent="0.25">
      <c r="F7310" s="2"/>
    </row>
    <row r="7311" spans="6:6" x14ac:dyDescent="0.25">
      <c r="F7311" s="2"/>
    </row>
    <row r="7312" spans="6:6" x14ac:dyDescent="0.25">
      <c r="F7312" s="2"/>
    </row>
    <row r="7313" spans="6:6" x14ac:dyDescent="0.25">
      <c r="F7313" s="2"/>
    </row>
    <row r="7314" spans="6:6" x14ac:dyDescent="0.25">
      <c r="F7314" s="2"/>
    </row>
    <row r="7315" spans="6:6" x14ac:dyDescent="0.25">
      <c r="F7315" s="2"/>
    </row>
    <row r="7316" spans="6:6" x14ac:dyDescent="0.25">
      <c r="F7316" s="2"/>
    </row>
    <row r="7317" spans="6:6" x14ac:dyDescent="0.25">
      <c r="F7317" s="2"/>
    </row>
    <row r="7318" spans="6:6" x14ac:dyDescent="0.25">
      <c r="F7318" s="2"/>
    </row>
    <row r="7319" spans="6:6" x14ac:dyDescent="0.25">
      <c r="F7319" s="2"/>
    </row>
    <row r="7320" spans="6:6" x14ac:dyDescent="0.25">
      <c r="F7320" s="2"/>
    </row>
    <row r="7321" spans="6:6" x14ac:dyDescent="0.25">
      <c r="F7321" s="2"/>
    </row>
    <row r="7322" spans="6:6" x14ac:dyDescent="0.25">
      <c r="F7322" s="2"/>
    </row>
    <row r="7323" spans="6:6" x14ac:dyDescent="0.25">
      <c r="F7323" s="2"/>
    </row>
    <row r="7324" spans="6:6" x14ac:dyDescent="0.25">
      <c r="F7324" s="2"/>
    </row>
    <row r="7325" spans="6:6" x14ac:dyDescent="0.25">
      <c r="F7325" s="2"/>
    </row>
    <row r="7326" spans="6:6" x14ac:dyDescent="0.25">
      <c r="F7326" s="2"/>
    </row>
    <row r="7327" spans="6:6" x14ac:dyDescent="0.25">
      <c r="F7327" s="2"/>
    </row>
    <row r="7328" spans="6:6" x14ac:dyDescent="0.25">
      <c r="F7328" s="2"/>
    </row>
    <row r="7329" spans="6:6" x14ac:dyDescent="0.25">
      <c r="F7329" s="2"/>
    </row>
    <row r="7330" spans="6:6" x14ac:dyDescent="0.25">
      <c r="F7330" s="2"/>
    </row>
    <row r="7331" spans="6:6" x14ac:dyDescent="0.25">
      <c r="F7331" s="2"/>
    </row>
    <row r="7332" spans="6:6" x14ac:dyDescent="0.25">
      <c r="F7332" s="2"/>
    </row>
    <row r="7333" spans="6:6" x14ac:dyDescent="0.25">
      <c r="F7333" s="2"/>
    </row>
    <row r="7334" spans="6:6" x14ac:dyDescent="0.25">
      <c r="F7334" s="2"/>
    </row>
    <row r="7335" spans="6:6" x14ac:dyDescent="0.25">
      <c r="F7335" s="2"/>
    </row>
    <row r="7336" spans="6:6" x14ac:dyDescent="0.25">
      <c r="F7336" s="2"/>
    </row>
    <row r="7337" spans="6:6" x14ac:dyDescent="0.25">
      <c r="F7337" s="2"/>
    </row>
    <row r="7338" spans="6:6" x14ac:dyDescent="0.25">
      <c r="F7338" s="2"/>
    </row>
    <row r="7339" spans="6:6" x14ac:dyDescent="0.25">
      <c r="F7339" s="2"/>
    </row>
    <row r="7340" spans="6:6" x14ac:dyDescent="0.25">
      <c r="F7340" s="2"/>
    </row>
    <row r="7341" spans="6:6" x14ac:dyDescent="0.25">
      <c r="F7341" s="2"/>
    </row>
    <row r="7342" spans="6:6" x14ac:dyDescent="0.25">
      <c r="F7342" s="2"/>
    </row>
    <row r="7343" spans="6:6" x14ac:dyDescent="0.25">
      <c r="F7343" s="2"/>
    </row>
    <row r="7344" spans="6:6" x14ac:dyDescent="0.25">
      <c r="F7344" s="2"/>
    </row>
    <row r="7345" spans="6:6" x14ac:dyDescent="0.25">
      <c r="F7345" s="2"/>
    </row>
    <row r="7346" spans="6:6" x14ac:dyDescent="0.25">
      <c r="F7346" s="2"/>
    </row>
    <row r="7347" spans="6:6" x14ac:dyDescent="0.25">
      <c r="F7347" s="2"/>
    </row>
    <row r="7348" spans="6:6" x14ac:dyDescent="0.25">
      <c r="F7348" s="2"/>
    </row>
    <row r="7349" spans="6:6" x14ac:dyDescent="0.25">
      <c r="F7349" s="2"/>
    </row>
    <row r="7350" spans="6:6" x14ac:dyDescent="0.25">
      <c r="F7350" s="2"/>
    </row>
    <row r="7351" spans="6:6" x14ac:dyDescent="0.25">
      <c r="F7351" s="2"/>
    </row>
    <row r="7352" spans="6:6" x14ac:dyDescent="0.25">
      <c r="F7352" s="2"/>
    </row>
    <row r="7353" spans="6:6" x14ac:dyDescent="0.25">
      <c r="F7353" s="2"/>
    </row>
    <row r="7354" spans="6:6" x14ac:dyDescent="0.25">
      <c r="F7354" s="2"/>
    </row>
    <row r="7355" spans="6:6" x14ac:dyDescent="0.25">
      <c r="F7355" s="2"/>
    </row>
    <row r="7356" spans="6:6" x14ac:dyDescent="0.25">
      <c r="F7356" s="2"/>
    </row>
    <row r="7357" spans="6:6" x14ac:dyDescent="0.25">
      <c r="F7357" s="2"/>
    </row>
    <row r="7358" spans="6:6" x14ac:dyDescent="0.25">
      <c r="F7358" s="2"/>
    </row>
    <row r="7359" spans="6:6" x14ac:dyDescent="0.25">
      <c r="F7359" s="2"/>
    </row>
    <row r="7360" spans="6:6" x14ac:dyDescent="0.25">
      <c r="F7360" s="2"/>
    </row>
    <row r="7361" spans="6:6" x14ac:dyDescent="0.25">
      <c r="F7361" s="2"/>
    </row>
    <row r="7362" spans="6:6" x14ac:dyDescent="0.25">
      <c r="F7362" s="2"/>
    </row>
    <row r="7363" spans="6:6" x14ac:dyDescent="0.25">
      <c r="F7363" s="2"/>
    </row>
    <row r="7364" spans="6:6" x14ac:dyDescent="0.25">
      <c r="F7364" s="2"/>
    </row>
    <row r="7365" spans="6:6" x14ac:dyDescent="0.25">
      <c r="F7365" s="2"/>
    </row>
    <row r="7366" spans="6:6" x14ac:dyDescent="0.25">
      <c r="F7366" s="2"/>
    </row>
    <row r="7367" spans="6:6" x14ac:dyDescent="0.25">
      <c r="F7367" s="2"/>
    </row>
    <row r="7368" spans="6:6" x14ac:dyDescent="0.25">
      <c r="F7368" s="2"/>
    </row>
    <row r="7369" spans="6:6" x14ac:dyDescent="0.25">
      <c r="F7369" s="2"/>
    </row>
    <row r="7370" spans="6:6" x14ac:dyDescent="0.25">
      <c r="F7370" s="2"/>
    </row>
    <row r="7371" spans="6:6" x14ac:dyDescent="0.25">
      <c r="F7371" s="2"/>
    </row>
    <row r="7372" spans="6:6" x14ac:dyDescent="0.25">
      <c r="F7372" s="2"/>
    </row>
    <row r="7373" spans="6:6" x14ac:dyDescent="0.25">
      <c r="F7373" s="2"/>
    </row>
    <row r="7374" spans="6:6" x14ac:dyDescent="0.25">
      <c r="F7374" s="2"/>
    </row>
    <row r="7375" spans="6:6" x14ac:dyDescent="0.25">
      <c r="F7375" s="2"/>
    </row>
    <row r="7376" spans="6:6" x14ac:dyDescent="0.25">
      <c r="F7376" s="2"/>
    </row>
    <row r="7377" spans="6:6" x14ac:dyDescent="0.25">
      <c r="F7377" s="2"/>
    </row>
    <row r="7378" spans="6:6" x14ac:dyDescent="0.25">
      <c r="F7378" s="2"/>
    </row>
    <row r="7379" spans="6:6" x14ac:dyDescent="0.25">
      <c r="F7379" s="2"/>
    </row>
    <row r="7380" spans="6:6" x14ac:dyDescent="0.25">
      <c r="F7380" s="2"/>
    </row>
    <row r="7381" spans="6:6" x14ac:dyDescent="0.25">
      <c r="F7381" s="2"/>
    </row>
    <row r="7382" spans="6:6" x14ac:dyDescent="0.25">
      <c r="F7382" s="2"/>
    </row>
    <row r="7383" spans="6:6" x14ac:dyDescent="0.25">
      <c r="F7383" s="2"/>
    </row>
    <row r="7384" spans="6:6" x14ac:dyDescent="0.25">
      <c r="F7384" s="2"/>
    </row>
    <row r="7385" spans="6:6" x14ac:dyDescent="0.25">
      <c r="F7385" s="2"/>
    </row>
    <row r="7386" spans="6:6" x14ac:dyDescent="0.25">
      <c r="F7386" s="2"/>
    </row>
    <row r="7387" spans="6:6" x14ac:dyDescent="0.25">
      <c r="F7387" s="2"/>
    </row>
    <row r="7388" spans="6:6" x14ac:dyDescent="0.25">
      <c r="F7388" s="2"/>
    </row>
    <row r="7389" spans="6:6" x14ac:dyDescent="0.25">
      <c r="F7389" s="2"/>
    </row>
    <row r="7390" spans="6:6" x14ac:dyDescent="0.25">
      <c r="F7390" s="2"/>
    </row>
    <row r="7391" spans="6:6" x14ac:dyDescent="0.25">
      <c r="F7391" s="2"/>
    </row>
    <row r="7392" spans="6:6" x14ac:dyDescent="0.25">
      <c r="F7392" s="2"/>
    </row>
    <row r="7393" spans="6:6" x14ac:dyDescent="0.25">
      <c r="F7393" s="2"/>
    </row>
    <row r="7394" spans="6:6" x14ac:dyDescent="0.25">
      <c r="F7394" s="2"/>
    </row>
    <row r="7395" spans="6:6" x14ac:dyDescent="0.25">
      <c r="F7395" s="2"/>
    </row>
    <row r="7396" spans="6:6" x14ac:dyDescent="0.25">
      <c r="F7396" s="2"/>
    </row>
    <row r="7397" spans="6:6" x14ac:dyDescent="0.25">
      <c r="F7397" s="2"/>
    </row>
    <row r="7398" spans="6:6" x14ac:dyDescent="0.25">
      <c r="F7398" s="2"/>
    </row>
    <row r="7399" spans="6:6" x14ac:dyDescent="0.25">
      <c r="F7399" s="2"/>
    </row>
    <row r="7400" spans="6:6" x14ac:dyDescent="0.25">
      <c r="F7400" s="2"/>
    </row>
    <row r="7401" spans="6:6" x14ac:dyDescent="0.25">
      <c r="F7401" s="2"/>
    </row>
    <row r="7402" spans="6:6" x14ac:dyDescent="0.25">
      <c r="F7402" s="2"/>
    </row>
    <row r="7403" spans="6:6" x14ac:dyDescent="0.25">
      <c r="F7403" s="2"/>
    </row>
    <row r="7404" spans="6:6" x14ac:dyDescent="0.25">
      <c r="F7404" s="2"/>
    </row>
    <row r="7405" spans="6:6" x14ac:dyDescent="0.25">
      <c r="F7405" s="2"/>
    </row>
    <row r="7406" spans="6:6" x14ac:dyDescent="0.25">
      <c r="F7406" s="2"/>
    </row>
    <row r="7407" spans="6:6" x14ac:dyDescent="0.25">
      <c r="F7407" s="2"/>
    </row>
    <row r="7408" spans="6:6" x14ac:dyDescent="0.25">
      <c r="F7408" s="2"/>
    </row>
    <row r="7409" spans="6:6" x14ac:dyDescent="0.25">
      <c r="F7409" s="2"/>
    </row>
    <row r="7410" spans="6:6" x14ac:dyDescent="0.25">
      <c r="F7410" s="2"/>
    </row>
    <row r="7411" spans="6:6" x14ac:dyDescent="0.25">
      <c r="F7411" s="2"/>
    </row>
    <row r="7412" spans="6:6" x14ac:dyDescent="0.25">
      <c r="F7412" s="2"/>
    </row>
    <row r="7413" spans="6:6" x14ac:dyDescent="0.25">
      <c r="F7413" s="2"/>
    </row>
    <row r="7414" spans="6:6" x14ac:dyDescent="0.25">
      <c r="F7414" s="2"/>
    </row>
    <row r="7415" spans="6:6" x14ac:dyDescent="0.25">
      <c r="F7415" s="2"/>
    </row>
    <row r="7416" spans="6:6" x14ac:dyDescent="0.25">
      <c r="F7416" s="2"/>
    </row>
    <row r="7417" spans="6:6" x14ac:dyDescent="0.25">
      <c r="F7417" s="2"/>
    </row>
    <row r="7418" spans="6:6" x14ac:dyDescent="0.25">
      <c r="F7418" s="2"/>
    </row>
    <row r="7419" spans="6:6" x14ac:dyDescent="0.25">
      <c r="F7419" s="2"/>
    </row>
    <row r="7420" spans="6:6" x14ac:dyDescent="0.25">
      <c r="F7420" s="2"/>
    </row>
    <row r="7421" spans="6:6" x14ac:dyDescent="0.25">
      <c r="F7421" s="2"/>
    </row>
    <row r="7422" spans="6:6" x14ac:dyDescent="0.25">
      <c r="F7422" s="2"/>
    </row>
    <row r="7423" spans="6:6" x14ac:dyDescent="0.25">
      <c r="F7423" s="2"/>
    </row>
    <row r="7424" spans="6:6" x14ac:dyDescent="0.25">
      <c r="F7424" s="2"/>
    </row>
    <row r="7425" spans="6:6" x14ac:dyDescent="0.25">
      <c r="F7425" s="2"/>
    </row>
    <row r="7426" spans="6:6" x14ac:dyDescent="0.25">
      <c r="F7426" s="2"/>
    </row>
    <row r="7427" spans="6:6" x14ac:dyDescent="0.25">
      <c r="F7427" s="2"/>
    </row>
    <row r="7428" spans="6:6" x14ac:dyDescent="0.25">
      <c r="F7428" s="2"/>
    </row>
    <row r="7429" spans="6:6" x14ac:dyDescent="0.25">
      <c r="F7429" s="2"/>
    </row>
    <row r="7430" spans="6:6" x14ac:dyDescent="0.25">
      <c r="F7430" s="2"/>
    </row>
    <row r="7431" spans="6:6" x14ac:dyDescent="0.25">
      <c r="F7431" s="2"/>
    </row>
    <row r="7432" spans="6:6" x14ac:dyDescent="0.25">
      <c r="F7432" s="2"/>
    </row>
    <row r="7433" spans="6:6" x14ac:dyDescent="0.25">
      <c r="F7433" s="2"/>
    </row>
    <row r="7434" spans="6:6" x14ac:dyDescent="0.25">
      <c r="F7434" s="2"/>
    </row>
    <row r="7435" spans="6:6" x14ac:dyDescent="0.25">
      <c r="F7435" s="2"/>
    </row>
    <row r="7436" spans="6:6" x14ac:dyDescent="0.25">
      <c r="F7436" s="2"/>
    </row>
    <row r="7437" spans="6:6" x14ac:dyDescent="0.25">
      <c r="F7437" s="2"/>
    </row>
    <row r="7438" spans="6:6" x14ac:dyDescent="0.25">
      <c r="F7438" s="2"/>
    </row>
    <row r="7439" spans="6:6" x14ac:dyDescent="0.25">
      <c r="F7439" s="2"/>
    </row>
    <row r="7440" spans="6:6" x14ac:dyDescent="0.25">
      <c r="F7440" s="2"/>
    </row>
    <row r="7441" spans="6:6" x14ac:dyDescent="0.25">
      <c r="F7441" s="2"/>
    </row>
    <row r="7442" spans="6:6" x14ac:dyDescent="0.25">
      <c r="F7442" s="2"/>
    </row>
    <row r="7443" spans="6:6" x14ac:dyDescent="0.25">
      <c r="F7443" s="2"/>
    </row>
    <row r="7444" spans="6:6" x14ac:dyDescent="0.25">
      <c r="F7444" s="2"/>
    </row>
    <row r="7445" spans="6:6" x14ac:dyDescent="0.25">
      <c r="F7445" s="2"/>
    </row>
    <row r="7446" spans="6:6" x14ac:dyDescent="0.25">
      <c r="F7446" s="2"/>
    </row>
    <row r="7447" spans="6:6" x14ac:dyDescent="0.25">
      <c r="F7447" s="2"/>
    </row>
    <row r="7448" spans="6:6" x14ac:dyDescent="0.25">
      <c r="F7448" s="2"/>
    </row>
    <row r="7449" spans="6:6" x14ac:dyDescent="0.25">
      <c r="F7449" s="2"/>
    </row>
    <row r="7450" spans="6:6" x14ac:dyDescent="0.25">
      <c r="F7450" s="2"/>
    </row>
    <row r="7451" spans="6:6" x14ac:dyDescent="0.25">
      <c r="F7451" s="2"/>
    </row>
    <row r="7452" spans="6:6" x14ac:dyDescent="0.25">
      <c r="F7452" s="2"/>
    </row>
    <row r="7453" spans="6:6" x14ac:dyDescent="0.25">
      <c r="F7453" s="2"/>
    </row>
    <row r="7454" spans="6:6" x14ac:dyDescent="0.25">
      <c r="F7454" s="2"/>
    </row>
    <row r="7455" spans="6:6" x14ac:dyDescent="0.25">
      <c r="F7455" s="2"/>
    </row>
    <row r="7456" spans="6:6" x14ac:dyDescent="0.25">
      <c r="F7456" s="2"/>
    </row>
    <row r="7457" spans="6:6" x14ac:dyDescent="0.25">
      <c r="F7457" s="2"/>
    </row>
    <row r="7458" spans="6:6" x14ac:dyDescent="0.25">
      <c r="F7458" s="2"/>
    </row>
    <row r="7459" spans="6:6" x14ac:dyDescent="0.25">
      <c r="F7459" s="2"/>
    </row>
    <row r="7460" spans="6:6" x14ac:dyDescent="0.25">
      <c r="F7460" s="2"/>
    </row>
    <row r="7461" spans="6:6" x14ac:dyDescent="0.25">
      <c r="F7461" s="2"/>
    </row>
    <row r="7462" spans="6:6" x14ac:dyDescent="0.25">
      <c r="F7462" s="2"/>
    </row>
    <row r="7463" spans="6:6" x14ac:dyDescent="0.25">
      <c r="F7463" s="2"/>
    </row>
    <row r="7464" spans="6:6" x14ac:dyDescent="0.25">
      <c r="F7464" s="2"/>
    </row>
    <row r="7465" spans="6:6" x14ac:dyDescent="0.25">
      <c r="F7465" s="2"/>
    </row>
    <row r="7466" spans="6:6" x14ac:dyDescent="0.25">
      <c r="F7466" s="2"/>
    </row>
    <row r="7467" spans="6:6" x14ac:dyDescent="0.25">
      <c r="F7467" s="2"/>
    </row>
    <row r="7468" spans="6:6" x14ac:dyDescent="0.25">
      <c r="F7468" s="2"/>
    </row>
    <row r="7469" spans="6:6" x14ac:dyDescent="0.25">
      <c r="F7469" s="2"/>
    </row>
    <row r="7470" spans="6:6" x14ac:dyDescent="0.25">
      <c r="F7470" s="2"/>
    </row>
    <row r="7471" spans="6:6" x14ac:dyDescent="0.25">
      <c r="F7471" s="2"/>
    </row>
    <row r="7472" spans="6:6" x14ac:dyDescent="0.25">
      <c r="F7472" s="2"/>
    </row>
    <row r="7473" spans="6:6" x14ac:dyDescent="0.25">
      <c r="F7473" s="2"/>
    </row>
    <row r="7474" spans="6:6" x14ac:dyDescent="0.25">
      <c r="F7474" s="2"/>
    </row>
    <row r="7475" spans="6:6" x14ac:dyDescent="0.25">
      <c r="F7475" s="2"/>
    </row>
    <row r="7476" spans="6:6" x14ac:dyDescent="0.25">
      <c r="F7476" s="2"/>
    </row>
    <row r="7477" spans="6:6" x14ac:dyDescent="0.25">
      <c r="F7477" s="2"/>
    </row>
    <row r="7478" spans="6:6" x14ac:dyDescent="0.25">
      <c r="F7478" s="2"/>
    </row>
    <row r="7479" spans="6:6" x14ac:dyDescent="0.25">
      <c r="F7479" s="2"/>
    </row>
    <row r="7480" spans="6:6" x14ac:dyDescent="0.25">
      <c r="F7480" s="2"/>
    </row>
    <row r="7481" spans="6:6" x14ac:dyDescent="0.25">
      <c r="F7481" s="2"/>
    </row>
    <row r="7482" spans="6:6" x14ac:dyDescent="0.25">
      <c r="F7482" s="2"/>
    </row>
    <row r="7483" spans="6:6" x14ac:dyDescent="0.25">
      <c r="F7483" s="2"/>
    </row>
    <row r="7484" spans="6:6" x14ac:dyDescent="0.25">
      <c r="F7484" s="2"/>
    </row>
    <row r="7485" spans="6:6" x14ac:dyDescent="0.25">
      <c r="F7485" s="2"/>
    </row>
    <row r="7486" spans="6:6" x14ac:dyDescent="0.25">
      <c r="F7486" s="2"/>
    </row>
    <row r="7487" spans="6:6" x14ac:dyDescent="0.25">
      <c r="F7487" s="2"/>
    </row>
    <row r="7488" spans="6:6" x14ac:dyDescent="0.25">
      <c r="F7488" s="2"/>
    </row>
    <row r="7489" spans="6:6" x14ac:dyDescent="0.25">
      <c r="F7489" s="2"/>
    </row>
    <row r="7490" spans="6:6" x14ac:dyDescent="0.25">
      <c r="F7490" s="2"/>
    </row>
    <row r="7491" spans="6:6" x14ac:dyDescent="0.25">
      <c r="F7491" s="2"/>
    </row>
    <row r="7492" spans="6:6" x14ac:dyDescent="0.25">
      <c r="F7492" s="2"/>
    </row>
    <row r="7493" spans="6:6" x14ac:dyDescent="0.25">
      <c r="F7493" s="2"/>
    </row>
    <row r="7494" spans="6:6" x14ac:dyDescent="0.25">
      <c r="F7494" s="2"/>
    </row>
    <row r="7495" spans="6:6" x14ac:dyDescent="0.25">
      <c r="F7495" s="2"/>
    </row>
    <row r="7496" spans="6:6" x14ac:dyDescent="0.25">
      <c r="F7496" s="2"/>
    </row>
    <row r="7497" spans="6:6" x14ac:dyDescent="0.25">
      <c r="F7497" s="2"/>
    </row>
    <row r="7498" spans="6:6" x14ac:dyDescent="0.25">
      <c r="F7498" s="2"/>
    </row>
    <row r="7499" spans="6:6" x14ac:dyDescent="0.25">
      <c r="F7499" s="2"/>
    </row>
    <row r="7500" spans="6:6" x14ac:dyDescent="0.25">
      <c r="F7500" s="2"/>
    </row>
    <row r="7501" spans="6:6" x14ac:dyDescent="0.25">
      <c r="F7501" s="2"/>
    </row>
    <row r="7502" spans="6:6" x14ac:dyDescent="0.25">
      <c r="F7502" s="2"/>
    </row>
    <row r="7503" spans="6:6" x14ac:dyDescent="0.25">
      <c r="F7503" s="2"/>
    </row>
    <row r="7504" spans="6:6" x14ac:dyDescent="0.25">
      <c r="F7504" s="2"/>
    </row>
    <row r="7505" spans="6:6" x14ac:dyDescent="0.25">
      <c r="F7505" s="2"/>
    </row>
    <row r="7506" spans="6:6" x14ac:dyDescent="0.25">
      <c r="F7506" s="2"/>
    </row>
    <row r="7507" spans="6:6" x14ac:dyDescent="0.25">
      <c r="F7507" s="2"/>
    </row>
    <row r="7508" spans="6:6" x14ac:dyDescent="0.25">
      <c r="F7508" s="2"/>
    </row>
    <row r="7509" spans="6:6" x14ac:dyDescent="0.25">
      <c r="F7509" s="2"/>
    </row>
    <row r="7510" spans="6:6" x14ac:dyDescent="0.25">
      <c r="F7510" s="2"/>
    </row>
    <row r="7511" spans="6:6" x14ac:dyDescent="0.25">
      <c r="F7511" s="2"/>
    </row>
    <row r="7512" spans="6:6" x14ac:dyDescent="0.25">
      <c r="F7512" s="2"/>
    </row>
    <row r="7513" spans="6:6" x14ac:dyDescent="0.25">
      <c r="F7513" s="2"/>
    </row>
    <row r="7514" spans="6:6" x14ac:dyDescent="0.25">
      <c r="F7514" s="2"/>
    </row>
    <row r="7515" spans="6:6" x14ac:dyDescent="0.25">
      <c r="F7515" s="2"/>
    </row>
    <row r="7516" spans="6:6" x14ac:dyDescent="0.25">
      <c r="F7516" s="2"/>
    </row>
    <row r="7517" spans="6:6" x14ac:dyDescent="0.25">
      <c r="F7517" s="2"/>
    </row>
    <row r="7518" spans="6:6" x14ac:dyDescent="0.25">
      <c r="F7518" s="2"/>
    </row>
    <row r="7519" spans="6:6" x14ac:dyDescent="0.25">
      <c r="F7519" s="2"/>
    </row>
    <row r="7520" spans="6:6" x14ac:dyDescent="0.25">
      <c r="F7520" s="2"/>
    </row>
    <row r="7521" spans="6:6" x14ac:dyDescent="0.25">
      <c r="F7521" s="2"/>
    </row>
    <row r="7522" spans="6:6" x14ac:dyDescent="0.25">
      <c r="F7522" s="2"/>
    </row>
    <row r="7523" spans="6:6" x14ac:dyDescent="0.25">
      <c r="F7523" s="2"/>
    </row>
    <row r="7524" spans="6:6" x14ac:dyDescent="0.25">
      <c r="F7524" s="2"/>
    </row>
    <row r="7525" spans="6:6" x14ac:dyDescent="0.25">
      <c r="F7525" s="2"/>
    </row>
    <row r="7526" spans="6:6" x14ac:dyDescent="0.25">
      <c r="F7526" s="2"/>
    </row>
    <row r="7527" spans="6:6" x14ac:dyDescent="0.25">
      <c r="F7527" s="2"/>
    </row>
    <row r="7528" spans="6:6" x14ac:dyDescent="0.25">
      <c r="F7528" s="2"/>
    </row>
    <row r="7529" spans="6:6" x14ac:dyDescent="0.25">
      <c r="F7529" s="2"/>
    </row>
    <row r="7530" spans="6:6" x14ac:dyDescent="0.25">
      <c r="F7530" s="2"/>
    </row>
    <row r="7531" spans="6:6" x14ac:dyDescent="0.25">
      <c r="F7531" s="2"/>
    </row>
    <row r="7532" spans="6:6" x14ac:dyDescent="0.25">
      <c r="F7532" s="2"/>
    </row>
    <row r="7533" spans="6:6" x14ac:dyDescent="0.25">
      <c r="F7533" s="2"/>
    </row>
    <row r="7534" spans="6:6" x14ac:dyDescent="0.25">
      <c r="F7534" s="2"/>
    </row>
    <row r="7535" spans="6:6" x14ac:dyDescent="0.25">
      <c r="F7535" s="2"/>
    </row>
    <row r="7536" spans="6:6" x14ac:dyDescent="0.25">
      <c r="F7536" s="2"/>
    </row>
    <row r="7537" spans="6:6" x14ac:dyDescent="0.25">
      <c r="F7537" s="2"/>
    </row>
    <row r="7538" spans="6:6" x14ac:dyDescent="0.25">
      <c r="F7538" s="2"/>
    </row>
    <row r="7539" spans="6:6" x14ac:dyDescent="0.25">
      <c r="F7539" s="2"/>
    </row>
    <row r="7540" spans="6:6" x14ac:dyDescent="0.25">
      <c r="F7540" s="2"/>
    </row>
    <row r="7541" spans="6:6" x14ac:dyDescent="0.25">
      <c r="F7541" s="2"/>
    </row>
    <row r="7542" spans="6:6" x14ac:dyDescent="0.25">
      <c r="F7542" s="2"/>
    </row>
    <row r="7543" spans="6:6" x14ac:dyDescent="0.25">
      <c r="F7543" s="2"/>
    </row>
    <row r="7544" spans="6:6" x14ac:dyDescent="0.25">
      <c r="F7544" s="2"/>
    </row>
    <row r="7545" spans="6:6" x14ac:dyDescent="0.25">
      <c r="F7545" s="2"/>
    </row>
    <row r="7546" spans="6:6" x14ac:dyDescent="0.25">
      <c r="F7546" s="2"/>
    </row>
    <row r="7547" spans="6:6" x14ac:dyDescent="0.25">
      <c r="F7547" s="2"/>
    </row>
    <row r="7548" spans="6:6" x14ac:dyDescent="0.25">
      <c r="F7548" s="2"/>
    </row>
    <row r="7549" spans="6:6" x14ac:dyDescent="0.25">
      <c r="F7549" s="2"/>
    </row>
    <row r="7550" spans="6:6" x14ac:dyDescent="0.25">
      <c r="F7550" s="2"/>
    </row>
    <row r="7551" spans="6:6" x14ac:dyDescent="0.25">
      <c r="F7551" s="2"/>
    </row>
    <row r="7552" spans="6:6" x14ac:dyDescent="0.25">
      <c r="F7552" s="2"/>
    </row>
    <row r="7553" spans="6:6" x14ac:dyDescent="0.25">
      <c r="F7553" s="2"/>
    </row>
    <row r="7554" spans="6:6" x14ac:dyDescent="0.25">
      <c r="F7554" s="2"/>
    </row>
    <row r="7555" spans="6:6" x14ac:dyDescent="0.25">
      <c r="F7555" s="2"/>
    </row>
    <row r="7556" spans="6:6" x14ac:dyDescent="0.25">
      <c r="F7556" s="2"/>
    </row>
    <row r="7557" spans="6:6" x14ac:dyDescent="0.25">
      <c r="F7557" s="2"/>
    </row>
    <row r="7558" spans="6:6" x14ac:dyDescent="0.25">
      <c r="F7558" s="2"/>
    </row>
    <row r="7559" spans="6:6" x14ac:dyDescent="0.25">
      <c r="F7559" s="2"/>
    </row>
    <row r="7560" spans="6:6" x14ac:dyDescent="0.25">
      <c r="F7560" s="2"/>
    </row>
    <row r="7561" spans="6:6" x14ac:dyDescent="0.25">
      <c r="F7561" s="2"/>
    </row>
    <row r="7562" spans="6:6" x14ac:dyDescent="0.25">
      <c r="F7562" s="2"/>
    </row>
    <row r="7563" spans="6:6" x14ac:dyDescent="0.25">
      <c r="F7563" s="2"/>
    </row>
    <row r="7564" spans="6:6" x14ac:dyDescent="0.25">
      <c r="F7564" s="2"/>
    </row>
    <row r="7565" spans="6:6" x14ac:dyDescent="0.25">
      <c r="F7565" s="2"/>
    </row>
    <row r="7566" spans="6:6" x14ac:dyDescent="0.25">
      <c r="F7566" s="2"/>
    </row>
    <row r="7567" spans="6:6" x14ac:dyDescent="0.25">
      <c r="F7567" s="2"/>
    </row>
    <row r="7568" spans="6:6" x14ac:dyDescent="0.25">
      <c r="F7568" s="2"/>
    </row>
    <row r="7569" spans="6:6" x14ac:dyDescent="0.25">
      <c r="F7569" s="2"/>
    </row>
    <row r="7570" spans="6:6" x14ac:dyDescent="0.25">
      <c r="F7570" s="2"/>
    </row>
    <row r="7571" spans="6:6" x14ac:dyDescent="0.25">
      <c r="F7571" s="2"/>
    </row>
    <row r="7572" spans="6:6" x14ac:dyDescent="0.25">
      <c r="F7572" s="2"/>
    </row>
    <row r="7573" spans="6:6" x14ac:dyDescent="0.25">
      <c r="F7573" s="2"/>
    </row>
    <row r="7574" spans="6:6" x14ac:dyDescent="0.25">
      <c r="F7574" s="2"/>
    </row>
    <row r="7575" spans="6:6" x14ac:dyDescent="0.25">
      <c r="F7575" s="2"/>
    </row>
    <row r="7576" spans="6:6" x14ac:dyDescent="0.25">
      <c r="F7576" s="2"/>
    </row>
    <row r="7577" spans="6:6" x14ac:dyDescent="0.25">
      <c r="F7577" s="2"/>
    </row>
    <row r="7578" spans="6:6" x14ac:dyDescent="0.25">
      <c r="F7578" s="2"/>
    </row>
    <row r="7579" spans="6:6" x14ac:dyDescent="0.25">
      <c r="F7579" s="2"/>
    </row>
    <row r="7580" spans="6:6" x14ac:dyDescent="0.25">
      <c r="F7580" s="2"/>
    </row>
    <row r="7581" spans="6:6" x14ac:dyDescent="0.25">
      <c r="F7581" s="2"/>
    </row>
    <row r="7582" spans="6:6" x14ac:dyDescent="0.25">
      <c r="F7582" s="2"/>
    </row>
    <row r="7583" spans="6:6" x14ac:dyDescent="0.25">
      <c r="F7583" s="2"/>
    </row>
    <row r="7584" spans="6:6" x14ac:dyDescent="0.25">
      <c r="F7584" s="2"/>
    </row>
    <row r="7585" spans="6:6" x14ac:dyDescent="0.25">
      <c r="F7585" s="2"/>
    </row>
    <row r="7586" spans="6:6" x14ac:dyDescent="0.25">
      <c r="F7586" s="2"/>
    </row>
    <row r="7587" spans="6:6" x14ac:dyDescent="0.25">
      <c r="F7587" s="2"/>
    </row>
    <row r="7588" spans="6:6" x14ac:dyDescent="0.25">
      <c r="F7588" s="2"/>
    </row>
    <row r="7589" spans="6:6" x14ac:dyDescent="0.25">
      <c r="F7589" s="2"/>
    </row>
    <row r="7590" spans="6:6" x14ac:dyDescent="0.25">
      <c r="F7590" s="2"/>
    </row>
    <row r="7591" spans="6:6" x14ac:dyDescent="0.25">
      <c r="F7591" s="2"/>
    </row>
    <row r="7592" spans="6:6" x14ac:dyDescent="0.25">
      <c r="F7592" s="2"/>
    </row>
    <row r="7593" spans="6:6" x14ac:dyDescent="0.25">
      <c r="F7593" s="2"/>
    </row>
    <row r="7594" spans="6:6" x14ac:dyDescent="0.25">
      <c r="F7594" s="2"/>
    </row>
    <row r="7595" spans="6:6" x14ac:dyDescent="0.25">
      <c r="F7595" s="2"/>
    </row>
    <row r="7596" spans="6:6" x14ac:dyDescent="0.25">
      <c r="F7596" s="2"/>
    </row>
    <row r="7597" spans="6:6" x14ac:dyDescent="0.25">
      <c r="F7597" s="2"/>
    </row>
    <row r="7598" spans="6:6" x14ac:dyDescent="0.25">
      <c r="F7598" s="2"/>
    </row>
    <row r="7599" spans="6:6" x14ac:dyDescent="0.25">
      <c r="F7599" s="2"/>
    </row>
    <row r="7600" spans="6:6" x14ac:dyDescent="0.25">
      <c r="F7600" s="2"/>
    </row>
    <row r="7601" spans="6:6" x14ac:dyDescent="0.25">
      <c r="F7601" s="2"/>
    </row>
    <row r="7602" spans="6:6" x14ac:dyDescent="0.25">
      <c r="F7602" s="2"/>
    </row>
    <row r="7603" spans="6:6" x14ac:dyDescent="0.25">
      <c r="F7603" s="2"/>
    </row>
    <row r="7604" spans="6:6" x14ac:dyDescent="0.25">
      <c r="F7604" s="2"/>
    </row>
    <row r="7605" spans="6:6" x14ac:dyDescent="0.25">
      <c r="F7605" s="2"/>
    </row>
    <row r="7606" spans="6:6" x14ac:dyDescent="0.25">
      <c r="F7606" s="2"/>
    </row>
    <row r="7607" spans="6:6" x14ac:dyDescent="0.25">
      <c r="F7607" s="2"/>
    </row>
    <row r="7608" spans="6:6" x14ac:dyDescent="0.25">
      <c r="F7608" s="2"/>
    </row>
    <row r="7609" spans="6:6" x14ac:dyDescent="0.25">
      <c r="F7609" s="2"/>
    </row>
    <row r="7610" spans="6:6" x14ac:dyDescent="0.25">
      <c r="F7610" s="2"/>
    </row>
    <row r="7611" spans="6:6" x14ac:dyDescent="0.25">
      <c r="F7611" s="2"/>
    </row>
    <row r="7612" spans="6:6" x14ac:dyDescent="0.25">
      <c r="F7612" s="2"/>
    </row>
    <row r="7613" spans="6:6" x14ac:dyDescent="0.25">
      <c r="F7613" s="2"/>
    </row>
    <row r="7614" spans="6:6" x14ac:dyDescent="0.25">
      <c r="F7614" s="2"/>
    </row>
    <row r="7615" spans="6:6" x14ac:dyDescent="0.25">
      <c r="F7615" s="2"/>
    </row>
    <row r="7616" spans="6:6" x14ac:dyDescent="0.25">
      <c r="F7616" s="2"/>
    </row>
    <row r="7617" spans="6:6" x14ac:dyDescent="0.25">
      <c r="F7617" s="2"/>
    </row>
    <row r="7618" spans="6:6" x14ac:dyDescent="0.25">
      <c r="F7618" s="2"/>
    </row>
    <row r="7619" spans="6:6" x14ac:dyDescent="0.25">
      <c r="F7619" s="2"/>
    </row>
    <row r="7620" spans="6:6" x14ac:dyDescent="0.25">
      <c r="F7620" s="2"/>
    </row>
    <row r="7621" spans="6:6" x14ac:dyDescent="0.25">
      <c r="F7621" s="2"/>
    </row>
    <row r="7622" spans="6:6" x14ac:dyDescent="0.25">
      <c r="F7622" s="2"/>
    </row>
    <row r="7623" spans="6:6" x14ac:dyDescent="0.25">
      <c r="F7623" s="2"/>
    </row>
    <row r="7624" spans="6:6" x14ac:dyDescent="0.25">
      <c r="F7624" s="2"/>
    </row>
    <row r="7625" spans="6:6" x14ac:dyDescent="0.25">
      <c r="F7625" s="2"/>
    </row>
    <row r="7626" spans="6:6" x14ac:dyDescent="0.25">
      <c r="F7626" s="2"/>
    </row>
    <row r="7627" spans="6:6" x14ac:dyDescent="0.25">
      <c r="F7627" s="2"/>
    </row>
    <row r="7628" spans="6:6" x14ac:dyDescent="0.25">
      <c r="F7628" s="2"/>
    </row>
    <row r="7629" spans="6:6" x14ac:dyDescent="0.25">
      <c r="F7629" s="2"/>
    </row>
    <row r="7630" spans="6:6" x14ac:dyDescent="0.25">
      <c r="F7630" s="2"/>
    </row>
    <row r="7631" spans="6:6" x14ac:dyDescent="0.25">
      <c r="F7631" s="2"/>
    </row>
    <row r="7632" spans="6:6" x14ac:dyDescent="0.25">
      <c r="F7632" s="2"/>
    </row>
    <row r="7633" spans="6:6" x14ac:dyDescent="0.25">
      <c r="F7633" s="2"/>
    </row>
    <row r="7634" spans="6:6" x14ac:dyDescent="0.25">
      <c r="F7634" s="2"/>
    </row>
    <row r="7635" spans="6:6" x14ac:dyDescent="0.25">
      <c r="F7635" s="2"/>
    </row>
    <row r="7636" spans="6:6" x14ac:dyDescent="0.25">
      <c r="F7636" s="2"/>
    </row>
    <row r="7637" spans="6:6" x14ac:dyDescent="0.25">
      <c r="F7637" s="2"/>
    </row>
    <row r="7638" spans="6:6" x14ac:dyDescent="0.25">
      <c r="F7638" s="2"/>
    </row>
    <row r="7639" spans="6:6" x14ac:dyDescent="0.25">
      <c r="F7639" s="2"/>
    </row>
    <row r="7640" spans="6:6" x14ac:dyDescent="0.25">
      <c r="F7640" s="2"/>
    </row>
    <row r="7641" spans="6:6" x14ac:dyDescent="0.25">
      <c r="F7641" s="2"/>
    </row>
    <row r="7642" spans="6:6" x14ac:dyDescent="0.25">
      <c r="F7642" s="2"/>
    </row>
    <row r="7643" spans="6:6" x14ac:dyDescent="0.25">
      <c r="F7643" s="2"/>
    </row>
    <row r="7644" spans="6:6" x14ac:dyDescent="0.25">
      <c r="F7644" s="2"/>
    </row>
    <row r="7645" spans="6:6" x14ac:dyDescent="0.25">
      <c r="F7645" s="2"/>
    </row>
    <row r="7646" spans="6:6" x14ac:dyDescent="0.25">
      <c r="F7646" s="2"/>
    </row>
    <row r="7647" spans="6:6" x14ac:dyDescent="0.25">
      <c r="F7647" s="2"/>
    </row>
    <row r="7648" spans="6:6" x14ac:dyDescent="0.25">
      <c r="F7648" s="2"/>
    </row>
    <row r="7649" spans="6:6" x14ac:dyDescent="0.25">
      <c r="F7649" s="2"/>
    </row>
    <row r="7650" spans="6:6" x14ac:dyDescent="0.25">
      <c r="F7650" s="2"/>
    </row>
    <row r="7651" spans="6:6" x14ac:dyDescent="0.25">
      <c r="F7651" s="2"/>
    </row>
    <row r="7652" spans="6:6" x14ac:dyDescent="0.25">
      <c r="F7652" s="2"/>
    </row>
    <row r="7653" spans="6:6" x14ac:dyDescent="0.25">
      <c r="F7653" s="2"/>
    </row>
    <row r="7654" spans="6:6" x14ac:dyDescent="0.25">
      <c r="F7654" s="2"/>
    </row>
    <row r="7655" spans="6:6" x14ac:dyDescent="0.25">
      <c r="F7655" s="2"/>
    </row>
    <row r="7656" spans="6:6" x14ac:dyDescent="0.25">
      <c r="F7656" s="2"/>
    </row>
    <row r="7657" spans="6:6" x14ac:dyDescent="0.25">
      <c r="F7657" s="2"/>
    </row>
    <row r="7658" spans="6:6" x14ac:dyDescent="0.25">
      <c r="F7658" s="2"/>
    </row>
    <row r="7659" spans="6:6" x14ac:dyDescent="0.25">
      <c r="F7659" s="2"/>
    </row>
    <row r="7660" spans="6:6" x14ac:dyDescent="0.25">
      <c r="F7660" s="2"/>
    </row>
    <row r="7661" spans="6:6" x14ac:dyDescent="0.25">
      <c r="F7661" s="2"/>
    </row>
    <row r="7662" spans="6:6" x14ac:dyDescent="0.25">
      <c r="F7662" s="2"/>
    </row>
    <row r="7663" spans="6:6" x14ac:dyDescent="0.25">
      <c r="F7663" s="2"/>
    </row>
    <row r="7664" spans="6:6" x14ac:dyDescent="0.25">
      <c r="F7664" s="2"/>
    </row>
    <row r="7665" spans="6:6" x14ac:dyDescent="0.25">
      <c r="F7665" s="2"/>
    </row>
    <row r="7666" spans="6:6" x14ac:dyDescent="0.25">
      <c r="F7666" s="2"/>
    </row>
    <row r="7667" spans="6:6" x14ac:dyDescent="0.25">
      <c r="F7667" s="2"/>
    </row>
    <row r="7668" spans="6:6" x14ac:dyDescent="0.25">
      <c r="F7668" s="2"/>
    </row>
    <row r="7669" spans="6:6" x14ac:dyDescent="0.25">
      <c r="F7669" s="2"/>
    </row>
    <row r="7670" spans="6:6" x14ac:dyDescent="0.25">
      <c r="F7670" s="2"/>
    </row>
    <row r="7671" spans="6:6" x14ac:dyDescent="0.25">
      <c r="F7671" s="2"/>
    </row>
    <row r="7672" spans="6:6" x14ac:dyDescent="0.25">
      <c r="F7672" s="2"/>
    </row>
    <row r="7673" spans="6:6" x14ac:dyDescent="0.25">
      <c r="F7673" s="2"/>
    </row>
    <row r="7674" spans="6:6" x14ac:dyDescent="0.25">
      <c r="F7674" s="2"/>
    </row>
    <row r="7675" spans="6:6" x14ac:dyDescent="0.25">
      <c r="F7675" s="2"/>
    </row>
    <row r="7676" spans="6:6" x14ac:dyDescent="0.25">
      <c r="F7676" s="2"/>
    </row>
    <row r="7677" spans="6:6" x14ac:dyDescent="0.25">
      <c r="F7677" s="2"/>
    </row>
    <row r="7678" spans="6:6" x14ac:dyDescent="0.25">
      <c r="F7678" s="2"/>
    </row>
    <row r="7679" spans="6:6" x14ac:dyDescent="0.25">
      <c r="F7679" s="2"/>
    </row>
    <row r="7680" spans="6:6" x14ac:dyDescent="0.25">
      <c r="F7680" s="2"/>
    </row>
    <row r="7681" spans="6:6" x14ac:dyDescent="0.25">
      <c r="F7681" s="2"/>
    </row>
    <row r="7682" spans="6:6" x14ac:dyDescent="0.25">
      <c r="F7682" s="2"/>
    </row>
    <row r="7683" spans="6:6" x14ac:dyDescent="0.25">
      <c r="F7683" s="2"/>
    </row>
    <row r="7684" spans="6:6" x14ac:dyDescent="0.25">
      <c r="F7684" s="2"/>
    </row>
    <row r="7685" spans="6:6" x14ac:dyDescent="0.25">
      <c r="F7685" s="2"/>
    </row>
    <row r="7686" spans="6:6" x14ac:dyDescent="0.25">
      <c r="F7686" s="2"/>
    </row>
    <row r="7687" spans="6:6" x14ac:dyDescent="0.25">
      <c r="F7687" s="2"/>
    </row>
    <row r="7688" spans="6:6" x14ac:dyDescent="0.25">
      <c r="F7688" s="2"/>
    </row>
    <row r="7689" spans="6:6" x14ac:dyDescent="0.25">
      <c r="F7689" s="2"/>
    </row>
    <row r="7690" spans="6:6" x14ac:dyDescent="0.25">
      <c r="F7690" s="2"/>
    </row>
    <row r="7691" spans="6:6" x14ac:dyDescent="0.25">
      <c r="F7691" s="2"/>
    </row>
    <row r="7692" spans="6:6" x14ac:dyDescent="0.25">
      <c r="F7692" s="2"/>
    </row>
    <row r="7693" spans="6:6" x14ac:dyDescent="0.25">
      <c r="F7693" s="2"/>
    </row>
    <row r="7694" spans="6:6" x14ac:dyDescent="0.25">
      <c r="F7694" s="2"/>
    </row>
    <row r="7695" spans="6:6" x14ac:dyDescent="0.25">
      <c r="F7695" s="2"/>
    </row>
    <row r="7696" spans="6:6" x14ac:dyDescent="0.25">
      <c r="F7696" s="2"/>
    </row>
    <row r="7697" spans="6:6" x14ac:dyDescent="0.25">
      <c r="F7697" s="2"/>
    </row>
    <row r="7698" spans="6:6" x14ac:dyDescent="0.25">
      <c r="F7698" s="2"/>
    </row>
    <row r="7699" spans="6:6" x14ac:dyDescent="0.25">
      <c r="F7699" s="2"/>
    </row>
    <row r="7700" spans="6:6" x14ac:dyDescent="0.25">
      <c r="F7700" s="2"/>
    </row>
    <row r="7701" spans="6:6" x14ac:dyDescent="0.25">
      <c r="F7701" s="2"/>
    </row>
    <row r="7702" spans="6:6" x14ac:dyDescent="0.25">
      <c r="F7702" s="2"/>
    </row>
    <row r="7703" spans="6:6" x14ac:dyDescent="0.25">
      <c r="F7703" s="2"/>
    </row>
    <row r="7704" spans="6:6" x14ac:dyDescent="0.25">
      <c r="F7704" s="2"/>
    </row>
    <row r="7705" spans="6:6" x14ac:dyDescent="0.25">
      <c r="F7705" s="2"/>
    </row>
    <row r="7706" spans="6:6" x14ac:dyDescent="0.25">
      <c r="F7706" s="2"/>
    </row>
    <row r="7707" spans="6:6" x14ac:dyDescent="0.25">
      <c r="F7707" s="2"/>
    </row>
    <row r="7708" spans="6:6" x14ac:dyDescent="0.25">
      <c r="F7708" s="2"/>
    </row>
    <row r="7709" spans="6:6" x14ac:dyDescent="0.25">
      <c r="F7709" s="2"/>
    </row>
    <row r="7710" spans="6:6" x14ac:dyDescent="0.25">
      <c r="F7710" s="2"/>
    </row>
    <row r="7711" spans="6:6" x14ac:dyDescent="0.25">
      <c r="F7711" s="2"/>
    </row>
    <row r="7712" spans="6:6" x14ac:dyDescent="0.25">
      <c r="F7712" s="2"/>
    </row>
    <row r="7713" spans="6:6" x14ac:dyDescent="0.25">
      <c r="F7713" s="2"/>
    </row>
    <row r="7714" spans="6:6" x14ac:dyDescent="0.25">
      <c r="F7714" s="2"/>
    </row>
    <row r="7715" spans="6:6" x14ac:dyDescent="0.25">
      <c r="F7715" s="2"/>
    </row>
    <row r="7716" spans="6:6" x14ac:dyDescent="0.25">
      <c r="F7716" s="2"/>
    </row>
    <row r="7717" spans="6:6" x14ac:dyDescent="0.25">
      <c r="F7717" s="2"/>
    </row>
    <row r="7718" spans="6:6" x14ac:dyDescent="0.25">
      <c r="F7718" s="2"/>
    </row>
    <row r="7719" spans="6:6" x14ac:dyDescent="0.25">
      <c r="F7719" s="2"/>
    </row>
    <row r="7720" spans="6:6" x14ac:dyDescent="0.25">
      <c r="F7720" s="2"/>
    </row>
    <row r="7721" spans="6:6" x14ac:dyDescent="0.25">
      <c r="F7721" s="2"/>
    </row>
    <row r="7722" spans="6:6" x14ac:dyDescent="0.25">
      <c r="F7722" s="2"/>
    </row>
    <row r="7723" spans="6:6" x14ac:dyDescent="0.25">
      <c r="F7723" s="2"/>
    </row>
    <row r="7724" spans="6:6" x14ac:dyDescent="0.25">
      <c r="F7724" s="2"/>
    </row>
    <row r="7725" spans="6:6" x14ac:dyDescent="0.25">
      <c r="F7725" s="2"/>
    </row>
    <row r="7726" spans="6:6" x14ac:dyDescent="0.25">
      <c r="F7726" s="2"/>
    </row>
    <row r="7727" spans="6:6" x14ac:dyDescent="0.25">
      <c r="F7727" s="2"/>
    </row>
    <row r="7728" spans="6:6" x14ac:dyDescent="0.25">
      <c r="F7728" s="2"/>
    </row>
    <row r="7729" spans="6:6" x14ac:dyDescent="0.25">
      <c r="F7729" s="2"/>
    </row>
    <row r="7730" spans="6:6" x14ac:dyDescent="0.25">
      <c r="F7730" s="2"/>
    </row>
    <row r="7731" spans="6:6" x14ac:dyDescent="0.25">
      <c r="F7731" s="2"/>
    </row>
    <row r="7732" spans="6:6" x14ac:dyDescent="0.25">
      <c r="F7732" s="2"/>
    </row>
    <row r="7733" spans="6:6" x14ac:dyDescent="0.25">
      <c r="F7733" s="2"/>
    </row>
    <row r="7734" spans="6:6" x14ac:dyDescent="0.25">
      <c r="F7734" s="2"/>
    </row>
    <row r="7735" spans="6:6" x14ac:dyDescent="0.25">
      <c r="F7735" s="2"/>
    </row>
    <row r="7736" spans="6:6" x14ac:dyDescent="0.25">
      <c r="F7736" s="2"/>
    </row>
    <row r="7737" spans="6:6" x14ac:dyDescent="0.25">
      <c r="F7737" s="2"/>
    </row>
    <row r="7738" spans="6:6" x14ac:dyDescent="0.25">
      <c r="F7738" s="2"/>
    </row>
    <row r="7739" spans="6:6" x14ac:dyDescent="0.25">
      <c r="F7739" s="2"/>
    </row>
    <row r="7740" spans="6:6" x14ac:dyDescent="0.25">
      <c r="F7740" s="2"/>
    </row>
    <row r="7741" spans="6:6" x14ac:dyDescent="0.25">
      <c r="F7741" s="2"/>
    </row>
    <row r="7742" spans="6:6" x14ac:dyDescent="0.25">
      <c r="F7742" s="2"/>
    </row>
    <row r="7743" spans="6:6" x14ac:dyDescent="0.25">
      <c r="F7743" s="2"/>
    </row>
    <row r="7744" spans="6:6" x14ac:dyDescent="0.25">
      <c r="F7744" s="2"/>
    </row>
    <row r="7745" spans="6:6" x14ac:dyDescent="0.25">
      <c r="F7745" s="2"/>
    </row>
    <row r="7746" spans="6:6" x14ac:dyDescent="0.25">
      <c r="F7746" s="2"/>
    </row>
    <row r="7747" spans="6:6" x14ac:dyDescent="0.25">
      <c r="F7747" s="2"/>
    </row>
    <row r="7748" spans="6:6" x14ac:dyDescent="0.25">
      <c r="F7748" s="2"/>
    </row>
    <row r="7749" spans="6:6" x14ac:dyDescent="0.25">
      <c r="F7749" s="2"/>
    </row>
    <row r="7750" spans="6:6" x14ac:dyDescent="0.25">
      <c r="F7750" s="2"/>
    </row>
    <row r="7751" spans="6:6" x14ac:dyDescent="0.25">
      <c r="F7751" s="2"/>
    </row>
    <row r="7752" spans="6:6" x14ac:dyDescent="0.25">
      <c r="F7752" s="2"/>
    </row>
    <row r="7753" spans="6:6" x14ac:dyDescent="0.25">
      <c r="F7753" s="2"/>
    </row>
    <row r="7754" spans="6:6" x14ac:dyDescent="0.25">
      <c r="F7754" s="2"/>
    </row>
    <row r="7755" spans="6:6" x14ac:dyDescent="0.25">
      <c r="F7755" s="2"/>
    </row>
    <row r="7756" spans="6:6" x14ac:dyDescent="0.25">
      <c r="F7756" s="2"/>
    </row>
    <row r="7757" spans="6:6" x14ac:dyDescent="0.25">
      <c r="F7757" s="2"/>
    </row>
    <row r="7758" spans="6:6" x14ac:dyDescent="0.25">
      <c r="F7758" s="2"/>
    </row>
    <row r="7759" spans="6:6" x14ac:dyDescent="0.25">
      <c r="F7759" s="2"/>
    </row>
    <row r="7760" spans="6:6" x14ac:dyDescent="0.25">
      <c r="F7760" s="2"/>
    </row>
    <row r="7761" spans="6:6" x14ac:dyDescent="0.25">
      <c r="F7761" s="2"/>
    </row>
    <row r="7762" spans="6:6" x14ac:dyDescent="0.25">
      <c r="F7762" s="2"/>
    </row>
    <row r="7763" spans="6:6" x14ac:dyDescent="0.25">
      <c r="F7763" s="2"/>
    </row>
    <row r="7764" spans="6:6" x14ac:dyDescent="0.25">
      <c r="F7764" s="2"/>
    </row>
    <row r="7765" spans="6:6" x14ac:dyDescent="0.25">
      <c r="F7765" s="2"/>
    </row>
    <row r="7766" spans="6:6" x14ac:dyDescent="0.25">
      <c r="F7766" s="2"/>
    </row>
    <row r="7767" spans="6:6" x14ac:dyDescent="0.25">
      <c r="F7767" s="2"/>
    </row>
    <row r="7768" spans="6:6" x14ac:dyDescent="0.25">
      <c r="F7768" s="2"/>
    </row>
    <row r="7769" spans="6:6" x14ac:dyDescent="0.25">
      <c r="F7769" s="2"/>
    </row>
    <row r="7770" spans="6:6" x14ac:dyDescent="0.25">
      <c r="F7770" s="2"/>
    </row>
    <row r="7771" spans="6:6" x14ac:dyDescent="0.25">
      <c r="F7771" s="2"/>
    </row>
    <row r="7772" spans="6:6" x14ac:dyDescent="0.25">
      <c r="F7772" s="2"/>
    </row>
    <row r="7773" spans="6:6" x14ac:dyDescent="0.25">
      <c r="F7773" s="2"/>
    </row>
    <row r="7774" spans="6:6" x14ac:dyDescent="0.25">
      <c r="F7774" s="2"/>
    </row>
    <row r="7775" spans="6:6" x14ac:dyDescent="0.25">
      <c r="F7775" s="2"/>
    </row>
    <row r="7776" spans="6:6" x14ac:dyDescent="0.25">
      <c r="F7776" s="2"/>
    </row>
    <row r="7777" spans="6:6" x14ac:dyDescent="0.25">
      <c r="F7777" s="2"/>
    </row>
    <row r="7778" spans="6:6" x14ac:dyDescent="0.25">
      <c r="F7778" s="2"/>
    </row>
    <row r="7779" spans="6:6" x14ac:dyDescent="0.25">
      <c r="F7779" s="2"/>
    </row>
    <row r="7780" spans="6:6" x14ac:dyDescent="0.25">
      <c r="F7780" s="2"/>
    </row>
    <row r="7781" spans="6:6" x14ac:dyDescent="0.25">
      <c r="F7781" s="2"/>
    </row>
    <row r="7782" spans="6:6" x14ac:dyDescent="0.25">
      <c r="F7782" s="2"/>
    </row>
    <row r="7783" spans="6:6" x14ac:dyDescent="0.25">
      <c r="F7783" s="2"/>
    </row>
    <row r="7784" spans="6:6" x14ac:dyDescent="0.25">
      <c r="F7784" s="2"/>
    </row>
    <row r="7785" spans="6:6" x14ac:dyDescent="0.25">
      <c r="F7785" s="2"/>
    </row>
    <row r="7786" spans="6:6" x14ac:dyDescent="0.25">
      <c r="F7786" s="2"/>
    </row>
    <row r="7787" spans="6:6" x14ac:dyDescent="0.25">
      <c r="F7787" s="2"/>
    </row>
    <row r="7788" spans="6:6" x14ac:dyDescent="0.25">
      <c r="F7788" s="2"/>
    </row>
    <row r="7789" spans="6:6" x14ac:dyDescent="0.25">
      <c r="F7789" s="2"/>
    </row>
    <row r="7790" spans="6:6" x14ac:dyDescent="0.25">
      <c r="F7790" s="2"/>
    </row>
    <row r="7791" spans="6:6" x14ac:dyDescent="0.25">
      <c r="F7791" s="2"/>
    </row>
    <row r="7792" spans="6:6" x14ac:dyDescent="0.25">
      <c r="F7792" s="2"/>
    </row>
    <row r="7793" spans="6:6" x14ac:dyDescent="0.25">
      <c r="F7793" s="2"/>
    </row>
    <row r="7794" spans="6:6" x14ac:dyDescent="0.25">
      <c r="F7794" s="2"/>
    </row>
    <row r="7795" spans="6:6" x14ac:dyDescent="0.25">
      <c r="F7795" s="2"/>
    </row>
    <row r="7796" spans="6:6" x14ac:dyDescent="0.25">
      <c r="F7796" s="2"/>
    </row>
    <row r="7797" spans="6:6" x14ac:dyDescent="0.25">
      <c r="F7797" s="2"/>
    </row>
    <row r="7798" spans="6:6" x14ac:dyDescent="0.25">
      <c r="F7798" s="2"/>
    </row>
    <row r="7799" spans="6:6" x14ac:dyDescent="0.25">
      <c r="F7799" s="2"/>
    </row>
    <row r="7800" spans="6:6" x14ac:dyDescent="0.25">
      <c r="F7800" s="2"/>
    </row>
    <row r="7801" spans="6:6" x14ac:dyDescent="0.25">
      <c r="F7801" s="2"/>
    </row>
    <row r="7802" spans="6:6" x14ac:dyDescent="0.25">
      <c r="F7802" s="2"/>
    </row>
    <row r="7803" spans="6:6" x14ac:dyDescent="0.25">
      <c r="F7803" s="2"/>
    </row>
    <row r="7804" spans="6:6" x14ac:dyDescent="0.25">
      <c r="F7804" s="2"/>
    </row>
    <row r="7805" spans="6:6" x14ac:dyDescent="0.25">
      <c r="F7805" s="2"/>
    </row>
    <row r="7806" spans="6:6" x14ac:dyDescent="0.25">
      <c r="F7806" s="2"/>
    </row>
    <row r="7807" spans="6:6" x14ac:dyDescent="0.25">
      <c r="F7807" s="2"/>
    </row>
    <row r="7808" spans="6:6" x14ac:dyDescent="0.25">
      <c r="F7808" s="2"/>
    </row>
    <row r="7809" spans="6:6" x14ac:dyDescent="0.25">
      <c r="F7809" s="2"/>
    </row>
    <row r="7810" spans="6:6" x14ac:dyDescent="0.25">
      <c r="F7810" s="2"/>
    </row>
    <row r="7811" spans="6:6" x14ac:dyDescent="0.25">
      <c r="F7811" s="2"/>
    </row>
    <row r="7812" spans="6:6" x14ac:dyDescent="0.25">
      <c r="F7812" s="2"/>
    </row>
    <row r="7813" spans="6:6" x14ac:dyDescent="0.25">
      <c r="F7813" s="2"/>
    </row>
    <row r="7814" spans="6:6" x14ac:dyDescent="0.25">
      <c r="F7814" s="2"/>
    </row>
    <row r="7815" spans="6:6" x14ac:dyDescent="0.25">
      <c r="F7815" s="2"/>
    </row>
    <row r="7816" spans="6:6" x14ac:dyDescent="0.25">
      <c r="F7816" s="2"/>
    </row>
    <row r="7817" spans="6:6" x14ac:dyDescent="0.25">
      <c r="F7817" s="2"/>
    </row>
    <row r="7818" spans="6:6" x14ac:dyDescent="0.25">
      <c r="F7818" s="2"/>
    </row>
    <row r="7819" spans="6:6" x14ac:dyDescent="0.25">
      <c r="F7819" s="2"/>
    </row>
    <row r="7820" spans="6:6" x14ac:dyDescent="0.25">
      <c r="F7820" s="2"/>
    </row>
    <row r="7821" spans="6:6" x14ac:dyDescent="0.25">
      <c r="F7821" s="2"/>
    </row>
    <row r="7822" spans="6:6" x14ac:dyDescent="0.25">
      <c r="F7822" s="2"/>
    </row>
    <row r="7823" spans="6:6" x14ac:dyDescent="0.25">
      <c r="F7823" s="2"/>
    </row>
    <row r="7824" spans="6:6" x14ac:dyDescent="0.25">
      <c r="F7824" s="2"/>
    </row>
    <row r="7825" spans="6:6" x14ac:dyDescent="0.25">
      <c r="F7825" s="2"/>
    </row>
    <row r="7826" spans="6:6" x14ac:dyDescent="0.25">
      <c r="F7826" s="2"/>
    </row>
    <row r="7827" spans="6:6" x14ac:dyDescent="0.25">
      <c r="F7827" s="2"/>
    </row>
    <row r="7828" spans="6:6" x14ac:dyDescent="0.25">
      <c r="F7828" s="2"/>
    </row>
    <row r="7829" spans="6:6" x14ac:dyDescent="0.25">
      <c r="F7829" s="2"/>
    </row>
    <row r="7830" spans="6:6" x14ac:dyDescent="0.25">
      <c r="F7830" s="2"/>
    </row>
    <row r="7831" spans="6:6" x14ac:dyDescent="0.25">
      <c r="F7831" s="2"/>
    </row>
    <row r="7832" spans="6:6" x14ac:dyDescent="0.25">
      <c r="F7832" s="2"/>
    </row>
    <row r="7833" spans="6:6" x14ac:dyDescent="0.25">
      <c r="F7833" s="2"/>
    </row>
    <row r="7834" spans="6:6" x14ac:dyDescent="0.25">
      <c r="F7834" s="2"/>
    </row>
    <row r="7835" spans="6:6" x14ac:dyDescent="0.25">
      <c r="F7835" s="2"/>
    </row>
    <row r="7836" spans="6:6" x14ac:dyDescent="0.25">
      <c r="F7836" s="2"/>
    </row>
    <row r="7837" spans="6:6" x14ac:dyDescent="0.25">
      <c r="F7837" s="2"/>
    </row>
    <row r="7838" spans="6:6" x14ac:dyDescent="0.25">
      <c r="F7838" s="2"/>
    </row>
    <row r="7839" spans="6:6" x14ac:dyDescent="0.25">
      <c r="F7839" s="2"/>
    </row>
    <row r="7840" spans="6:6" x14ac:dyDescent="0.25">
      <c r="F7840" s="2"/>
    </row>
    <row r="7841" spans="6:6" x14ac:dyDescent="0.25">
      <c r="F7841" s="2"/>
    </row>
    <row r="7842" spans="6:6" x14ac:dyDescent="0.25">
      <c r="F7842" s="2"/>
    </row>
    <row r="7843" spans="6:6" x14ac:dyDescent="0.25">
      <c r="F7843" s="2"/>
    </row>
    <row r="7844" spans="6:6" x14ac:dyDescent="0.25">
      <c r="F7844" s="2"/>
    </row>
    <row r="7845" spans="6:6" x14ac:dyDescent="0.25">
      <c r="F7845" s="2"/>
    </row>
    <row r="7846" spans="6:6" x14ac:dyDescent="0.25">
      <c r="F7846" s="2"/>
    </row>
    <row r="7847" spans="6:6" x14ac:dyDescent="0.25">
      <c r="F7847" s="2"/>
    </row>
    <row r="7848" spans="6:6" x14ac:dyDescent="0.25">
      <c r="F7848" s="2"/>
    </row>
    <row r="7849" spans="6:6" x14ac:dyDescent="0.25">
      <c r="F7849" s="2"/>
    </row>
    <row r="7850" spans="6:6" x14ac:dyDescent="0.25">
      <c r="F7850" s="2"/>
    </row>
    <row r="7851" spans="6:6" x14ac:dyDescent="0.25">
      <c r="F7851" s="2"/>
    </row>
    <row r="7852" spans="6:6" x14ac:dyDescent="0.25">
      <c r="F7852" s="2"/>
    </row>
    <row r="7853" spans="6:6" x14ac:dyDescent="0.25">
      <c r="F7853" s="2"/>
    </row>
    <row r="7854" spans="6:6" x14ac:dyDescent="0.25">
      <c r="F7854" s="2"/>
    </row>
    <row r="7855" spans="6:6" x14ac:dyDescent="0.25">
      <c r="F7855" s="2"/>
    </row>
    <row r="7856" spans="6:6" x14ac:dyDescent="0.25">
      <c r="F7856" s="2"/>
    </row>
    <row r="7857" spans="6:6" x14ac:dyDescent="0.25">
      <c r="F7857" s="2"/>
    </row>
    <row r="7858" spans="6:6" x14ac:dyDescent="0.25">
      <c r="F7858" s="2"/>
    </row>
    <row r="7859" spans="6:6" x14ac:dyDescent="0.25">
      <c r="F7859" s="2"/>
    </row>
    <row r="7860" spans="6:6" x14ac:dyDescent="0.25">
      <c r="F7860" s="2"/>
    </row>
    <row r="7861" spans="6:6" x14ac:dyDescent="0.25">
      <c r="F7861" s="2"/>
    </row>
    <row r="7862" spans="6:6" x14ac:dyDescent="0.25">
      <c r="F7862" s="2"/>
    </row>
    <row r="7863" spans="6:6" x14ac:dyDescent="0.25">
      <c r="F7863" s="2"/>
    </row>
    <row r="7864" spans="6:6" x14ac:dyDescent="0.25">
      <c r="F7864" s="2"/>
    </row>
    <row r="7865" spans="6:6" x14ac:dyDescent="0.25">
      <c r="F7865" s="2"/>
    </row>
    <row r="7866" spans="6:6" x14ac:dyDescent="0.25">
      <c r="F7866" s="2"/>
    </row>
    <row r="7867" spans="6:6" x14ac:dyDescent="0.25">
      <c r="F7867" s="2"/>
    </row>
    <row r="7868" spans="6:6" x14ac:dyDescent="0.25">
      <c r="F7868" s="2"/>
    </row>
    <row r="7869" spans="6:6" x14ac:dyDescent="0.25">
      <c r="F7869" s="2"/>
    </row>
    <row r="7870" spans="6:6" x14ac:dyDescent="0.25">
      <c r="F7870" s="2"/>
    </row>
    <row r="7871" spans="6:6" x14ac:dyDescent="0.25">
      <c r="F7871" s="2"/>
    </row>
    <row r="7872" spans="6:6" x14ac:dyDescent="0.25">
      <c r="F7872" s="2"/>
    </row>
    <row r="7873" spans="6:6" x14ac:dyDescent="0.25">
      <c r="F7873" s="2"/>
    </row>
    <row r="7874" spans="6:6" x14ac:dyDescent="0.25">
      <c r="F7874" s="2"/>
    </row>
    <row r="7875" spans="6:6" x14ac:dyDescent="0.25">
      <c r="F7875" s="2"/>
    </row>
    <row r="7876" spans="6:6" x14ac:dyDescent="0.25">
      <c r="F7876" s="2"/>
    </row>
    <row r="7877" spans="6:6" x14ac:dyDescent="0.25">
      <c r="F7877" s="2"/>
    </row>
    <row r="7878" spans="6:6" x14ac:dyDescent="0.25">
      <c r="F7878" s="2"/>
    </row>
    <row r="7879" spans="6:6" x14ac:dyDescent="0.25">
      <c r="F7879" s="2"/>
    </row>
    <row r="7880" spans="6:6" x14ac:dyDescent="0.25">
      <c r="F7880" s="2"/>
    </row>
    <row r="7881" spans="6:6" x14ac:dyDescent="0.25">
      <c r="F7881" s="2"/>
    </row>
    <row r="7882" spans="6:6" x14ac:dyDescent="0.25">
      <c r="F7882" s="2"/>
    </row>
    <row r="7883" spans="6:6" x14ac:dyDescent="0.25">
      <c r="F7883" s="2"/>
    </row>
    <row r="7884" spans="6:6" x14ac:dyDescent="0.25">
      <c r="F7884" s="2"/>
    </row>
    <row r="7885" spans="6:6" x14ac:dyDescent="0.25">
      <c r="F7885" s="2"/>
    </row>
    <row r="7886" spans="6:6" x14ac:dyDescent="0.25">
      <c r="F7886" s="2"/>
    </row>
    <row r="7887" spans="6:6" x14ac:dyDescent="0.25">
      <c r="F7887" s="2"/>
    </row>
    <row r="7888" spans="6:6" x14ac:dyDescent="0.25">
      <c r="F7888" s="2"/>
    </row>
    <row r="7889" spans="6:6" x14ac:dyDescent="0.25">
      <c r="F7889" s="2"/>
    </row>
    <row r="7890" spans="6:6" x14ac:dyDescent="0.25">
      <c r="F7890" s="2"/>
    </row>
    <row r="7891" spans="6:6" x14ac:dyDescent="0.25">
      <c r="F7891" s="2"/>
    </row>
    <row r="7892" spans="6:6" x14ac:dyDescent="0.25">
      <c r="F7892" s="2"/>
    </row>
    <row r="7893" spans="6:6" x14ac:dyDescent="0.25">
      <c r="F7893" s="2"/>
    </row>
    <row r="7894" spans="6:6" x14ac:dyDescent="0.25">
      <c r="F7894" s="2"/>
    </row>
    <row r="7895" spans="6:6" x14ac:dyDescent="0.25">
      <c r="F7895" s="2"/>
    </row>
    <row r="7896" spans="6:6" x14ac:dyDescent="0.25">
      <c r="F7896" s="2"/>
    </row>
    <row r="7897" spans="6:6" x14ac:dyDescent="0.25">
      <c r="F7897" s="2"/>
    </row>
    <row r="7898" spans="6:6" x14ac:dyDescent="0.25">
      <c r="F7898" s="2"/>
    </row>
    <row r="7899" spans="6:6" x14ac:dyDescent="0.25">
      <c r="F7899" s="2"/>
    </row>
    <row r="7900" spans="6:6" x14ac:dyDescent="0.25">
      <c r="F7900" s="2"/>
    </row>
    <row r="7901" spans="6:6" x14ac:dyDescent="0.25">
      <c r="F7901" s="2"/>
    </row>
    <row r="7902" spans="6:6" x14ac:dyDescent="0.25">
      <c r="F7902" s="2"/>
    </row>
    <row r="7903" spans="6:6" x14ac:dyDescent="0.25">
      <c r="F7903" s="2"/>
    </row>
    <row r="7904" spans="6:6" x14ac:dyDescent="0.25">
      <c r="F7904" s="2"/>
    </row>
    <row r="7905" spans="6:6" x14ac:dyDescent="0.25">
      <c r="F7905" s="2"/>
    </row>
    <row r="7906" spans="6:6" x14ac:dyDescent="0.25">
      <c r="F7906" s="2"/>
    </row>
    <row r="7907" spans="6:6" x14ac:dyDescent="0.25">
      <c r="F7907" s="2"/>
    </row>
    <row r="7908" spans="6:6" x14ac:dyDescent="0.25">
      <c r="F7908" s="2"/>
    </row>
    <row r="7909" spans="6:6" x14ac:dyDescent="0.25">
      <c r="F7909" s="2"/>
    </row>
    <row r="7910" spans="6:6" x14ac:dyDescent="0.25">
      <c r="F7910" s="2"/>
    </row>
    <row r="7911" spans="6:6" x14ac:dyDescent="0.25">
      <c r="F7911" s="2"/>
    </row>
    <row r="7912" spans="6:6" x14ac:dyDescent="0.25">
      <c r="F7912" s="2"/>
    </row>
    <row r="7913" spans="6:6" x14ac:dyDescent="0.25">
      <c r="F7913" s="2"/>
    </row>
    <row r="7914" spans="6:6" x14ac:dyDescent="0.25">
      <c r="F7914" s="2"/>
    </row>
    <row r="7915" spans="6:6" x14ac:dyDescent="0.25">
      <c r="F7915" s="2"/>
    </row>
    <row r="7916" spans="6:6" x14ac:dyDescent="0.25">
      <c r="F7916" s="2"/>
    </row>
    <row r="7917" spans="6:6" x14ac:dyDescent="0.25">
      <c r="F7917" s="2"/>
    </row>
    <row r="7918" spans="6:6" x14ac:dyDescent="0.25">
      <c r="F7918" s="2"/>
    </row>
    <row r="7919" spans="6:6" x14ac:dyDescent="0.25">
      <c r="F7919" s="2"/>
    </row>
    <row r="7920" spans="6:6" x14ac:dyDescent="0.25">
      <c r="F7920" s="2"/>
    </row>
    <row r="7921" spans="6:6" x14ac:dyDescent="0.25">
      <c r="F7921" s="2"/>
    </row>
    <row r="7922" spans="6:6" x14ac:dyDescent="0.25">
      <c r="F7922" s="2"/>
    </row>
    <row r="7923" spans="6:6" x14ac:dyDescent="0.25">
      <c r="F7923" s="2"/>
    </row>
    <row r="7924" spans="6:6" x14ac:dyDescent="0.25">
      <c r="F7924" s="2"/>
    </row>
    <row r="7925" spans="6:6" x14ac:dyDescent="0.25">
      <c r="F7925" s="2"/>
    </row>
    <row r="7926" spans="6:6" x14ac:dyDescent="0.25">
      <c r="F7926" s="2"/>
    </row>
    <row r="7927" spans="6:6" x14ac:dyDescent="0.25">
      <c r="F7927" s="2"/>
    </row>
    <row r="7928" spans="6:6" x14ac:dyDescent="0.25">
      <c r="F7928" s="2"/>
    </row>
    <row r="7929" spans="6:6" x14ac:dyDescent="0.25">
      <c r="F7929" s="2"/>
    </row>
    <row r="7930" spans="6:6" x14ac:dyDescent="0.25">
      <c r="F7930" s="2"/>
    </row>
    <row r="7931" spans="6:6" x14ac:dyDescent="0.25">
      <c r="F7931" s="2"/>
    </row>
    <row r="7932" spans="6:6" x14ac:dyDescent="0.25">
      <c r="F7932" s="2"/>
    </row>
    <row r="7933" spans="6:6" x14ac:dyDescent="0.25">
      <c r="F7933" s="2"/>
    </row>
    <row r="7934" spans="6:6" x14ac:dyDescent="0.25">
      <c r="F7934" s="2"/>
    </row>
    <row r="7935" spans="6:6" x14ac:dyDescent="0.25">
      <c r="F7935" s="2"/>
    </row>
    <row r="7936" spans="6:6" x14ac:dyDescent="0.25">
      <c r="F7936" s="2"/>
    </row>
    <row r="7937" spans="6:6" x14ac:dyDescent="0.25">
      <c r="F7937" s="2"/>
    </row>
    <row r="7938" spans="6:6" x14ac:dyDescent="0.25">
      <c r="F7938" s="2"/>
    </row>
    <row r="7939" spans="6:6" x14ac:dyDescent="0.25">
      <c r="F7939" s="2"/>
    </row>
    <row r="7940" spans="6:6" x14ac:dyDescent="0.25">
      <c r="F7940" s="2"/>
    </row>
    <row r="7941" spans="6:6" x14ac:dyDescent="0.25">
      <c r="F7941" s="2"/>
    </row>
    <row r="7942" spans="6:6" x14ac:dyDescent="0.25">
      <c r="F7942" s="2"/>
    </row>
    <row r="7943" spans="6:6" x14ac:dyDescent="0.25">
      <c r="F7943" s="2"/>
    </row>
    <row r="7944" spans="6:6" x14ac:dyDescent="0.25">
      <c r="F7944" s="2"/>
    </row>
    <row r="7945" spans="6:6" x14ac:dyDescent="0.25">
      <c r="F7945" s="2"/>
    </row>
    <row r="7946" spans="6:6" x14ac:dyDescent="0.25">
      <c r="F7946" s="2"/>
    </row>
    <row r="7947" spans="6:6" x14ac:dyDescent="0.25">
      <c r="F7947" s="2"/>
    </row>
    <row r="7948" spans="6:6" x14ac:dyDescent="0.25">
      <c r="F7948" s="2"/>
    </row>
    <row r="7949" spans="6:6" x14ac:dyDescent="0.25">
      <c r="F7949" s="2"/>
    </row>
    <row r="7950" spans="6:6" x14ac:dyDescent="0.25">
      <c r="F7950" s="2"/>
    </row>
    <row r="7951" spans="6:6" x14ac:dyDescent="0.25">
      <c r="F7951" s="2"/>
    </row>
    <row r="7952" spans="6:6" x14ac:dyDescent="0.25">
      <c r="F7952" s="2"/>
    </row>
    <row r="7953" spans="6:6" x14ac:dyDescent="0.25">
      <c r="F7953" s="2"/>
    </row>
    <row r="7954" spans="6:6" x14ac:dyDescent="0.25">
      <c r="F7954" s="2"/>
    </row>
    <row r="7955" spans="6:6" x14ac:dyDescent="0.25">
      <c r="F7955" s="2"/>
    </row>
    <row r="7956" spans="6:6" x14ac:dyDescent="0.25">
      <c r="F7956" s="2"/>
    </row>
    <row r="7957" spans="6:6" x14ac:dyDescent="0.25">
      <c r="F7957" s="2"/>
    </row>
    <row r="7958" spans="6:6" x14ac:dyDescent="0.25">
      <c r="F7958" s="2"/>
    </row>
    <row r="7959" spans="6:6" x14ac:dyDescent="0.25">
      <c r="F7959" s="2"/>
    </row>
    <row r="7960" spans="6:6" x14ac:dyDescent="0.25">
      <c r="F7960" s="2"/>
    </row>
    <row r="7961" spans="6:6" x14ac:dyDescent="0.25">
      <c r="F7961" s="2"/>
    </row>
    <row r="7962" spans="6:6" x14ac:dyDescent="0.25">
      <c r="F7962" s="2"/>
    </row>
    <row r="7963" spans="6:6" x14ac:dyDescent="0.25">
      <c r="F7963" s="2"/>
    </row>
    <row r="7964" spans="6:6" x14ac:dyDescent="0.25">
      <c r="F7964" s="2"/>
    </row>
    <row r="7965" spans="6:6" x14ac:dyDescent="0.25">
      <c r="F7965" s="2"/>
    </row>
    <row r="7966" spans="6:6" x14ac:dyDescent="0.25">
      <c r="F7966" s="2"/>
    </row>
    <row r="7967" spans="6:6" x14ac:dyDescent="0.25">
      <c r="F7967" s="2"/>
    </row>
    <row r="7968" spans="6:6" x14ac:dyDescent="0.25">
      <c r="F7968" s="2"/>
    </row>
    <row r="7969" spans="6:6" x14ac:dyDescent="0.25">
      <c r="F7969" s="2"/>
    </row>
    <row r="7970" spans="6:6" x14ac:dyDescent="0.25">
      <c r="F7970" s="2"/>
    </row>
    <row r="7971" spans="6:6" x14ac:dyDescent="0.25">
      <c r="F7971" s="2"/>
    </row>
    <row r="7972" spans="6:6" x14ac:dyDescent="0.25">
      <c r="F7972" s="2"/>
    </row>
    <row r="7973" spans="6:6" x14ac:dyDescent="0.25">
      <c r="F7973" s="2"/>
    </row>
    <row r="7974" spans="6:6" x14ac:dyDescent="0.25">
      <c r="F7974" s="2"/>
    </row>
    <row r="7975" spans="6:6" x14ac:dyDescent="0.25">
      <c r="F7975" s="2"/>
    </row>
    <row r="7976" spans="6:6" x14ac:dyDescent="0.25">
      <c r="F7976" s="2"/>
    </row>
    <row r="7977" spans="6:6" x14ac:dyDescent="0.25">
      <c r="F7977" s="2"/>
    </row>
    <row r="7978" spans="6:6" x14ac:dyDescent="0.25">
      <c r="F7978" s="2"/>
    </row>
    <row r="7979" spans="6:6" x14ac:dyDescent="0.25">
      <c r="F7979" s="2"/>
    </row>
    <row r="7980" spans="6:6" x14ac:dyDescent="0.25">
      <c r="F7980" s="2"/>
    </row>
    <row r="7981" spans="6:6" x14ac:dyDescent="0.25">
      <c r="F7981" s="2"/>
    </row>
    <row r="7982" spans="6:6" x14ac:dyDescent="0.25">
      <c r="F7982" s="2"/>
    </row>
    <row r="7983" spans="6:6" x14ac:dyDescent="0.25">
      <c r="F7983" s="2"/>
    </row>
    <row r="7984" spans="6:6" x14ac:dyDescent="0.25">
      <c r="F7984" s="2"/>
    </row>
    <row r="7985" spans="6:6" x14ac:dyDescent="0.25">
      <c r="F7985" s="2"/>
    </row>
    <row r="7986" spans="6:6" x14ac:dyDescent="0.25">
      <c r="F7986" s="2"/>
    </row>
    <row r="7987" spans="6:6" x14ac:dyDescent="0.25">
      <c r="F7987" s="2"/>
    </row>
    <row r="7988" spans="6:6" x14ac:dyDescent="0.25">
      <c r="F7988" s="2"/>
    </row>
    <row r="7989" spans="6:6" x14ac:dyDescent="0.25">
      <c r="F7989" s="2"/>
    </row>
    <row r="7990" spans="6:6" x14ac:dyDescent="0.25">
      <c r="F7990" s="2"/>
    </row>
    <row r="7991" spans="6:6" x14ac:dyDescent="0.25">
      <c r="F7991" s="2"/>
    </row>
    <row r="7992" spans="6:6" x14ac:dyDescent="0.25">
      <c r="F7992" s="2"/>
    </row>
    <row r="7993" spans="6:6" x14ac:dyDescent="0.25">
      <c r="F7993" s="2"/>
    </row>
    <row r="7994" spans="6:6" x14ac:dyDescent="0.25">
      <c r="F7994" s="2"/>
    </row>
    <row r="7995" spans="6:6" x14ac:dyDescent="0.25">
      <c r="F7995" s="2"/>
    </row>
    <row r="7996" spans="6:6" x14ac:dyDescent="0.25">
      <c r="F7996" s="2"/>
    </row>
    <row r="7997" spans="6:6" x14ac:dyDescent="0.25">
      <c r="F7997" s="2"/>
    </row>
    <row r="7998" spans="6:6" x14ac:dyDescent="0.25">
      <c r="F7998" s="2"/>
    </row>
    <row r="7999" spans="6:6" x14ac:dyDescent="0.25">
      <c r="F7999" s="2"/>
    </row>
    <row r="8000" spans="6:6" x14ac:dyDescent="0.25">
      <c r="F8000" s="2"/>
    </row>
    <row r="8001" spans="6:6" x14ac:dyDescent="0.25">
      <c r="F8001" s="2"/>
    </row>
    <row r="8002" spans="6:6" x14ac:dyDescent="0.25">
      <c r="F8002" s="2"/>
    </row>
    <row r="8003" spans="6:6" x14ac:dyDescent="0.25">
      <c r="F8003" s="2"/>
    </row>
    <row r="8004" spans="6:6" x14ac:dyDescent="0.25">
      <c r="F8004" s="2"/>
    </row>
    <row r="8005" spans="6:6" x14ac:dyDescent="0.25">
      <c r="F8005" s="2"/>
    </row>
    <row r="8006" spans="6:6" x14ac:dyDescent="0.25">
      <c r="F8006" s="2"/>
    </row>
    <row r="8007" spans="6:6" x14ac:dyDescent="0.25">
      <c r="F8007" s="2"/>
    </row>
    <row r="8008" spans="6:6" x14ac:dyDescent="0.25">
      <c r="F8008" s="2"/>
    </row>
    <row r="8009" spans="6:6" x14ac:dyDescent="0.25">
      <c r="F8009" s="2"/>
    </row>
    <row r="8010" spans="6:6" x14ac:dyDescent="0.25">
      <c r="F8010" s="2"/>
    </row>
    <row r="8011" spans="6:6" x14ac:dyDescent="0.25">
      <c r="F8011" s="2"/>
    </row>
    <row r="8012" spans="6:6" x14ac:dyDescent="0.25">
      <c r="F8012" s="2"/>
    </row>
    <row r="8013" spans="6:6" x14ac:dyDescent="0.25">
      <c r="F8013" s="2"/>
    </row>
    <row r="8014" spans="6:6" x14ac:dyDescent="0.25">
      <c r="F8014" s="2"/>
    </row>
    <row r="8015" spans="6:6" x14ac:dyDescent="0.25">
      <c r="F8015" s="2"/>
    </row>
    <row r="8016" spans="6:6" x14ac:dyDescent="0.25">
      <c r="F8016" s="2"/>
    </row>
    <row r="8017" spans="6:6" x14ac:dyDescent="0.25">
      <c r="F8017" s="2"/>
    </row>
    <row r="8018" spans="6:6" x14ac:dyDescent="0.25">
      <c r="F8018" s="2"/>
    </row>
    <row r="8019" spans="6:6" x14ac:dyDescent="0.25">
      <c r="F8019" s="2"/>
    </row>
    <row r="8020" spans="6:6" x14ac:dyDescent="0.25">
      <c r="F8020" s="2"/>
    </row>
    <row r="8021" spans="6:6" x14ac:dyDescent="0.25">
      <c r="F8021" s="2"/>
    </row>
    <row r="8022" spans="6:6" x14ac:dyDescent="0.25">
      <c r="F8022" s="2"/>
    </row>
    <row r="8023" spans="6:6" x14ac:dyDescent="0.25">
      <c r="F8023" s="2"/>
    </row>
    <row r="8024" spans="6:6" x14ac:dyDescent="0.25">
      <c r="F8024" s="2"/>
    </row>
    <row r="8025" spans="6:6" x14ac:dyDescent="0.25">
      <c r="F8025" s="2"/>
    </row>
    <row r="8026" spans="6:6" x14ac:dyDescent="0.25">
      <c r="F8026" s="2"/>
    </row>
    <row r="8027" spans="6:6" x14ac:dyDescent="0.25">
      <c r="F8027" s="2"/>
    </row>
    <row r="8028" spans="6:6" x14ac:dyDescent="0.25">
      <c r="F8028" s="2"/>
    </row>
    <row r="8029" spans="6:6" x14ac:dyDescent="0.25">
      <c r="F8029" s="2"/>
    </row>
    <row r="8030" spans="6:6" x14ac:dyDescent="0.25">
      <c r="F8030" s="2"/>
    </row>
    <row r="8031" spans="6:6" x14ac:dyDescent="0.25">
      <c r="F8031" s="2"/>
    </row>
    <row r="8032" spans="6:6" x14ac:dyDescent="0.25">
      <c r="F8032" s="2"/>
    </row>
    <row r="8033" spans="6:6" x14ac:dyDescent="0.25">
      <c r="F8033" s="2"/>
    </row>
    <row r="8034" spans="6:6" x14ac:dyDescent="0.25">
      <c r="F8034" s="2"/>
    </row>
    <row r="8035" spans="6:6" x14ac:dyDescent="0.25">
      <c r="F8035" s="2"/>
    </row>
    <row r="8036" spans="6:6" x14ac:dyDescent="0.25">
      <c r="F8036" s="2"/>
    </row>
    <row r="8037" spans="6:6" x14ac:dyDescent="0.25">
      <c r="F8037" s="2"/>
    </row>
    <row r="8038" spans="6:6" x14ac:dyDescent="0.25">
      <c r="F8038" s="2"/>
    </row>
    <row r="8039" spans="6:6" x14ac:dyDescent="0.25">
      <c r="F8039" s="2"/>
    </row>
    <row r="8040" spans="6:6" x14ac:dyDescent="0.25">
      <c r="F8040" s="2"/>
    </row>
    <row r="8041" spans="6:6" x14ac:dyDescent="0.25">
      <c r="F8041" s="2"/>
    </row>
    <row r="8042" spans="6:6" x14ac:dyDescent="0.25">
      <c r="F8042" s="2"/>
    </row>
    <row r="8043" spans="6:6" x14ac:dyDescent="0.25">
      <c r="F8043" s="2"/>
    </row>
    <row r="8044" spans="6:6" x14ac:dyDescent="0.25">
      <c r="F8044" s="2"/>
    </row>
    <row r="8045" spans="6:6" x14ac:dyDescent="0.25">
      <c r="F8045" s="2"/>
    </row>
    <row r="8046" spans="6:6" x14ac:dyDescent="0.25">
      <c r="F8046" s="2"/>
    </row>
    <row r="8047" spans="6:6" x14ac:dyDescent="0.25">
      <c r="F8047" s="2"/>
    </row>
    <row r="8048" spans="6:6" x14ac:dyDescent="0.25">
      <c r="F8048" s="2"/>
    </row>
    <row r="8049" spans="6:6" x14ac:dyDescent="0.25">
      <c r="F8049" s="2"/>
    </row>
    <row r="8050" spans="6:6" x14ac:dyDescent="0.25">
      <c r="F8050" s="2"/>
    </row>
    <row r="8051" spans="6:6" x14ac:dyDescent="0.25">
      <c r="F8051" s="2"/>
    </row>
    <row r="8052" spans="6:6" x14ac:dyDescent="0.25">
      <c r="F8052" s="2"/>
    </row>
    <row r="8053" spans="6:6" x14ac:dyDescent="0.25">
      <c r="F8053" s="2"/>
    </row>
    <row r="8054" spans="6:6" x14ac:dyDescent="0.25">
      <c r="F8054" s="2"/>
    </row>
    <row r="8055" spans="6:6" x14ac:dyDescent="0.25">
      <c r="F8055" s="2"/>
    </row>
    <row r="8056" spans="6:6" x14ac:dyDescent="0.25">
      <c r="F8056" s="2"/>
    </row>
    <row r="8057" spans="6:6" x14ac:dyDescent="0.25">
      <c r="F8057" s="2"/>
    </row>
    <row r="8058" spans="6:6" x14ac:dyDescent="0.25">
      <c r="F8058" s="2"/>
    </row>
    <row r="8059" spans="6:6" x14ac:dyDescent="0.25">
      <c r="F8059" s="2"/>
    </row>
    <row r="8060" spans="6:6" x14ac:dyDescent="0.25">
      <c r="F8060" s="2"/>
    </row>
    <row r="8061" spans="6:6" x14ac:dyDescent="0.25">
      <c r="F8061" s="2"/>
    </row>
    <row r="8062" spans="6:6" x14ac:dyDescent="0.25">
      <c r="F8062" s="2"/>
    </row>
    <row r="8063" spans="6:6" x14ac:dyDescent="0.25">
      <c r="F8063" s="2"/>
    </row>
    <row r="8064" spans="6:6" x14ac:dyDescent="0.25">
      <c r="F8064" s="2"/>
    </row>
    <row r="8065" spans="6:6" x14ac:dyDescent="0.25">
      <c r="F8065" s="2"/>
    </row>
    <row r="8066" spans="6:6" x14ac:dyDescent="0.25">
      <c r="F8066" s="2"/>
    </row>
    <row r="8067" spans="6:6" x14ac:dyDescent="0.25">
      <c r="F8067" s="2"/>
    </row>
    <row r="8068" spans="6:6" x14ac:dyDescent="0.25">
      <c r="F8068" s="2"/>
    </row>
    <row r="8069" spans="6:6" x14ac:dyDescent="0.25">
      <c r="F8069" s="2"/>
    </row>
    <row r="8070" spans="6:6" x14ac:dyDescent="0.25">
      <c r="F8070" s="2"/>
    </row>
    <row r="8071" spans="6:6" x14ac:dyDescent="0.25">
      <c r="F8071" s="2"/>
    </row>
    <row r="8072" spans="6:6" x14ac:dyDescent="0.25">
      <c r="F8072" s="2"/>
    </row>
    <row r="8073" spans="6:6" x14ac:dyDescent="0.25">
      <c r="F8073" s="2"/>
    </row>
    <row r="8074" spans="6:6" x14ac:dyDescent="0.25">
      <c r="F8074" s="2"/>
    </row>
    <row r="8075" spans="6:6" x14ac:dyDescent="0.25">
      <c r="F8075" s="2"/>
    </row>
    <row r="8076" spans="6:6" x14ac:dyDescent="0.25">
      <c r="F8076" s="2"/>
    </row>
    <row r="8077" spans="6:6" x14ac:dyDescent="0.25">
      <c r="F8077" s="2"/>
    </row>
    <row r="8078" spans="6:6" x14ac:dyDescent="0.25">
      <c r="F8078" s="2"/>
    </row>
    <row r="8079" spans="6:6" x14ac:dyDescent="0.25">
      <c r="F8079" s="2"/>
    </row>
    <row r="8080" spans="6:6" x14ac:dyDescent="0.25">
      <c r="F8080" s="2"/>
    </row>
    <row r="8081" spans="6:6" x14ac:dyDescent="0.25">
      <c r="F8081" s="2"/>
    </row>
    <row r="8082" spans="6:6" x14ac:dyDescent="0.25">
      <c r="F8082" s="2"/>
    </row>
    <row r="8083" spans="6:6" x14ac:dyDescent="0.25">
      <c r="F8083" s="2"/>
    </row>
    <row r="8084" spans="6:6" x14ac:dyDescent="0.25">
      <c r="F8084" s="2"/>
    </row>
    <row r="8085" spans="6:6" x14ac:dyDescent="0.25">
      <c r="F8085" s="2"/>
    </row>
    <row r="8086" spans="6:6" x14ac:dyDescent="0.25">
      <c r="F8086" s="2"/>
    </row>
    <row r="8087" spans="6:6" x14ac:dyDescent="0.25">
      <c r="F8087" s="2"/>
    </row>
    <row r="8088" spans="6:6" x14ac:dyDescent="0.25">
      <c r="F8088" s="2"/>
    </row>
    <row r="8089" spans="6:6" x14ac:dyDescent="0.25">
      <c r="F8089" s="2"/>
    </row>
    <row r="8090" spans="6:6" x14ac:dyDescent="0.25">
      <c r="F8090" s="2"/>
    </row>
    <row r="8091" spans="6:6" x14ac:dyDescent="0.25">
      <c r="F8091" s="2"/>
    </row>
    <row r="8092" spans="6:6" x14ac:dyDescent="0.25">
      <c r="F8092" s="2"/>
    </row>
    <row r="8093" spans="6:6" x14ac:dyDescent="0.25">
      <c r="F8093" s="2"/>
    </row>
    <row r="8094" spans="6:6" x14ac:dyDescent="0.25">
      <c r="F8094" s="2"/>
    </row>
    <row r="8095" spans="6:6" x14ac:dyDescent="0.25">
      <c r="F8095" s="2"/>
    </row>
    <row r="8096" spans="6:6" x14ac:dyDescent="0.25">
      <c r="F8096" s="2"/>
    </row>
    <row r="8097" spans="6:6" x14ac:dyDescent="0.25">
      <c r="F8097" s="2"/>
    </row>
    <row r="8098" spans="6:6" x14ac:dyDescent="0.25">
      <c r="F8098" s="2"/>
    </row>
    <row r="8099" spans="6:6" x14ac:dyDescent="0.25">
      <c r="F8099" s="2"/>
    </row>
    <row r="8100" spans="6:6" x14ac:dyDescent="0.25">
      <c r="F8100" s="2"/>
    </row>
    <row r="8101" spans="6:6" x14ac:dyDescent="0.25">
      <c r="F8101" s="2"/>
    </row>
    <row r="8102" spans="6:6" x14ac:dyDescent="0.25">
      <c r="F8102" s="2"/>
    </row>
    <row r="8103" spans="6:6" x14ac:dyDescent="0.25">
      <c r="F8103" s="2"/>
    </row>
    <row r="8104" spans="6:6" x14ac:dyDescent="0.25">
      <c r="F8104" s="2"/>
    </row>
    <row r="8105" spans="6:6" x14ac:dyDescent="0.25">
      <c r="F8105" s="2"/>
    </row>
    <row r="8106" spans="6:6" x14ac:dyDescent="0.25">
      <c r="F8106" s="2"/>
    </row>
    <row r="8107" spans="6:6" x14ac:dyDescent="0.25">
      <c r="F8107" s="2"/>
    </row>
    <row r="8108" spans="6:6" x14ac:dyDescent="0.25">
      <c r="F8108" s="2"/>
    </row>
    <row r="8109" spans="6:6" x14ac:dyDescent="0.25">
      <c r="F8109" s="2"/>
    </row>
    <row r="8110" spans="6:6" x14ac:dyDescent="0.25">
      <c r="F8110" s="2"/>
    </row>
    <row r="8111" spans="6:6" x14ac:dyDescent="0.25">
      <c r="F8111" s="2"/>
    </row>
    <row r="8112" spans="6:6" x14ac:dyDescent="0.25">
      <c r="F8112" s="2"/>
    </row>
    <row r="8113" spans="6:6" x14ac:dyDescent="0.25">
      <c r="F8113" s="2"/>
    </row>
    <row r="8114" spans="6:6" x14ac:dyDescent="0.25">
      <c r="F8114" s="2"/>
    </row>
    <row r="8115" spans="6:6" x14ac:dyDescent="0.25">
      <c r="F8115" s="2"/>
    </row>
    <row r="8116" spans="6:6" x14ac:dyDescent="0.25">
      <c r="F8116" s="2"/>
    </row>
    <row r="8117" spans="6:6" x14ac:dyDescent="0.25">
      <c r="F8117" s="2"/>
    </row>
    <row r="8118" spans="6:6" x14ac:dyDescent="0.25">
      <c r="F8118" s="2"/>
    </row>
    <row r="8119" spans="6:6" x14ac:dyDescent="0.25">
      <c r="F8119" s="2"/>
    </row>
    <row r="8120" spans="6:6" x14ac:dyDescent="0.25">
      <c r="F8120" s="2"/>
    </row>
    <row r="8121" spans="6:6" x14ac:dyDescent="0.25">
      <c r="F8121" s="2"/>
    </row>
    <row r="8122" spans="6:6" x14ac:dyDescent="0.25">
      <c r="F8122" s="2"/>
    </row>
    <row r="8123" spans="6:6" x14ac:dyDescent="0.25">
      <c r="F8123" s="2"/>
    </row>
    <row r="8124" spans="6:6" x14ac:dyDescent="0.25">
      <c r="F8124" s="2"/>
    </row>
    <row r="8125" spans="6:6" x14ac:dyDescent="0.25">
      <c r="F8125" s="2"/>
    </row>
    <row r="8126" spans="6:6" x14ac:dyDescent="0.25">
      <c r="F8126" s="2"/>
    </row>
    <row r="8127" spans="6:6" x14ac:dyDescent="0.25">
      <c r="F8127" s="2"/>
    </row>
    <row r="8128" spans="6:6" x14ac:dyDescent="0.25">
      <c r="F8128" s="2"/>
    </row>
    <row r="8129" spans="6:6" x14ac:dyDescent="0.25">
      <c r="F8129" s="2"/>
    </row>
    <row r="8130" spans="6:6" x14ac:dyDescent="0.25">
      <c r="F8130" s="2"/>
    </row>
    <row r="8131" spans="6:6" x14ac:dyDescent="0.25">
      <c r="F8131" s="2"/>
    </row>
    <row r="8132" spans="6:6" x14ac:dyDescent="0.25">
      <c r="F8132" s="2"/>
    </row>
    <row r="8133" spans="6:6" x14ac:dyDescent="0.25">
      <c r="F8133" s="2"/>
    </row>
    <row r="8134" spans="6:6" x14ac:dyDescent="0.25">
      <c r="F8134" s="2"/>
    </row>
    <row r="8135" spans="6:6" x14ac:dyDescent="0.25">
      <c r="F8135" s="2"/>
    </row>
    <row r="8136" spans="6:6" x14ac:dyDescent="0.25">
      <c r="F8136" s="2"/>
    </row>
    <row r="8137" spans="6:6" x14ac:dyDescent="0.25">
      <c r="F8137" s="2"/>
    </row>
    <row r="8138" spans="6:6" x14ac:dyDescent="0.25">
      <c r="F8138" s="2"/>
    </row>
    <row r="8139" spans="6:6" x14ac:dyDescent="0.25">
      <c r="F8139" s="2"/>
    </row>
    <row r="8140" spans="6:6" x14ac:dyDescent="0.25">
      <c r="F8140" s="2"/>
    </row>
    <row r="8141" spans="6:6" x14ac:dyDescent="0.25">
      <c r="F8141" s="2"/>
    </row>
    <row r="8142" spans="6:6" x14ac:dyDescent="0.25">
      <c r="F8142" s="2"/>
    </row>
    <row r="8143" spans="6:6" x14ac:dyDescent="0.25">
      <c r="F8143" s="2"/>
    </row>
    <row r="8144" spans="6:6" x14ac:dyDescent="0.25">
      <c r="F8144" s="2"/>
    </row>
    <row r="8145" spans="6:6" x14ac:dyDescent="0.25">
      <c r="F8145" s="2"/>
    </row>
    <row r="8146" spans="6:6" x14ac:dyDescent="0.25">
      <c r="F8146" s="2"/>
    </row>
    <row r="8147" spans="6:6" x14ac:dyDescent="0.25">
      <c r="F8147" s="2"/>
    </row>
    <row r="8148" spans="6:6" x14ac:dyDescent="0.25">
      <c r="F8148" s="2"/>
    </row>
    <row r="8149" spans="6:6" x14ac:dyDescent="0.25">
      <c r="F8149" s="2"/>
    </row>
    <row r="8150" spans="6:6" x14ac:dyDescent="0.25">
      <c r="F8150" s="2"/>
    </row>
    <row r="8151" spans="6:6" x14ac:dyDescent="0.25">
      <c r="F8151" s="2"/>
    </row>
    <row r="8152" spans="6:6" x14ac:dyDescent="0.25">
      <c r="F8152" s="2"/>
    </row>
    <row r="8153" spans="6:6" x14ac:dyDescent="0.25">
      <c r="F8153" s="2"/>
    </row>
    <row r="8154" spans="6:6" x14ac:dyDescent="0.25">
      <c r="F8154" s="2"/>
    </row>
    <row r="8155" spans="6:6" x14ac:dyDescent="0.25">
      <c r="F8155" s="2"/>
    </row>
    <row r="8156" spans="6:6" x14ac:dyDescent="0.25">
      <c r="F8156" s="2"/>
    </row>
    <row r="8157" spans="6:6" x14ac:dyDescent="0.25">
      <c r="F8157" s="2"/>
    </row>
    <row r="8158" spans="6:6" x14ac:dyDescent="0.25">
      <c r="F8158" s="2"/>
    </row>
    <row r="8159" spans="6:6" x14ac:dyDescent="0.25">
      <c r="F8159" s="2"/>
    </row>
    <row r="8160" spans="6:6" x14ac:dyDescent="0.25">
      <c r="F8160" s="2"/>
    </row>
    <row r="8161" spans="6:6" x14ac:dyDescent="0.25">
      <c r="F8161" s="2"/>
    </row>
    <row r="8162" spans="6:6" x14ac:dyDescent="0.25">
      <c r="F8162" s="2"/>
    </row>
    <row r="8163" spans="6:6" x14ac:dyDescent="0.25">
      <c r="F8163" s="2"/>
    </row>
    <row r="8164" spans="6:6" x14ac:dyDescent="0.25">
      <c r="F8164" s="2"/>
    </row>
    <row r="8165" spans="6:6" x14ac:dyDescent="0.25">
      <c r="F8165" s="2"/>
    </row>
    <row r="8166" spans="6:6" x14ac:dyDescent="0.25">
      <c r="F8166" s="2"/>
    </row>
    <row r="8167" spans="6:6" x14ac:dyDescent="0.25">
      <c r="F8167" s="2"/>
    </row>
    <row r="8168" spans="6:6" x14ac:dyDescent="0.25">
      <c r="F8168" s="2"/>
    </row>
    <row r="8169" spans="6:6" x14ac:dyDescent="0.25">
      <c r="F8169" s="2"/>
    </row>
    <row r="8170" spans="6:6" x14ac:dyDescent="0.25">
      <c r="F8170" s="2"/>
    </row>
    <row r="8171" spans="6:6" x14ac:dyDescent="0.25">
      <c r="F8171" s="2"/>
    </row>
    <row r="8172" spans="6:6" x14ac:dyDescent="0.25">
      <c r="F8172" s="2"/>
    </row>
    <row r="8173" spans="6:6" x14ac:dyDescent="0.25">
      <c r="F8173" s="2"/>
    </row>
    <row r="8174" spans="6:6" x14ac:dyDescent="0.25">
      <c r="F8174" s="2"/>
    </row>
    <row r="8175" spans="6:6" x14ac:dyDescent="0.25">
      <c r="F8175" s="2"/>
    </row>
    <row r="8176" spans="6:6" x14ac:dyDescent="0.25">
      <c r="F8176" s="2"/>
    </row>
    <row r="8177" spans="6:6" x14ac:dyDescent="0.25">
      <c r="F8177" s="2"/>
    </row>
    <row r="8178" spans="6:6" x14ac:dyDescent="0.25">
      <c r="F8178" s="2"/>
    </row>
    <row r="8179" spans="6:6" x14ac:dyDescent="0.25">
      <c r="F8179" s="2"/>
    </row>
    <row r="8180" spans="6:6" x14ac:dyDescent="0.25">
      <c r="F8180" s="2"/>
    </row>
    <row r="8181" spans="6:6" x14ac:dyDescent="0.25">
      <c r="F8181" s="2"/>
    </row>
    <row r="8182" spans="6:6" x14ac:dyDescent="0.25">
      <c r="F8182" s="2"/>
    </row>
    <row r="8183" spans="6:6" x14ac:dyDescent="0.25">
      <c r="F8183" s="2"/>
    </row>
    <row r="8184" spans="6:6" x14ac:dyDescent="0.25">
      <c r="F8184" s="2"/>
    </row>
    <row r="8185" spans="6:6" x14ac:dyDescent="0.25">
      <c r="F8185" s="2"/>
    </row>
    <row r="8186" spans="6:6" x14ac:dyDescent="0.25">
      <c r="F8186" s="2"/>
    </row>
    <row r="8187" spans="6:6" x14ac:dyDescent="0.25">
      <c r="F8187" s="2"/>
    </row>
    <row r="8188" spans="6:6" x14ac:dyDescent="0.25">
      <c r="F8188" s="2"/>
    </row>
    <row r="8189" spans="6:6" x14ac:dyDescent="0.25">
      <c r="F8189" s="2"/>
    </row>
    <row r="8190" spans="6:6" x14ac:dyDescent="0.25">
      <c r="F8190" s="2"/>
    </row>
    <row r="8191" spans="6:6" x14ac:dyDescent="0.25">
      <c r="F8191" s="2"/>
    </row>
    <row r="8192" spans="6:6" x14ac:dyDescent="0.25">
      <c r="F8192" s="2"/>
    </row>
    <row r="8193" spans="6:6" x14ac:dyDescent="0.25">
      <c r="F8193" s="2"/>
    </row>
    <row r="8194" spans="6:6" x14ac:dyDescent="0.25">
      <c r="F8194" s="2"/>
    </row>
    <row r="8195" spans="6:6" x14ac:dyDescent="0.25">
      <c r="F8195" s="2"/>
    </row>
    <row r="8196" spans="6:6" x14ac:dyDescent="0.25">
      <c r="F8196" s="2"/>
    </row>
    <row r="8197" spans="6:6" x14ac:dyDescent="0.25">
      <c r="F8197" s="2"/>
    </row>
    <row r="8198" spans="6:6" x14ac:dyDescent="0.25">
      <c r="F8198" s="2"/>
    </row>
    <row r="8199" spans="6:6" x14ac:dyDescent="0.25">
      <c r="F8199" s="2"/>
    </row>
    <row r="8200" spans="6:6" x14ac:dyDescent="0.25">
      <c r="F8200" s="2"/>
    </row>
    <row r="8201" spans="6:6" x14ac:dyDescent="0.25">
      <c r="F8201" s="2"/>
    </row>
    <row r="8202" spans="6:6" x14ac:dyDescent="0.25">
      <c r="F8202" s="2"/>
    </row>
    <row r="8203" spans="6:6" x14ac:dyDescent="0.25">
      <c r="F8203" s="2"/>
    </row>
    <row r="8204" spans="6:6" x14ac:dyDescent="0.25">
      <c r="F8204" s="2"/>
    </row>
    <row r="8205" spans="6:6" x14ac:dyDescent="0.25">
      <c r="F8205" s="2"/>
    </row>
    <row r="8206" spans="6:6" x14ac:dyDescent="0.25">
      <c r="F8206" s="2"/>
    </row>
    <row r="8207" spans="6:6" x14ac:dyDescent="0.25">
      <c r="F8207" s="2"/>
    </row>
    <row r="8208" spans="6:6" x14ac:dyDescent="0.25">
      <c r="F8208" s="2"/>
    </row>
    <row r="8209" spans="6:6" x14ac:dyDescent="0.25">
      <c r="F8209" s="2"/>
    </row>
    <row r="8210" spans="6:6" x14ac:dyDescent="0.25">
      <c r="F8210" s="2"/>
    </row>
    <row r="8211" spans="6:6" x14ac:dyDescent="0.25">
      <c r="F8211" s="2"/>
    </row>
    <row r="8212" spans="6:6" x14ac:dyDescent="0.25">
      <c r="F8212" s="2"/>
    </row>
    <row r="8213" spans="6:6" x14ac:dyDescent="0.25">
      <c r="F8213" s="2"/>
    </row>
    <row r="8214" spans="6:6" x14ac:dyDescent="0.25">
      <c r="F8214" s="2"/>
    </row>
    <row r="8215" spans="6:6" x14ac:dyDescent="0.25">
      <c r="F8215" s="2"/>
    </row>
    <row r="8216" spans="6:6" x14ac:dyDescent="0.25">
      <c r="F8216" s="2"/>
    </row>
    <row r="8217" spans="6:6" x14ac:dyDescent="0.25">
      <c r="F8217" s="2"/>
    </row>
    <row r="8218" spans="6:6" x14ac:dyDescent="0.25">
      <c r="F8218" s="2"/>
    </row>
    <row r="8219" spans="6:6" x14ac:dyDescent="0.25">
      <c r="F8219" s="2"/>
    </row>
    <row r="8220" spans="6:6" x14ac:dyDescent="0.25">
      <c r="F8220" s="2"/>
    </row>
    <row r="8221" spans="6:6" x14ac:dyDescent="0.25">
      <c r="F8221" s="2"/>
    </row>
    <row r="8222" spans="6:6" x14ac:dyDescent="0.25">
      <c r="F8222" s="2"/>
    </row>
    <row r="8223" spans="6:6" x14ac:dyDescent="0.25">
      <c r="F8223" s="2"/>
    </row>
    <row r="8224" spans="6:6" x14ac:dyDescent="0.25">
      <c r="F8224" s="2"/>
    </row>
    <row r="8225" spans="6:6" x14ac:dyDescent="0.25">
      <c r="F8225" s="2"/>
    </row>
    <row r="8226" spans="6:6" x14ac:dyDescent="0.25">
      <c r="F8226" s="2"/>
    </row>
    <row r="8227" spans="6:6" x14ac:dyDescent="0.25">
      <c r="F8227" s="2"/>
    </row>
    <row r="8228" spans="6:6" x14ac:dyDescent="0.25">
      <c r="F8228" s="2"/>
    </row>
    <row r="8229" spans="6:6" x14ac:dyDescent="0.25">
      <c r="F8229" s="2"/>
    </row>
    <row r="8230" spans="6:6" x14ac:dyDescent="0.25">
      <c r="F8230" s="2"/>
    </row>
    <row r="8231" spans="6:6" x14ac:dyDescent="0.25">
      <c r="F8231" s="2"/>
    </row>
    <row r="8232" spans="6:6" x14ac:dyDescent="0.25">
      <c r="F8232" s="2"/>
    </row>
    <row r="8233" spans="6:6" x14ac:dyDescent="0.25">
      <c r="F8233" s="2"/>
    </row>
    <row r="8234" spans="6:6" x14ac:dyDescent="0.25">
      <c r="F8234" s="2"/>
    </row>
    <row r="8235" spans="6:6" x14ac:dyDescent="0.25">
      <c r="F8235" s="2"/>
    </row>
    <row r="8236" spans="6:6" x14ac:dyDescent="0.25">
      <c r="F8236" s="2"/>
    </row>
    <row r="8237" spans="6:6" x14ac:dyDescent="0.25">
      <c r="F8237" s="2"/>
    </row>
    <row r="8238" spans="6:6" x14ac:dyDescent="0.25">
      <c r="F8238" s="2"/>
    </row>
    <row r="8239" spans="6:6" x14ac:dyDescent="0.25">
      <c r="F8239" s="2"/>
    </row>
    <row r="8240" spans="6:6" x14ac:dyDescent="0.25">
      <c r="F8240" s="2"/>
    </row>
    <row r="8241" spans="6:6" x14ac:dyDescent="0.25">
      <c r="F8241" s="2"/>
    </row>
    <row r="8242" spans="6:6" x14ac:dyDescent="0.25">
      <c r="F8242" s="2"/>
    </row>
    <row r="8243" spans="6:6" x14ac:dyDescent="0.25">
      <c r="F8243" s="2"/>
    </row>
    <row r="8244" spans="6:6" x14ac:dyDescent="0.25">
      <c r="F8244" s="2"/>
    </row>
    <row r="8245" spans="6:6" x14ac:dyDescent="0.25">
      <c r="F8245" s="2"/>
    </row>
    <row r="8246" spans="6:6" x14ac:dyDescent="0.25">
      <c r="F8246" s="2"/>
    </row>
    <row r="8247" spans="6:6" x14ac:dyDescent="0.25">
      <c r="F8247" s="2"/>
    </row>
    <row r="8248" spans="6:6" x14ac:dyDescent="0.25">
      <c r="F8248" s="2"/>
    </row>
    <row r="8249" spans="6:6" x14ac:dyDescent="0.25">
      <c r="F8249" s="2"/>
    </row>
    <row r="8250" spans="6:6" x14ac:dyDescent="0.25">
      <c r="F8250" s="2"/>
    </row>
    <row r="8251" spans="6:6" x14ac:dyDescent="0.25">
      <c r="F8251" s="2"/>
    </row>
    <row r="8252" spans="6:6" x14ac:dyDescent="0.25">
      <c r="F8252" s="2"/>
    </row>
    <row r="8253" spans="6:6" x14ac:dyDescent="0.25">
      <c r="F8253" s="2"/>
    </row>
    <row r="8254" spans="6:6" x14ac:dyDescent="0.25">
      <c r="F8254" s="2"/>
    </row>
    <row r="8255" spans="6:6" x14ac:dyDescent="0.25">
      <c r="F8255" s="2"/>
    </row>
    <row r="8256" spans="6:6" x14ac:dyDescent="0.25">
      <c r="F8256" s="2"/>
    </row>
    <row r="8257" spans="6:6" x14ac:dyDescent="0.25">
      <c r="F8257" s="2"/>
    </row>
    <row r="8258" spans="6:6" x14ac:dyDescent="0.25">
      <c r="F8258" s="2"/>
    </row>
    <row r="8259" spans="6:6" x14ac:dyDescent="0.25">
      <c r="F8259" s="2"/>
    </row>
    <row r="8260" spans="6:6" x14ac:dyDescent="0.25">
      <c r="F8260" s="2"/>
    </row>
    <row r="8261" spans="6:6" x14ac:dyDescent="0.25">
      <c r="F8261" s="2"/>
    </row>
    <row r="8262" spans="6:6" x14ac:dyDescent="0.25">
      <c r="F8262" s="2"/>
    </row>
    <row r="8263" spans="6:6" x14ac:dyDescent="0.25">
      <c r="F8263" s="2"/>
    </row>
    <row r="8264" spans="6:6" x14ac:dyDescent="0.25">
      <c r="F8264" s="2"/>
    </row>
    <row r="8265" spans="6:6" x14ac:dyDescent="0.25">
      <c r="F8265" s="2"/>
    </row>
    <row r="8266" spans="6:6" x14ac:dyDescent="0.25">
      <c r="F8266" s="2"/>
    </row>
    <row r="8267" spans="6:6" x14ac:dyDescent="0.25">
      <c r="F8267" s="2"/>
    </row>
    <row r="8268" spans="6:6" x14ac:dyDescent="0.25">
      <c r="F8268" s="2"/>
    </row>
    <row r="8269" spans="6:6" x14ac:dyDescent="0.25">
      <c r="F8269" s="2"/>
    </row>
    <row r="8270" spans="6:6" x14ac:dyDescent="0.25">
      <c r="F8270" s="2"/>
    </row>
    <row r="8271" spans="6:6" x14ac:dyDescent="0.25">
      <c r="F8271" s="2"/>
    </row>
    <row r="8272" spans="6:6" x14ac:dyDescent="0.25">
      <c r="F8272" s="2"/>
    </row>
    <row r="8273" spans="6:6" x14ac:dyDescent="0.25">
      <c r="F8273" s="2"/>
    </row>
    <row r="8274" spans="6:6" x14ac:dyDescent="0.25">
      <c r="F8274" s="2"/>
    </row>
    <row r="8275" spans="6:6" x14ac:dyDescent="0.25">
      <c r="F8275" s="2"/>
    </row>
    <row r="8276" spans="6:6" x14ac:dyDescent="0.25">
      <c r="F8276" s="2"/>
    </row>
    <row r="8277" spans="6:6" x14ac:dyDescent="0.25">
      <c r="F8277" s="2"/>
    </row>
    <row r="8278" spans="6:6" x14ac:dyDescent="0.25">
      <c r="F8278" s="2"/>
    </row>
    <row r="8279" spans="6:6" x14ac:dyDescent="0.25">
      <c r="F8279" s="2"/>
    </row>
    <row r="8280" spans="6:6" x14ac:dyDescent="0.25">
      <c r="F8280" s="2"/>
    </row>
    <row r="8281" spans="6:6" x14ac:dyDescent="0.25">
      <c r="F8281" s="2"/>
    </row>
    <row r="8282" spans="6:6" x14ac:dyDescent="0.25">
      <c r="F8282" s="2"/>
    </row>
    <row r="8283" spans="6:6" x14ac:dyDescent="0.25">
      <c r="F8283" s="2"/>
    </row>
    <row r="8284" spans="6:6" x14ac:dyDescent="0.25">
      <c r="F8284" s="2"/>
    </row>
    <row r="8285" spans="6:6" x14ac:dyDescent="0.25">
      <c r="F8285" s="2"/>
    </row>
    <row r="8286" spans="6:6" x14ac:dyDescent="0.25">
      <c r="F8286" s="2"/>
    </row>
    <row r="8287" spans="6:6" x14ac:dyDescent="0.25">
      <c r="F8287" s="2"/>
    </row>
    <row r="8288" spans="6:6" x14ac:dyDescent="0.25">
      <c r="F8288" s="2"/>
    </row>
    <row r="8289" spans="6:6" x14ac:dyDescent="0.25">
      <c r="F8289" s="2"/>
    </row>
    <row r="8290" spans="6:6" x14ac:dyDescent="0.25">
      <c r="F8290" s="2"/>
    </row>
    <row r="8291" spans="6:6" x14ac:dyDescent="0.25">
      <c r="F8291" s="2"/>
    </row>
    <row r="8292" spans="6:6" x14ac:dyDescent="0.25">
      <c r="F8292" s="2"/>
    </row>
    <row r="8293" spans="6:6" x14ac:dyDescent="0.25">
      <c r="F8293" s="2"/>
    </row>
    <row r="8294" spans="6:6" x14ac:dyDescent="0.25">
      <c r="F8294" s="2"/>
    </row>
    <row r="8295" spans="6:6" x14ac:dyDescent="0.25">
      <c r="F8295" s="2"/>
    </row>
    <row r="8296" spans="6:6" x14ac:dyDescent="0.25">
      <c r="F8296" s="2"/>
    </row>
    <row r="8297" spans="6:6" x14ac:dyDescent="0.25">
      <c r="F8297" s="2"/>
    </row>
    <row r="8298" spans="6:6" x14ac:dyDescent="0.25">
      <c r="F8298" s="2"/>
    </row>
    <row r="8299" spans="6:6" x14ac:dyDescent="0.25">
      <c r="F8299" s="2"/>
    </row>
    <row r="8300" spans="6:6" x14ac:dyDescent="0.25">
      <c r="F8300" s="2"/>
    </row>
    <row r="8301" spans="6:6" x14ac:dyDescent="0.25">
      <c r="F8301" s="2"/>
    </row>
    <row r="8302" spans="6:6" x14ac:dyDescent="0.25">
      <c r="F8302" s="2"/>
    </row>
    <row r="8303" spans="6:6" x14ac:dyDescent="0.25">
      <c r="F8303" s="2"/>
    </row>
    <row r="8304" spans="6:6" x14ac:dyDescent="0.25">
      <c r="F8304" s="2"/>
    </row>
    <row r="8305" spans="6:6" x14ac:dyDescent="0.25">
      <c r="F8305" s="2"/>
    </row>
    <row r="8306" spans="6:6" x14ac:dyDescent="0.25">
      <c r="F8306" s="2"/>
    </row>
    <row r="8307" spans="6:6" x14ac:dyDescent="0.25">
      <c r="F8307" s="2"/>
    </row>
    <row r="8308" spans="6:6" x14ac:dyDescent="0.25">
      <c r="F8308" s="2"/>
    </row>
    <row r="8309" spans="6:6" x14ac:dyDescent="0.25">
      <c r="F8309" s="2"/>
    </row>
    <row r="8310" spans="6:6" x14ac:dyDescent="0.25">
      <c r="F8310" s="2"/>
    </row>
    <row r="8311" spans="6:6" x14ac:dyDescent="0.25">
      <c r="F8311" s="2"/>
    </row>
    <row r="8312" spans="6:6" x14ac:dyDescent="0.25">
      <c r="F8312" s="2"/>
    </row>
    <row r="8313" spans="6:6" x14ac:dyDescent="0.25">
      <c r="F8313" s="2"/>
    </row>
    <row r="8314" spans="6:6" x14ac:dyDescent="0.25">
      <c r="F8314" s="2"/>
    </row>
    <row r="8315" spans="6:6" x14ac:dyDescent="0.25">
      <c r="F8315" s="2"/>
    </row>
    <row r="8316" spans="6:6" x14ac:dyDescent="0.25">
      <c r="F8316" s="2"/>
    </row>
    <row r="8317" spans="6:6" x14ac:dyDescent="0.25">
      <c r="F8317" s="2"/>
    </row>
    <row r="8318" spans="6:6" x14ac:dyDescent="0.25">
      <c r="F8318" s="2"/>
    </row>
    <row r="8319" spans="6:6" x14ac:dyDescent="0.25">
      <c r="F8319" s="2"/>
    </row>
    <row r="8320" spans="6:6" x14ac:dyDescent="0.25">
      <c r="F8320" s="2"/>
    </row>
    <row r="8321" spans="6:6" x14ac:dyDescent="0.25">
      <c r="F8321" s="2"/>
    </row>
    <row r="8322" spans="6:6" x14ac:dyDescent="0.25">
      <c r="F8322" s="2"/>
    </row>
    <row r="8323" spans="6:6" x14ac:dyDescent="0.25">
      <c r="F8323" s="2"/>
    </row>
    <row r="8324" spans="6:6" x14ac:dyDescent="0.25">
      <c r="F8324" s="2"/>
    </row>
    <row r="8325" spans="6:6" x14ac:dyDescent="0.25">
      <c r="F8325" s="2"/>
    </row>
    <row r="8326" spans="6:6" x14ac:dyDescent="0.25">
      <c r="F8326" s="2"/>
    </row>
    <row r="8327" spans="6:6" x14ac:dyDescent="0.25">
      <c r="F8327" s="2"/>
    </row>
    <row r="8328" spans="6:6" x14ac:dyDescent="0.25">
      <c r="F8328" s="2"/>
    </row>
    <row r="8329" spans="6:6" x14ac:dyDescent="0.25">
      <c r="F8329" s="2"/>
    </row>
    <row r="8330" spans="6:6" x14ac:dyDescent="0.25">
      <c r="F8330" s="2"/>
    </row>
    <row r="8331" spans="6:6" x14ac:dyDescent="0.25">
      <c r="F8331" s="2"/>
    </row>
    <row r="8332" spans="6:6" x14ac:dyDescent="0.25">
      <c r="F8332" s="2"/>
    </row>
    <row r="8333" spans="6:6" x14ac:dyDescent="0.25">
      <c r="F8333" s="2"/>
    </row>
    <row r="8334" spans="6:6" x14ac:dyDescent="0.25">
      <c r="F8334" s="2"/>
    </row>
    <row r="8335" spans="6:6" x14ac:dyDescent="0.25">
      <c r="F8335" s="2"/>
    </row>
    <row r="8336" spans="6:6" x14ac:dyDescent="0.25">
      <c r="F8336" s="2"/>
    </row>
    <row r="8337" spans="6:6" x14ac:dyDescent="0.25">
      <c r="F8337" s="2"/>
    </row>
    <row r="8338" spans="6:6" x14ac:dyDescent="0.25">
      <c r="F8338" s="2"/>
    </row>
    <row r="8339" spans="6:6" x14ac:dyDescent="0.25">
      <c r="F8339" s="2"/>
    </row>
    <row r="8340" spans="6:6" x14ac:dyDescent="0.25">
      <c r="F8340" s="2"/>
    </row>
    <row r="8341" spans="6:6" x14ac:dyDescent="0.25">
      <c r="F8341" s="2"/>
    </row>
    <row r="8342" spans="6:6" x14ac:dyDescent="0.25">
      <c r="F8342" s="2"/>
    </row>
    <row r="8343" spans="6:6" x14ac:dyDescent="0.25">
      <c r="F8343" s="2"/>
    </row>
    <row r="8344" spans="6:6" x14ac:dyDescent="0.25">
      <c r="F8344" s="2"/>
    </row>
    <row r="8345" spans="6:6" x14ac:dyDescent="0.25">
      <c r="F8345" s="2"/>
    </row>
    <row r="8346" spans="6:6" x14ac:dyDescent="0.25">
      <c r="F8346" s="2"/>
    </row>
    <row r="8347" spans="6:6" x14ac:dyDescent="0.25">
      <c r="F8347" s="2"/>
    </row>
    <row r="8348" spans="6:6" x14ac:dyDescent="0.25">
      <c r="F8348" s="2"/>
    </row>
    <row r="8349" spans="6:6" x14ac:dyDescent="0.25">
      <c r="F8349" s="2"/>
    </row>
    <row r="8350" spans="6:6" x14ac:dyDescent="0.25">
      <c r="F8350" s="2"/>
    </row>
    <row r="8351" spans="6:6" x14ac:dyDescent="0.25">
      <c r="F8351" s="2"/>
    </row>
    <row r="8352" spans="6:6" x14ac:dyDescent="0.25">
      <c r="F8352" s="2"/>
    </row>
    <row r="8353" spans="6:6" x14ac:dyDescent="0.25">
      <c r="F8353" s="2"/>
    </row>
    <row r="8354" spans="6:6" x14ac:dyDescent="0.25">
      <c r="F8354" s="2"/>
    </row>
    <row r="8355" spans="6:6" x14ac:dyDescent="0.25">
      <c r="F8355" s="2"/>
    </row>
    <row r="8356" spans="6:6" x14ac:dyDescent="0.25">
      <c r="F8356" s="2"/>
    </row>
    <row r="8357" spans="6:6" x14ac:dyDescent="0.25">
      <c r="F8357" s="2"/>
    </row>
    <row r="8358" spans="6:6" x14ac:dyDescent="0.25">
      <c r="F8358" s="2"/>
    </row>
    <row r="8359" spans="6:6" x14ac:dyDescent="0.25">
      <c r="F8359" s="2"/>
    </row>
    <row r="8360" spans="6:6" x14ac:dyDescent="0.25">
      <c r="F8360" s="2"/>
    </row>
    <row r="8361" spans="6:6" x14ac:dyDescent="0.25">
      <c r="F8361" s="2"/>
    </row>
    <row r="8362" spans="6:6" x14ac:dyDescent="0.25">
      <c r="F8362" s="2"/>
    </row>
    <row r="8363" spans="6:6" x14ac:dyDescent="0.25">
      <c r="F8363" s="2"/>
    </row>
    <row r="8364" spans="6:6" x14ac:dyDescent="0.25">
      <c r="F8364" s="2"/>
    </row>
    <row r="8365" spans="6:6" x14ac:dyDescent="0.25">
      <c r="F8365" s="2"/>
    </row>
    <row r="8366" spans="6:6" x14ac:dyDescent="0.25">
      <c r="F8366" s="2"/>
    </row>
    <row r="8367" spans="6:6" x14ac:dyDescent="0.25">
      <c r="F8367" s="2"/>
    </row>
    <row r="8368" spans="6:6" x14ac:dyDescent="0.25">
      <c r="F8368" s="2"/>
    </row>
    <row r="8369" spans="6:6" x14ac:dyDescent="0.25">
      <c r="F8369" s="2"/>
    </row>
    <row r="8370" spans="6:6" x14ac:dyDescent="0.25">
      <c r="F8370" s="2"/>
    </row>
    <row r="8371" spans="6:6" x14ac:dyDescent="0.25">
      <c r="F8371" s="2"/>
    </row>
    <row r="8372" spans="6:6" x14ac:dyDescent="0.25">
      <c r="F8372" s="2"/>
    </row>
    <row r="8373" spans="6:6" x14ac:dyDescent="0.25">
      <c r="F8373" s="2"/>
    </row>
    <row r="8374" spans="6:6" x14ac:dyDescent="0.25">
      <c r="F8374" s="2"/>
    </row>
    <row r="8375" spans="6:6" x14ac:dyDescent="0.25">
      <c r="F8375" s="2"/>
    </row>
    <row r="8376" spans="6:6" x14ac:dyDescent="0.25">
      <c r="F8376" s="2"/>
    </row>
    <row r="8377" spans="6:6" x14ac:dyDescent="0.25">
      <c r="F8377" s="2"/>
    </row>
    <row r="8378" spans="6:6" x14ac:dyDescent="0.25">
      <c r="F8378" s="2"/>
    </row>
    <row r="8379" spans="6:6" x14ac:dyDescent="0.25">
      <c r="F8379" s="2"/>
    </row>
    <row r="8380" spans="6:6" x14ac:dyDescent="0.25">
      <c r="F8380" s="2"/>
    </row>
    <row r="8381" spans="6:6" x14ac:dyDescent="0.25">
      <c r="F8381" s="2"/>
    </row>
    <row r="8382" spans="6:6" x14ac:dyDescent="0.25">
      <c r="F8382" s="2"/>
    </row>
    <row r="8383" spans="6:6" x14ac:dyDescent="0.25">
      <c r="F8383" s="2"/>
    </row>
    <row r="8384" spans="6:6" x14ac:dyDescent="0.25">
      <c r="F8384" s="2"/>
    </row>
    <row r="8385" spans="6:6" x14ac:dyDescent="0.25">
      <c r="F8385" s="2"/>
    </row>
    <row r="8386" spans="6:6" x14ac:dyDescent="0.25">
      <c r="F8386" s="2"/>
    </row>
    <row r="8387" spans="6:6" x14ac:dyDescent="0.25">
      <c r="F8387" s="2"/>
    </row>
    <row r="8388" spans="6:6" x14ac:dyDescent="0.25">
      <c r="F8388" s="2"/>
    </row>
    <row r="8389" spans="6:6" x14ac:dyDescent="0.25">
      <c r="F8389" s="2"/>
    </row>
    <row r="8390" spans="6:6" x14ac:dyDescent="0.25">
      <c r="F8390" s="2"/>
    </row>
    <row r="8391" spans="6:6" x14ac:dyDescent="0.25">
      <c r="F8391" s="2"/>
    </row>
    <row r="8392" spans="6:6" x14ac:dyDescent="0.25">
      <c r="F8392" s="2"/>
    </row>
    <row r="8393" spans="6:6" x14ac:dyDescent="0.25">
      <c r="F8393" s="2"/>
    </row>
    <row r="8394" spans="6:6" x14ac:dyDescent="0.25">
      <c r="F8394" s="2"/>
    </row>
    <row r="8395" spans="6:6" x14ac:dyDescent="0.25">
      <c r="F8395" s="2"/>
    </row>
    <row r="8396" spans="6:6" x14ac:dyDescent="0.25">
      <c r="F8396" s="2"/>
    </row>
    <row r="8397" spans="6:6" x14ac:dyDescent="0.25">
      <c r="F8397" s="2"/>
    </row>
    <row r="8398" spans="6:6" x14ac:dyDescent="0.25">
      <c r="F8398" s="2"/>
    </row>
  </sheetData>
  <pageMargins left="0.7" right="0.7" top="0.75" bottom="0.75" header="0.3" footer="0.3"/>
  <headerFooter>
    <oddHeader>&amp;C&amp;"Calibri"&amp;12&amp;K000000 INTERNAL&amp;1#_x000D_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8471-A9EC-4F72-9F95-E962E50EA353}">
  <dimension ref="A2:J35"/>
  <sheetViews>
    <sheetView topLeftCell="A15" workbookViewId="0">
      <selection activeCell="C19" sqref="C19"/>
    </sheetView>
  </sheetViews>
  <sheetFormatPr defaultRowHeight="15" x14ac:dyDescent="0.25"/>
  <cols>
    <col min="2" max="2" width="22.140625" customWidth="1"/>
    <col min="3" max="3" width="17.5703125" customWidth="1"/>
    <col min="4" max="4" width="15.28515625" bestFit="1" customWidth="1"/>
  </cols>
  <sheetData>
    <row r="2" spans="1:10" x14ac:dyDescent="0.25">
      <c r="A2">
        <v>1</v>
      </c>
      <c r="B2" s="4" t="s">
        <v>1019</v>
      </c>
      <c r="C2" s="5" t="s">
        <v>1020</v>
      </c>
    </row>
    <row r="3" spans="1:10" x14ac:dyDescent="0.25">
      <c r="B3" s="4" t="s">
        <v>1021</v>
      </c>
      <c r="C3" s="3">
        <v>18000000</v>
      </c>
    </row>
    <row r="4" spans="1:10" x14ac:dyDescent="0.25">
      <c r="B4" t="s">
        <v>1022</v>
      </c>
      <c r="C4" s="3">
        <v>13000000</v>
      </c>
    </row>
    <row r="5" spans="1:10" x14ac:dyDescent="0.25">
      <c r="B5" t="s">
        <v>1023</v>
      </c>
      <c r="C5" s="3">
        <v>9000000</v>
      </c>
    </row>
    <row r="6" spans="1:10" x14ac:dyDescent="0.25">
      <c r="B6" t="s">
        <v>1024</v>
      </c>
      <c r="C6" s="3">
        <v>6800000</v>
      </c>
    </row>
    <row r="7" spans="1:10" x14ac:dyDescent="0.25">
      <c r="C7" s="3"/>
    </row>
    <row r="8" spans="1:10" x14ac:dyDescent="0.25">
      <c r="A8">
        <v>2</v>
      </c>
      <c r="B8" t="s">
        <v>1025</v>
      </c>
      <c r="C8" s="3"/>
    </row>
    <row r="9" spans="1:10" x14ac:dyDescent="0.25">
      <c r="B9" t="s">
        <v>7</v>
      </c>
      <c r="C9">
        <f>COUNTIF(Table1[[#Headers],[#Data],[Divisi]],Helper!B9)</f>
        <v>194</v>
      </c>
      <c r="D9" t="str">
        <f ca="1">_xlfn.FORMULATEXT(C9)</f>
        <v>=COUNTIF(Table1[[#Headers];[#Data];[Divisi]];Helper!B9)</v>
      </c>
    </row>
    <row r="10" spans="1:10" x14ac:dyDescent="0.25">
      <c r="B10" t="s">
        <v>10</v>
      </c>
      <c r="C10">
        <f>COUNTIF(Table1[[#Headers],[#Data],[Divisi]],Helper!B10)</f>
        <v>587</v>
      </c>
      <c r="D10" t="str">
        <f t="shared" ref="D10:D11" ca="1" si="0">_xlfn.FORMULATEXT(C10)</f>
        <v>=COUNTIF(Table1[[#Headers];[#Data];[Divisi]];Helper!B10)</v>
      </c>
    </row>
    <row r="11" spans="1:10" x14ac:dyDescent="0.25">
      <c r="B11" t="s">
        <v>14</v>
      </c>
      <c r="C11" s="11">
        <f>COUNTIF(Table1[[#Headers],[#Data],[Divisi]],Helper!B11)</f>
        <v>189</v>
      </c>
      <c r="D11" t="str">
        <f t="shared" ca="1" si="0"/>
        <v>=COUNTIF(Table1[[#Headers];[#Data];[Divisi]];Helper!B11)</v>
      </c>
    </row>
    <row r="12" spans="1:10" x14ac:dyDescent="0.25">
      <c r="C12">
        <f>SUM(C9:C11)</f>
        <v>970</v>
      </c>
      <c r="D12" t="str">
        <f ca="1">_xlfn.FORMULATEXT(C12)</f>
        <v>=SUM(C9:C11)</v>
      </c>
    </row>
    <row r="13" spans="1:10" x14ac:dyDescent="0.25">
      <c r="C13">
        <f>SUM(Table1[[#Data],[#Totals],[Divisi]])</f>
        <v>993</v>
      </c>
      <c r="D13" t="s">
        <v>1030</v>
      </c>
    </row>
    <row r="14" spans="1:10" ht="15.75" x14ac:dyDescent="0.25">
      <c r="C14">
        <f>C13-C12</f>
        <v>23</v>
      </c>
      <c r="D14" s="36" t="s">
        <v>1031</v>
      </c>
      <c r="E14" s="37"/>
      <c r="F14" s="37"/>
      <c r="G14" s="37"/>
      <c r="H14" s="37"/>
      <c r="I14" s="37"/>
      <c r="J14" s="37"/>
    </row>
    <row r="16" spans="1:10" x14ac:dyDescent="0.25">
      <c r="A16">
        <v>3</v>
      </c>
      <c r="B16" s="34" t="s">
        <v>1032</v>
      </c>
    </row>
    <row r="17" spans="1:4" x14ac:dyDescent="0.25">
      <c r="B17" s="9">
        <f>SUM(Original!D2:D994)</f>
        <v>23344.780555555582</v>
      </c>
    </row>
    <row r="18" spans="1:4" ht="15.75" x14ac:dyDescent="0.25">
      <c r="A18">
        <v>4</v>
      </c>
      <c r="B18" s="8" t="s">
        <v>1033</v>
      </c>
    </row>
    <row r="19" spans="1:4" x14ac:dyDescent="0.25">
      <c r="B19">
        <f>COUNTIF(Table1[[#Headers],[#Data],[Tahun lahir]],"&gt;2000")</f>
        <v>312</v>
      </c>
      <c r="C19" t="str">
        <f ca="1">_xlfn.FORMULATEXT(B19)</f>
        <v>=COUNTIF(Table1[[#Headers];[#Data];[Tahun lahir]];"&gt;2000")</v>
      </c>
    </row>
    <row r="21" spans="1:4" ht="15.75" x14ac:dyDescent="0.25">
      <c r="A21" s="8">
        <v>5</v>
      </c>
      <c r="B21" s="8" t="s">
        <v>1034</v>
      </c>
    </row>
    <row r="23" spans="1:4" x14ac:dyDescent="0.25">
      <c r="B23" t="s">
        <v>1035</v>
      </c>
      <c r="C23" t="s">
        <v>1036</v>
      </c>
    </row>
    <row r="24" spans="1:4" x14ac:dyDescent="0.25">
      <c r="B24" s="41">
        <v>23</v>
      </c>
      <c r="C24">
        <f>SUM(Original!I1:I925)</f>
        <v>3230</v>
      </c>
      <c r="D24" s="11"/>
    </row>
    <row r="25" spans="1:4" x14ac:dyDescent="0.25">
      <c r="B25" s="42">
        <v>24</v>
      </c>
      <c r="C25" s="37">
        <f>SUM(Original!I1:I992)</f>
        <v>3485</v>
      </c>
      <c r="D25" s="11"/>
    </row>
    <row r="26" spans="1:4" x14ac:dyDescent="0.25">
      <c r="B26" s="41">
        <v>25</v>
      </c>
      <c r="C26">
        <f>SUM(Original!I1:I986)</f>
        <v>3461</v>
      </c>
      <c r="D26" s="11"/>
    </row>
    <row r="27" spans="1:4" x14ac:dyDescent="0.25">
      <c r="B27" s="41">
        <v>26</v>
      </c>
      <c r="C27">
        <f>SUM(Original!I1:I981)</f>
        <v>3444</v>
      </c>
      <c r="D27" s="11"/>
    </row>
    <row r="29" spans="1:4" ht="15.75" x14ac:dyDescent="0.25">
      <c r="A29" s="8">
        <v>6</v>
      </c>
      <c r="B29" s="8" t="s">
        <v>1038</v>
      </c>
    </row>
    <row r="30" spans="1:4" x14ac:dyDescent="0.25">
      <c r="B30" s="43">
        <f>COUNTIF(Table1[[#Headers],[#Data],[ nama &gt; 2 kata]],"&gt;2")</f>
        <v>141</v>
      </c>
      <c r="C30" t="str">
        <f ca="1">_xlfn.FORMULATEXT(B30)</f>
        <v>=COUNTIF(Table1[[#Headers];[#Data];[ nama &gt; 2 kata]];"&gt;2")</v>
      </c>
    </row>
    <row r="32" spans="1:4" ht="15.75" x14ac:dyDescent="0.25">
      <c r="A32">
        <v>7</v>
      </c>
      <c r="B32" s="8" t="s">
        <v>1039</v>
      </c>
    </row>
    <row r="34" spans="2:4" x14ac:dyDescent="0.25">
      <c r="B34" t="s">
        <v>1040</v>
      </c>
      <c r="C34" t="s">
        <v>1042</v>
      </c>
      <c r="D34" t="s">
        <v>1043</v>
      </c>
    </row>
    <row r="35" spans="2:4" x14ac:dyDescent="0.25">
      <c r="B35" t="s">
        <v>1041</v>
      </c>
      <c r="C35">
        <v>2019</v>
      </c>
      <c r="D35" s="11">
        <f>SUMIFS(Table1[[#Headers],[#Data],[Gaji Pokok]],Table1[[#Headers],[#Data],[Divisi]],Helper!B35,Table1[[#Headers],[#Data],[Tahun  Mulai Kerja ]],Helper!C35)</f>
        <v>108000000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Nurfadhilah Ginting</dc:creator>
  <cp:lastModifiedBy>hp</cp:lastModifiedBy>
  <dcterms:created xsi:type="dcterms:W3CDTF">2022-09-28T11:13:43Z</dcterms:created>
  <dcterms:modified xsi:type="dcterms:W3CDTF">2024-10-31T14:13:28Z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28d462-42cc-4ffe-841e-377ea32349cf_Enabled">
    <vt:lpwstr>true</vt:lpwstr>
  </property>
  <property fmtid="{D5CDD505-2E9C-101B-9397-08002B2CF9AE}" pid="3" name="MSIP_Label_0328d462-42cc-4ffe-841e-377ea32349cf_SetDate">
    <vt:lpwstr>2022-09-28T12:03:55Z</vt:lpwstr>
  </property>
  <property fmtid="{D5CDD505-2E9C-101B-9397-08002B2CF9AE}" pid="4" name="MSIP_Label_0328d462-42cc-4ffe-841e-377ea32349cf_Method">
    <vt:lpwstr>Privileged</vt:lpwstr>
  </property>
  <property fmtid="{D5CDD505-2E9C-101B-9397-08002B2CF9AE}" pid="5" name="MSIP_Label_0328d462-42cc-4ffe-841e-377ea32349cf_Name">
    <vt:lpwstr>PUBLIC</vt:lpwstr>
  </property>
  <property fmtid="{D5CDD505-2E9C-101B-9397-08002B2CF9AE}" pid="6" name="MSIP_Label_0328d462-42cc-4ffe-841e-377ea32349cf_SiteId">
    <vt:lpwstr>5a0b86e1-3af7-4d16-a63e-afe55beab795</vt:lpwstr>
  </property>
  <property fmtid="{D5CDD505-2E9C-101B-9397-08002B2CF9AE}" pid="7" name="MSIP_Label_0328d462-42cc-4ffe-841e-377ea32349cf_ActionId">
    <vt:lpwstr>04218ca3-04ae-4ecf-b5d5-18a25fcf4f01</vt:lpwstr>
  </property>
  <property fmtid="{D5CDD505-2E9C-101B-9397-08002B2CF9AE}" pid="8" name="MSIP_Label_0328d462-42cc-4ffe-841e-377ea32349cf_ContentBits">
    <vt:lpwstr>0</vt:lpwstr>
  </property>
</Properties>
</file>