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VERNANDA\SKILL\1_Excell\1_Excel_Data_Analyst\7.Data Cleaning\"/>
    </mc:Choice>
  </mc:AlternateContent>
  <xr:revisionPtr revIDLastSave="0" documentId="13_ncr:1_{B57EA185-54E5-443C-AB85-97DEB6220BE2}" xr6:coauthVersionLast="47" xr6:coauthVersionMax="47" xr10:uidLastSave="{00000000-0000-0000-0000-000000000000}"/>
  <bookViews>
    <workbookView xWindow="-120" yWindow="-120" windowWidth="20730" windowHeight="11040" firstSheet="2" activeTab="5" xr2:uid="{00000000-000D-0000-FFFF-FFFF00000000}"/>
  </bookViews>
  <sheets>
    <sheet name="Autofit &amp; Clear format" sheetId="1" r:id="rId1"/>
    <sheet name="Upper lower Case" sheetId="2" r:id="rId2"/>
    <sheet name="Blank dan Duplikat" sheetId="6" r:id="rId3"/>
    <sheet name="Flash Fill" sheetId="7" r:id="rId4"/>
    <sheet name="SOP" sheetId="4" r:id="rId5"/>
    <sheet name="Data Cleaning (3)" sheetId="10" r:id="rId6"/>
    <sheet name="Data Cleaning (2)" sheetId="8" r:id="rId7"/>
  </sheets>
  <externalReferences>
    <externalReference r:id="rId8"/>
  </externalReferences>
  <definedNames>
    <definedName name="SalesRep">[1]Topics!$M$2:$M$4</definedName>
    <definedName name="TransaksiJanuari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0" l="1"/>
  <c r="F19" i="10"/>
  <c r="F20" i="10"/>
  <c r="F21" i="10"/>
  <c r="F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22" i="10"/>
  <c r="F23" i="10"/>
  <c r="F24" i="10"/>
  <c r="F25" i="10"/>
  <c r="F26" i="10"/>
  <c r="F17" i="10"/>
  <c r="A2" i="10" a="1"/>
  <c r="A2" i="10" s="1"/>
  <c r="A2" i="8" a="1"/>
  <c r="A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" i="8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4" i="4"/>
  <c r="F4" i="4" a="1"/>
  <c r="F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4" i="4"/>
  <c r="C5" i="2"/>
  <c r="D5" i="2"/>
  <c r="E5" i="2"/>
  <c r="C6" i="2"/>
  <c r="D6" i="2"/>
  <c r="E6" i="2"/>
  <c r="C7" i="2"/>
  <c r="D7" i="2"/>
  <c r="E7" i="2"/>
  <c r="C8" i="2"/>
  <c r="D8" i="2"/>
  <c r="E8" i="2"/>
  <c r="C9" i="2"/>
  <c r="D9" i="2"/>
  <c r="E9" i="2"/>
  <c r="C10" i="2"/>
  <c r="D10" i="2"/>
  <c r="E10" i="2"/>
  <c r="C11" i="2"/>
  <c r="D11" i="2"/>
  <c r="E11" i="2"/>
  <c r="C12" i="2"/>
  <c r="D12" i="2"/>
  <c r="E12" i="2"/>
  <c r="C13" i="2"/>
  <c r="D13" i="2"/>
  <c r="E13" i="2"/>
  <c r="C14" i="2"/>
  <c r="D14" i="2"/>
  <c r="E14" i="2"/>
  <c r="C15" i="2"/>
  <c r="D15" i="2"/>
  <c r="E15" i="2"/>
  <c r="C16" i="2"/>
  <c r="D16" i="2"/>
  <c r="E16" i="2"/>
  <c r="C17" i="2"/>
  <c r="D17" i="2"/>
  <c r="E17" i="2"/>
  <c r="C18" i="2"/>
  <c r="D18" i="2"/>
  <c r="E18" i="2"/>
  <c r="C19" i="2"/>
  <c r="D19" i="2"/>
  <c r="E19" i="2"/>
  <c r="C20" i="2"/>
  <c r="D20" i="2"/>
  <c r="E20" i="2"/>
  <c r="C21" i="2"/>
  <c r="D21" i="2"/>
  <c r="E21" i="2"/>
  <c r="C22" i="2"/>
  <c r="D22" i="2"/>
  <c r="E22" i="2"/>
  <c r="C23" i="2"/>
  <c r="D23" i="2"/>
  <c r="E23" i="2"/>
  <c r="C24" i="2"/>
  <c r="D24" i="2"/>
  <c r="E24" i="2"/>
  <c r="C25" i="2"/>
  <c r="D25" i="2"/>
  <c r="E25" i="2"/>
  <c r="C26" i="2"/>
  <c r="D26" i="2"/>
  <c r="E26" i="2"/>
  <c r="E4" i="2"/>
  <c r="D4" i="2"/>
  <c r="C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<sst xmlns="http://schemas.openxmlformats.org/spreadsheetml/2006/main" count="408" uniqueCount="169">
  <si>
    <t>Autofit dan Clear Format</t>
  </si>
  <si>
    <t>Tanggal</t>
  </si>
  <si>
    <t>Nama Liburan</t>
  </si>
  <si>
    <t xml:space="preserve">Tipe </t>
  </si>
  <si>
    <t>Tahun Baru 2017 Masehi</t>
  </si>
  <si>
    <t>Liburan Nasional</t>
  </si>
  <si>
    <t>Cuti bersama Tahun Baru 2017 Masehi</t>
  </si>
  <si>
    <t>Cuti Bersama</t>
  </si>
  <si>
    <t>Tahun Baru Imlek 2568 Kongzili</t>
  </si>
  <si>
    <t>Hari Raya Nyepi Tahun Baru Saka 1939</t>
  </si>
  <si>
    <t>May Day / Hari Buruh Internasional</t>
  </si>
  <si>
    <t>Hari Raya Waisak 2561</t>
  </si>
  <si>
    <t>Kenaikan Yesus Kristus</t>
  </si>
  <si>
    <t>Hari Lahir Pancasila</t>
  </si>
  <si>
    <t>Hari Raya Idul Fitri 1438 Hijriah</t>
  </si>
  <si>
    <t>Cuti bersama Idul Fitri 1438 Hijriyah</t>
  </si>
  <si>
    <t>Hari Kemerdekaan RI</t>
  </si>
  <si>
    <t>Hari Raya Idul Adha 1438 Hijriah</t>
  </si>
  <si>
    <t>Tahun Baru Islam 1439 Hijriah</t>
  </si>
  <si>
    <t>Maulid Nabi Muhammad SAW</t>
  </si>
  <si>
    <t>Hari Raya Natal</t>
  </si>
  <si>
    <t>Cuti bersama Natal</t>
  </si>
  <si>
    <t>Wafat Yesus Kristus</t>
  </si>
  <si>
    <t>Isra Mi’raj Nabi Muhammad SAW</t>
  </si>
  <si>
    <t>Upper Case, Lower Case, dan Proper</t>
  </si>
  <si>
    <t>Hari Libur</t>
  </si>
  <si>
    <t>LOWER CASE</t>
  </si>
  <si>
    <t>UPPER CASE</t>
  </si>
  <si>
    <t>PROPER</t>
  </si>
  <si>
    <t>nama Anda</t>
  </si>
  <si>
    <t>Penulisan Standard</t>
  </si>
  <si>
    <t>No.</t>
  </si>
  <si>
    <t>Kode Produk Final</t>
  </si>
  <si>
    <t>Nama Produk</t>
  </si>
  <si>
    <t>Harga Awal</t>
  </si>
  <si>
    <t>SOP Kode Produk</t>
  </si>
  <si>
    <t>TRIM Nama Produk</t>
  </si>
  <si>
    <t>SOP Harga Awal</t>
  </si>
  <si>
    <t>BWH-0008</t>
  </si>
  <si>
    <t>Legging</t>
  </si>
  <si>
    <t>GUN-0012</t>
  </si>
  <si>
    <t xml:space="preserve">     JUMPSUIT</t>
  </si>
  <si>
    <t>GUN-0013</t>
  </si>
  <si>
    <t>MAXI Dress</t>
  </si>
  <si>
    <t>BWH-0006</t>
  </si>
  <si>
    <t>cELANA jeans</t>
  </si>
  <si>
    <t>BWH-0010</t>
  </si>
  <si>
    <t>Hot   PANTS</t>
  </si>
  <si>
    <t>Maxi DRESS</t>
  </si>
  <si>
    <t>AKS-0016</t>
  </si>
  <si>
    <t>KAOS Kaki</t>
  </si>
  <si>
    <t>OLR-0024</t>
  </si>
  <si>
    <t>KAOS olahraga</t>
  </si>
  <si>
    <t>OLR-0025</t>
  </si>
  <si>
    <t>CELAna       Training</t>
  </si>
  <si>
    <t>ATS-0001</t>
  </si>
  <si>
    <t>T-shirt</t>
  </si>
  <si>
    <t>AKS-0019</t>
  </si>
  <si>
    <t xml:space="preserve">      ikat  pinggang</t>
  </si>
  <si>
    <t>AKS-0018</t>
  </si>
  <si>
    <t>Topi</t>
  </si>
  <si>
    <t>ATS-0003</t>
  </si>
  <si>
    <t xml:space="preserve">       KEMeja</t>
  </si>
  <si>
    <t>TOPI</t>
  </si>
  <si>
    <t>AKS-0020</t>
  </si>
  <si>
    <t>kacaMata</t>
  </si>
  <si>
    <t>OLR-0021</t>
  </si>
  <si>
    <t>LEGGING    OLAHRAGA</t>
  </si>
  <si>
    <t>AKS-00172</t>
  </si>
  <si>
    <t>SYAL</t>
  </si>
  <si>
    <t>KeMEJA</t>
  </si>
  <si>
    <t>AKS-0017</t>
  </si>
  <si>
    <t xml:space="preserve">       syal</t>
  </si>
  <si>
    <t>BWH-0009</t>
  </si>
  <si>
    <t>CELANA       panjang</t>
  </si>
  <si>
    <t>OLR-0023</t>
  </si>
  <si>
    <t>Celana Pendek</t>
  </si>
  <si>
    <t>CELANA JEANS</t>
  </si>
  <si>
    <t>CELAna TRAINING</t>
  </si>
  <si>
    <t>ATS-0005</t>
  </si>
  <si>
    <t>JAKET</t>
  </si>
  <si>
    <t xml:space="preserve">   legging      OLAHRAGA</t>
  </si>
  <si>
    <t>OLR-0022</t>
  </si>
  <si>
    <t>Jersey</t>
  </si>
  <si>
    <t>ATS-0002</t>
  </si>
  <si>
    <t xml:space="preserve">      Blus</t>
  </si>
  <si>
    <t>ATS-0004</t>
  </si>
  <si>
    <t>SWEATER</t>
  </si>
  <si>
    <t>GUN-0015</t>
  </si>
  <si>
    <t>OVERALL</t>
  </si>
  <si>
    <t>GUN-0014</t>
  </si>
  <si>
    <t>Kaftan</t>
  </si>
  <si>
    <t>Jaket</t>
  </si>
  <si>
    <t>BWH-0007</t>
  </si>
  <si>
    <t>Rok</t>
  </si>
  <si>
    <t>GUN-0011</t>
  </si>
  <si>
    <t>Dress</t>
  </si>
  <si>
    <t>ATS-00015</t>
  </si>
  <si>
    <t>Kategori</t>
  </si>
  <si>
    <t>Bawahan</t>
  </si>
  <si>
    <t>Aksesoris</t>
  </si>
  <si>
    <t>Atasan</t>
  </si>
  <si>
    <t>Pakaian Olahraga</t>
  </si>
  <si>
    <t>Gaun</t>
  </si>
  <si>
    <t>Alt + HOI</t>
  </si>
  <si>
    <t>Merapikan Kolom</t>
  </si>
  <si>
    <t>Alt + HOA</t>
  </si>
  <si>
    <t>Merapikan baris</t>
  </si>
  <si>
    <t>Cleaning Data</t>
  </si>
  <si>
    <t>Menghilangkan bolt</t>
  </si>
  <si>
    <t>Ctrl+B</t>
  </si>
  <si>
    <t>Menghilangkan tulisan italic</t>
  </si>
  <si>
    <t>Ctrl+i</t>
  </si>
  <si>
    <t>Menghilangkan underline</t>
  </si>
  <si>
    <t>Ctrl+U</t>
  </si>
  <si>
    <t>Pilih menu Find &amp; Slect -&gt; Go to Special -&gt; pilih Blanks - &gt; Delete Rows</t>
  </si>
  <si>
    <t>Caranya mencari Blank</t>
  </si>
  <si>
    <t>Cara mencari duplicate</t>
  </si>
  <si>
    <t xml:space="preserve">1. Conditional Formatting -&gt; highlight cell rule -&gt; Duplicate values </t>
  </si>
  <si>
    <t>Kurang Efektif</t>
  </si>
  <si>
    <t>2. Remove duplicate</t>
  </si>
  <si>
    <t>pilih seuruh data -&gt; ke menu date -&gt; remove duplicate</t>
  </si>
  <si>
    <t>Kota dan Provinsi</t>
  </si>
  <si>
    <t>Kota</t>
  </si>
  <si>
    <t>Provinsi</t>
  </si>
  <si>
    <t>Medan/Sumatera Utara</t>
  </si>
  <si>
    <t>Surabaya/Jawa Timur</t>
  </si>
  <si>
    <t>Makassar/Sulawesi Selatan</t>
  </si>
  <si>
    <t>Jakarta Selatan/DKI Jakarta</t>
  </si>
  <si>
    <t>Jakarta Barat/DKI Jakarta</t>
  </si>
  <si>
    <t>Medan</t>
  </si>
  <si>
    <t>Surabaya</t>
  </si>
  <si>
    <t>Makassar</t>
  </si>
  <si>
    <t>Flass Fill</t>
  </si>
  <si>
    <t>Text To Colum</t>
  </si>
  <si>
    <t>Sumatera Utara</t>
  </si>
  <si>
    <t>Jakarta Selatan</t>
  </si>
  <si>
    <t>Jakarta Barat</t>
  </si>
  <si>
    <t>Jawa Timur</t>
  </si>
  <si>
    <t>Sulawesi Selatan</t>
  </si>
  <si>
    <t>DKI Jakarta</t>
  </si>
  <si>
    <t>Langkah merapikan</t>
  </si>
  <si>
    <t>1. Merapikan lebar baris dan kolom</t>
  </si>
  <si>
    <t>alt + HOI  dan ALT + HOA</t>
  </si>
  <si>
    <t>2. Hapus blanks kolom</t>
  </si>
  <si>
    <t>Go to special</t>
  </si>
  <si>
    <t>3. Hapus fill, bold, dan garis bawah pada data</t>
  </si>
  <si>
    <t xml:space="preserve">4. Hapus spasi dan merapikan data dengan </t>
  </si>
  <si>
    <t>Trim dan Proper</t>
  </si>
  <si>
    <t>Jumpsuit</t>
  </si>
  <si>
    <t>Kacamata</t>
  </si>
  <si>
    <t>Maxi Dress</t>
  </si>
  <si>
    <t>Celana Jeans</t>
  </si>
  <si>
    <t>Hot Pants</t>
  </si>
  <si>
    <t>Kaos Kaki</t>
  </si>
  <si>
    <t>Kaos Olahraga</t>
  </si>
  <si>
    <t>Celana Training</t>
  </si>
  <si>
    <t>T-Shirt</t>
  </si>
  <si>
    <t>Ikat Pinggang</t>
  </si>
  <si>
    <t>Kemeja</t>
  </si>
  <si>
    <t>Overall</t>
  </si>
  <si>
    <t>Legging Olahraga</t>
  </si>
  <si>
    <t>Syal</t>
  </si>
  <si>
    <t>Celana Panjang</t>
  </si>
  <si>
    <t>Blus</t>
  </si>
  <si>
    <t>Sweater</t>
  </si>
  <si>
    <t>5. hapus duplicate</t>
  </si>
  <si>
    <t>Sop</t>
  </si>
  <si>
    <t>Helper urutan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</si>
</sst>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yyyy\-mm\-dd;@"/>
    <numFmt numFmtId="165" formatCode="dd/mm/yy"/>
    <numFmt numFmtId="166" formatCode="_(* #,##0_);_(* \(#,##0\);_(* &quot;-&quot;??_);_(@_)"/>
    <numFmt numFmtId="167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1D6F42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theme="4" tint="0.39997558519241921"/>
      </right>
      <top style="thick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/>
    <xf numFmtId="0" fontId="2" fillId="0" borderId="1" xfId="0" applyFont="1" applyBorder="1"/>
    <xf numFmtId="164" fontId="0" fillId="0" borderId="0" xfId="0" applyNumberFormat="1"/>
    <xf numFmtId="165" fontId="4" fillId="0" borderId="0" xfId="0" applyNumberFormat="1" applyFont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0" borderId="2" xfId="0" applyBorder="1"/>
    <xf numFmtId="0" fontId="0" fillId="4" borderId="2" xfId="0" applyFill="1" applyBorder="1"/>
    <xf numFmtId="0" fontId="0" fillId="4" borderId="8" xfId="0" applyFill="1" applyBorder="1"/>
    <xf numFmtId="0" fontId="0" fillId="0" borderId="9" xfId="0" applyBorder="1"/>
    <xf numFmtId="0" fontId="2" fillId="0" borderId="0" xfId="0" applyFont="1"/>
    <xf numFmtId="0" fontId="6" fillId="0" borderId="1" xfId="0" applyFont="1" applyBorder="1"/>
    <xf numFmtId="0" fontId="6" fillId="0" borderId="0" xfId="0" applyFont="1"/>
    <xf numFmtId="15" fontId="6" fillId="0" borderId="0" xfId="0" applyNumberFormat="1" applyFont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167" fontId="0" fillId="0" borderId="0" xfId="1" applyNumberFormat="1" applyFont="1"/>
    <xf numFmtId="0" fontId="0" fillId="0" borderId="9" xfId="0" quotePrefix="1" applyBorder="1"/>
    <xf numFmtId="166" fontId="0" fillId="0" borderId="9" xfId="0" applyNumberFormat="1" applyBorder="1"/>
    <xf numFmtId="0" fontId="0" fillId="2" borderId="0" xfId="0" applyFill="1"/>
    <xf numFmtId="0" fontId="0" fillId="5" borderId="9" xfId="0" applyFill="1" applyBorder="1"/>
    <xf numFmtId="0" fontId="0" fillId="0" borderId="10" xfId="0" applyBorder="1"/>
    <xf numFmtId="0" fontId="2" fillId="0" borderId="9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EF98A0C6-3D4F-42F8-9560-0024C06D430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152400</xdr:colOff>
      <xdr:row>3</xdr:row>
      <xdr:rowOff>99061</xdr:rowOff>
    </xdr:from>
    <xdr:to>
      <xdr:col>18</xdr:col>
      <xdr:colOff>350520</xdr:colOff>
      <xdr:row>9</xdr:row>
      <xdr:rowOff>97972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D46AAFF-4202-4EFF-9E7A-8433F3496944}"/>
            </a:ext>
          </a:extLst>
        </xdr:cNvPr>
        <xdr:cNvSpPr txBox="1"/>
      </xdr:nvSpPr>
      <xdr:spPr>
        <a:xfrm>
          <a:off x="9113520" y="815341"/>
          <a:ext cx="5562600" cy="10580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ID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Ketentuan :</a:t>
          </a:r>
          <a:endParaRPr lang="en-ID">
            <a:effectLst/>
          </a:endParaRPr>
        </a:p>
        <a:p>
          <a:pPr rtl="0" fontAlgn="base"/>
          <a:r>
            <a:rPr lang="en-ID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ID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SOP Harga Awal </a:t>
          </a:r>
          <a:r>
            <a:rPr lang="en-ID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Tidak ada harga barang yang lebih dari 1 juta dan kurang dari 20rb</a:t>
          </a:r>
        </a:p>
        <a:p>
          <a:pPr rtl="0" fontAlgn="base"/>
          <a:r>
            <a:rPr lang="en-ID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ID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SOP Kode Produk </a:t>
          </a:r>
          <a:r>
            <a:rPr lang="en-ID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ID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Kode digit terdiri dari 8 karakter (jika</a:t>
          </a:r>
          <a:r>
            <a:rPr lang="en-ID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lebih maka INVALID)</a:t>
          </a:r>
          <a:endParaRPr lang="en-ID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fontAlgn="base"/>
          <a:r>
            <a:rPr lang="en-ID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ID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TRIM</a:t>
          </a:r>
          <a:r>
            <a:rPr lang="en-ID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D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Nama Produk </a:t>
          </a:r>
          <a:r>
            <a:rPr lang="en-ID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ID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Penulisan haruf kapital harus sesuai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ith\Desktop\Boss%20Excel\aKelas%20Online%20by%20Boss%20Excel\Kelas%20Excel%20Zoom%20CF%20and%20CNF%20(17%20Feb%202022)\File%20Latihan\Busn218-Video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ics"/>
      <sheetName val="Cell Contains"/>
      <sheetName val="Cell Contains (an)"/>
      <sheetName val="BelowAve"/>
      <sheetName val="BelowAve (an)"/>
      <sheetName val="Top3"/>
      <sheetName val="Top3 (an)"/>
      <sheetName val="Data Bars"/>
      <sheetName val="Data Bars (an)"/>
      <sheetName val="Color Scales"/>
      <sheetName val="Color Scales (an)"/>
      <sheetName val="Icons"/>
      <sheetName val="Icons (an)"/>
      <sheetName val="Whole Column"/>
      <sheetName val="Whole Column (an)"/>
      <sheetName val="AND OR"/>
      <sheetName val="AND OR (an)"/>
      <sheetName val="Weekend"/>
      <sheetName val="Weekend (an)"/>
      <sheetName val="NOT in List"/>
      <sheetName val="NOT in List (an)"/>
      <sheetName val="Homework ==&gt;&gt;"/>
      <sheetName val="HW(1-3)"/>
      <sheetName val="HW(1-3) (an)"/>
      <sheetName val="HW(4-5)"/>
      <sheetName val="HW(4-5) (an)"/>
      <sheetName val="HW(6)"/>
      <sheetName val="HW(6an)"/>
      <sheetName val="HW(7)"/>
      <sheetName val="HW(7an)"/>
      <sheetName val="HW(8)"/>
      <sheetName val="HW(8an)"/>
      <sheetName val="HW(9)"/>
      <sheetName val="HW(9an)"/>
      <sheetName val="HW(10)"/>
      <sheetName val="HW(10an)"/>
      <sheetName val="HW(11)"/>
      <sheetName val="HW(11an)"/>
      <sheetName val="HW(12)"/>
      <sheetName val="HW(12an)"/>
      <sheetName val="HW(13)"/>
      <sheetName val="HW(13an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499984740745262"/>
  </sheetPr>
  <dimension ref="B1:I25"/>
  <sheetViews>
    <sheetView showGridLines="0" topLeftCell="A3" zoomScale="115" zoomScaleNormal="115" workbookViewId="0">
      <selection activeCell="C4" sqref="C4"/>
    </sheetView>
  </sheetViews>
  <sheetFormatPr defaultRowHeight="15" x14ac:dyDescent="0.25"/>
  <cols>
    <col min="2" max="2" width="1.28515625" customWidth="1"/>
    <col min="3" max="3" width="12" bestFit="1" customWidth="1"/>
    <col min="4" max="4" width="35.7109375" bestFit="1" customWidth="1"/>
    <col min="5" max="5" width="16.85546875" bestFit="1" customWidth="1"/>
    <col min="6" max="6" width="2.140625" customWidth="1"/>
  </cols>
  <sheetData>
    <row r="1" spans="2:9" ht="28.5" x14ac:dyDescent="0.45">
      <c r="B1" s="1" t="s">
        <v>0</v>
      </c>
    </row>
    <row r="3" spans="2:9" ht="15.75" thickBot="1" x14ac:dyDescent="0.3">
      <c r="C3" s="16" t="s">
        <v>1</v>
      </c>
      <c r="D3" s="16" t="s">
        <v>2</v>
      </c>
      <c r="E3" s="16" t="s">
        <v>3</v>
      </c>
      <c r="H3" s="15" t="s">
        <v>108</v>
      </c>
    </row>
    <row r="4" spans="2:9" ht="15.75" thickTop="1" x14ac:dyDescent="0.25">
      <c r="C4" s="18">
        <v>42736</v>
      </c>
      <c r="D4" s="17" t="s">
        <v>4</v>
      </c>
      <c r="E4" s="17" t="s">
        <v>5</v>
      </c>
      <c r="F4" s="4"/>
      <c r="G4">
        <v>1</v>
      </c>
      <c r="H4" t="s">
        <v>104</v>
      </c>
      <c r="I4" t="s">
        <v>105</v>
      </c>
    </row>
    <row r="5" spans="2:9" x14ac:dyDescent="0.25">
      <c r="C5" s="18">
        <v>42737</v>
      </c>
      <c r="D5" s="17" t="s">
        <v>6</v>
      </c>
      <c r="E5" s="17" t="s">
        <v>7</v>
      </c>
      <c r="F5" s="4"/>
      <c r="H5" t="s">
        <v>106</v>
      </c>
      <c r="I5" t="s">
        <v>107</v>
      </c>
    </row>
    <row r="6" spans="2:9" x14ac:dyDescent="0.25">
      <c r="C6" s="18">
        <v>42763</v>
      </c>
      <c r="D6" s="17" t="s">
        <v>8</v>
      </c>
      <c r="E6" s="17" t="s">
        <v>5</v>
      </c>
      <c r="F6" s="4"/>
    </row>
    <row r="7" spans="2:9" x14ac:dyDescent="0.25">
      <c r="C7" s="18">
        <v>42822</v>
      </c>
      <c r="D7" s="17" t="s">
        <v>9</v>
      </c>
      <c r="E7" s="17" t="s">
        <v>5</v>
      </c>
      <c r="F7" s="4"/>
      <c r="G7">
        <v>2</v>
      </c>
      <c r="H7" t="s">
        <v>109</v>
      </c>
    </row>
    <row r="8" spans="2:9" x14ac:dyDescent="0.25">
      <c r="C8" s="18">
        <v>42856</v>
      </c>
      <c r="D8" s="17" t="s">
        <v>10</v>
      </c>
      <c r="E8" s="17" t="s">
        <v>5</v>
      </c>
      <c r="H8" t="s">
        <v>110</v>
      </c>
    </row>
    <row r="9" spans="2:9" x14ac:dyDescent="0.25">
      <c r="C9" s="18">
        <v>42866</v>
      </c>
      <c r="D9" s="17" t="s">
        <v>11</v>
      </c>
      <c r="E9" s="17" t="s">
        <v>5</v>
      </c>
    </row>
    <row r="10" spans="2:9" x14ac:dyDescent="0.25">
      <c r="C10" s="18">
        <v>42880</v>
      </c>
      <c r="D10" s="17" t="s">
        <v>12</v>
      </c>
      <c r="E10" s="17" t="s">
        <v>5</v>
      </c>
      <c r="G10">
        <v>3</v>
      </c>
      <c r="H10" t="s">
        <v>111</v>
      </c>
    </row>
    <row r="11" spans="2:9" x14ac:dyDescent="0.25">
      <c r="C11" s="18">
        <v>42887</v>
      </c>
      <c r="D11" s="17" t="s">
        <v>13</v>
      </c>
      <c r="E11" s="17" t="s">
        <v>5</v>
      </c>
      <c r="H11" t="s">
        <v>112</v>
      </c>
    </row>
    <row r="12" spans="2:9" x14ac:dyDescent="0.25">
      <c r="C12" s="18">
        <v>42911</v>
      </c>
      <c r="D12" s="17" t="s">
        <v>14</v>
      </c>
      <c r="E12" s="17" t="s">
        <v>5</v>
      </c>
    </row>
    <row r="13" spans="2:9" x14ac:dyDescent="0.25">
      <c r="C13" s="18">
        <v>42912</v>
      </c>
      <c r="D13" s="17" t="s">
        <v>14</v>
      </c>
      <c r="E13" s="17" t="s">
        <v>5</v>
      </c>
      <c r="G13">
        <v>4</v>
      </c>
      <c r="H13" t="s">
        <v>113</v>
      </c>
    </row>
    <row r="14" spans="2:9" x14ac:dyDescent="0.25">
      <c r="C14" s="18">
        <v>42913</v>
      </c>
      <c r="D14" s="17" t="s">
        <v>15</v>
      </c>
      <c r="E14" s="17" t="s">
        <v>7</v>
      </c>
      <c r="H14" t="s">
        <v>114</v>
      </c>
    </row>
    <row r="15" spans="2:9" x14ac:dyDescent="0.25">
      <c r="C15" s="18">
        <v>42914</v>
      </c>
      <c r="D15" s="17" t="s">
        <v>15</v>
      </c>
      <c r="E15" s="17" t="s">
        <v>7</v>
      </c>
    </row>
    <row r="16" spans="2:9" x14ac:dyDescent="0.25">
      <c r="C16" s="18">
        <v>42915</v>
      </c>
      <c r="D16" s="17" t="s">
        <v>15</v>
      </c>
      <c r="E16" s="17" t="s">
        <v>7</v>
      </c>
    </row>
    <row r="17" spans="3:5" x14ac:dyDescent="0.25">
      <c r="C17" s="18">
        <v>42916</v>
      </c>
      <c r="D17" s="17" t="s">
        <v>15</v>
      </c>
      <c r="E17" s="17" t="s">
        <v>7</v>
      </c>
    </row>
    <row r="18" spans="3:5" x14ac:dyDescent="0.25">
      <c r="C18" s="18">
        <v>42964</v>
      </c>
      <c r="D18" s="17" t="s">
        <v>16</v>
      </c>
      <c r="E18" s="17" t="s">
        <v>5</v>
      </c>
    </row>
    <row r="19" spans="3:5" x14ac:dyDescent="0.25">
      <c r="C19" s="18">
        <v>42979</v>
      </c>
      <c r="D19" s="17" t="s">
        <v>17</v>
      </c>
      <c r="E19" s="17" t="s">
        <v>5</v>
      </c>
    </row>
    <row r="20" spans="3:5" x14ac:dyDescent="0.25">
      <c r="C20" s="18">
        <v>42999</v>
      </c>
      <c r="D20" s="17" t="s">
        <v>18</v>
      </c>
      <c r="E20" s="17" t="s">
        <v>5</v>
      </c>
    </row>
    <row r="21" spans="3:5" x14ac:dyDescent="0.25">
      <c r="C21" s="18">
        <v>43070</v>
      </c>
      <c r="D21" s="17" t="s">
        <v>19</v>
      </c>
      <c r="E21" s="17" t="s">
        <v>5</v>
      </c>
    </row>
    <row r="22" spans="3:5" x14ac:dyDescent="0.25">
      <c r="C22" s="18">
        <v>43094</v>
      </c>
      <c r="D22" s="17" t="s">
        <v>20</v>
      </c>
      <c r="E22" s="17" t="s">
        <v>5</v>
      </c>
    </row>
    <row r="23" spans="3:5" x14ac:dyDescent="0.25">
      <c r="C23" s="18">
        <v>43095</v>
      </c>
      <c r="D23" s="17" t="s">
        <v>21</v>
      </c>
      <c r="E23" s="17" t="s">
        <v>7</v>
      </c>
    </row>
    <row r="24" spans="3:5" x14ac:dyDescent="0.25">
      <c r="C24" s="18">
        <v>45030</v>
      </c>
      <c r="D24" s="17" t="s">
        <v>22</v>
      </c>
      <c r="E24" s="17" t="s">
        <v>5</v>
      </c>
    </row>
    <row r="25" spans="3:5" x14ac:dyDescent="0.25">
      <c r="C25" s="18">
        <v>45040</v>
      </c>
      <c r="D25" s="17" t="s">
        <v>23</v>
      </c>
      <c r="E25" s="17" t="s">
        <v>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499984740745262"/>
  </sheetPr>
  <dimension ref="B1:G26"/>
  <sheetViews>
    <sheetView showGridLines="0" workbookViewId="0">
      <selection activeCell="C5" sqref="C5"/>
    </sheetView>
  </sheetViews>
  <sheetFormatPr defaultRowHeight="15" x14ac:dyDescent="0.25"/>
  <cols>
    <col min="2" max="2" width="40.28515625" customWidth="1"/>
    <col min="3" max="3" width="35.42578125" bestFit="1" customWidth="1"/>
    <col min="4" max="4" width="41.140625" bestFit="1" customWidth="1"/>
    <col min="5" max="5" width="36.42578125" bestFit="1" customWidth="1"/>
  </cols>
  <sheetData>
    <row r="1" spans="2:7" ht="28.5" x14ac:dyDescent="0.45">
      <c r="B1" s="1" t="s">
        <v>24</v>
      </c>
    </row>
    <row r="3" spans="2:7" ht="15.75" thickBot="1" x14ac:dyDescent="0.3">
      <c r="B3" s="5" t="s">
        <v>25</v>
      </c>
      <c r="C3" s="6" t="s">
        <v>26</v>
      </c>
      <c r="D3" s="6" t="s">
        <v>27</v>
      </c>
      <c r="E3" s="7" t="s">
        <v>28</v>
      </c>
    </row>
    <row r="4" spans="2:7" ht="16.5" thickTop="1" thickBot="1" x14ac:dyDescent="0.3">
      <c r="B4" s="8" t="s">
        <v>29</v>
      </c>
      <c r="C4" s="9" t="str">
        <f>LOWER(B4)</f>
        <v>nama anda</v>
      </c>
      <c r="D4" s="9" t="str">
        <f>UPPER(B4)</f>
        <v>NAMA ANDA</v>
      </c>
      <c r="E4" s="10" t="str">
        <f>PROPER(B4)</f>
        <v>Nama Anda</v>
      </c>
    </row>
    <row r="5" spans="2:7" ht="16.5" thickTop="1" thickBot="1" x14ac:dyDescent="0.3">
      <c r="B5" s="11" t="s">
        <v>4</v>
      </c>
      <c r="C5" s="9" t="str">
        <f t="shared" ref="C5:C26" si="0">LOWER(B5)</f>
        <v>tahun baru 2017 masehi</v>
      </c>
      <c r="D5" s="9" t="str">
        <f t="shared" ref="D5:D26" si="1">UPPER(B5)</f>
        <v>TAHUN BARU 2017 MASEHI</v>
      </c>
      <c r="E5" s="10" t="str">
        <f t="shared" ref="E5:E26" si="2">PROPER(B5)</f>
        <v>Tahun Baru 2017 Masehi</v>
      </c>
      <c r="G5" s="4"/>
    </row>
    <row r="6" spans="2:7" ht="16.5" thickTop="1" thickBot="1" x14ac:dyDescent="0.3">
      <c r="B6" s="12" t="s">
        <v>6</v>
      </c>
      <c r="C6" s="9" t="str">
        <f t="shared" si="0"/>
        <v>cuti bersama tahun baru 2017 masehi</v>
      </c>
      <c r="D6" s="9" t="str">
        <f t="shared" si="1"/>
        <v>CUTI BERSAMA TAHUN BARU 2017 MASEHI</v>
      </c>
      <c r="E6" s="10" t="str">
        <f t="shared" si="2"/>
        <v>Cuti Bersama Tahun Baru 2017 Masehi</v>
      </c>
      <c r="G6" s="4"/>
    </row>
    <row r="7" spans="2:7" ht="16.5" thickTop="1" thickBot="1" x14ac:dyDescent="0.3">
      <c r="B7" s="11" t="s">
        <v>8</v>
      </c>
      <c r="C7" s="9" t="str">
        <f t="shared" si="0"/>
        <v>tahun baru imlek 2568 kongzili</v>
      </c>
      <c r="D7" s="9" t="str">
        <f t="shared" si="1"/>
        <v>TAHUN BARU IMLEK 2568 KONGZILI</v>
      </c>
      <c r="E7" s="10" t="str">
        <f t="shared" si="2"/>
        <v>Tahun Baru Imlek 2568 Kongzili</v>
      </c>
      <c r="G7" s="4"/>
    </row>
    <row r="8" spans="2:7" ht="16.5" thickTop="1" thickBot="1" x14ac:dyDescent="0.3">
      <c r="B8" s="12" t="s">
        <v>9</v>
      </c>
      <c r="C8" s="9" t="str">
        <f t="shared" si="0"/>
        <v>hari raya nyepi tahun baru saka 1939</v>
      </c>
      <c r="D8" s="9" t="str">
        <f t="shared" si="1"/>
        <v>HARI RAYA NYEPI TAHUN BARU SAKA 1939</v>
      </c>
      <c r="E8" s="10" t="str">
        <f t="shared" si="2"/>
        <v>Hari Raya Nyepi Tahun Baru Saka 1939</v>
      </c>
      <c r="G8" s="4"/>
    </row>
    <row r="9" spans="2:7" ht="16.5" thickTop="1" thickBot="1" x14ac:dyDescent="0.3">
      <c r="B9" s="11" t="s">
        <v>10</v>
      </c>
      <c r="C9" s="9" t="str">
        <f t="shared" si="0"/>
        <v>may day / hari buruh internasional</v>
      </c>
      <c r="D9" s="9" t="str">
        <f t="shared" si="1"/>
        <v>MAY DAY / HARI BURUH INTERNASIONAL</v>
      </c>
      <c r="E9" s="10" t="str">
        <f t="shared" si="2"/>
        <v>May Day / Hari Buruh Internasional</v>
      </c>
    </row>
    <row r="10" spans="2:7" ht="16.5" thickTop="1" thickBot="1" x14ac:dyDescent="0.3">
      <c r="B10" s="12" t="s">
        <v>11</v>
      </c>
      <c r="C10" s="9" t="str">
        <f t="shared" si="0"/>
        <v>hari raya waisak 2561</v>
      </c>
      <c r="D10" s="9" t="str">
        <f t="shared" si="1"/>
        <v>HARI RAYA WAISAK 2561</v>
      </c>
      <c r="E10" s="10" t="str">
        <f t="shared" si="2"/>
        <v>Hari Raya Waisak 2561</v>
      </c>
    </row>
    <row r="11" spans="2:7" ht="16.5" thickTop="1" thickBot="1" x14ac:dyDescent="0.3">
      <c r="B11" s="11" t="s">
        <v>12</v>
      </c>
      <c r="C11" s="9" t="str">
        <f t="shared" si="0"/>
        <v>kenaikan yesus kristus</v>
      </c>
      <c r="D11" s="9" t="str">
        <f t="shared" si="1"/>
        <v>KENAIKAN YESUS KRISTUS</v>
      </c>
      <c r="E11" s="10" t="str">
        <f t="shared" si="2"/>
        <v>Kenaikan Yesus Kristus</v>
      </c>
    </row>
    <row r="12" spans="2:7" ht="16.5" thickTop="1" thickBot="1" x14ac:dyDescent="0.3">
      <c r="B12" s="12" t="s">
        <v>13</v>
      </c>
      <c r="C12" s="9" t="str">
        <f t="shared" si="0"/>
        <v>hari lahir pancasila</v>
      </c>
      <c r="D12" s="9" t="str">
        <f t="shared" si="1"/>
        <v>HARI LAHIR PANCASILA</v>
      </c>
      <c r="E12" s="10" t="str">
        <f t="shared" si="2"/>
        <v>Hari Lahir Pancasila</v>
      </c>
    </row>
    <row r="13" spans="2:7" ht="16.5" thickTop="1" thickBot="1" x14ac:dyDescent="0.3">
      <c r="B13" s="11" t="s">
        <v>14</v>
      </c>
      <c r="C13" s="9" t="str">
        <f t="shared" si="0"/>
        <v>hari raya idul fitri 1438 hijriah</v>
      </c>
      <c r="D13" s="9" t="str">
        <f t="shared" si="1"/>
        <v>HARI RAYA IDUL FITRI 1438 HIJRIAH</v>
      </c>
      <c r="E13" s="10" t="str">
        <f t="shared" si="2"/>
        <v>Hari Raya Idul Fitri 1438 Hijriah</v>
      </c>
    </row>
    <row r="14" spans="2:7" ht="16.5" thickTop="1" thickBot="1" x14ac:dyDescent="0.3">
      <c r="B14" s="12" t="s">
        <v>14</v>
      </c>
      <c r="C14" s="9" t="str">
        <f t="shared" si="0"/>
        <v>hari raya idul fitri 1438 hijriah</v>
      </c>
      <c r="D14" s="9" t="str">
        <f t="shared" si="1"/>
        <v>HARI RAYA IDUL FITRI 1438 HIJRIAH</v>
      </c>
      <c r="E14" s="10" t="str">
        <f t="shared" si="2"/>
        <v>Hari Raya Idul Fitri 1438 Hijriah</v>
      </c>
    </row>
    <row r="15" spans="2:7" ht="16.5" thickTop="1" thickBot="1" x14ac:dyDescent="0.3">
      <c r="B15" s="11" t="s">
        <v>15</v>
      </c>
      <c r="C15" s="9" t="str">
        <f t="shared" si="0"/>
        <v>cuti bersama idul fitri 1438 hijriyah</v>
      </c>
      <c r="D15" s="9" t="str">
        <f t="shared" si="1"/>
        <v>CUTI BERSAMA IDUL FITRI 1438 HIJRIYAH</v>
      </c>
      <c r="E15" s="10" t="str">
        <f t="shared" si="2"/>
        <v>Cuti Bersama Idul Fitri 1438 Hijriyah</v>
      </c>
    </row>
    <row r="16" spans="2:7" ht="16.5" thickTop="1" thickBot="1" x14ac:dyDescent="0.3">
      <c r="B16" s="12" t="s">
        <v>15</v>
      </c>
      <c r="C16" s="9" t="str">
        <f t="shared" si="0"/>
        <v>cuti bersama idul fitri 1438 hijriyah</v>
      </c>
      <c r="D16" s="9" t="str">
        <f t="shared" si="1"/>
        <v>CUTI BERSAMA IDUL FITRI 1438 HIJRIYAH</v>
      </c>
      <c r="E16" s="10" t="str">
        <f t="shared" si="2"/>
        <v>Cuti Bersama Idul Fitri 1438 Hijriyah</v>
      </c>
    </row>
    <row r="17" spans="2:5" ht="16.5" thickTop="1" thickBot="1" x14ac:dyDescent="0.3">
      <c r="B17" s="11" t="s">
        <v>15</v>
      </c>
      <c r="C17" s="9" t="str">
        <f t="shared" si="0"/>
        <v>cuti bersama idul fitri 1438 hijriyah</v>
      </c>
      <c r="D17" s="9" t="str">
        <f t="shared" si="1"/>
        <v>CUTI BERSAMA IDUL FITRI 1438 HIJRIYAH</v>
      </c>
      <c r="E17" s="10" t="str">
        <f t="shared" si="2"/>
        <v>Cuti Bersama Idul Fitri 1438 Hijriyah</v>
      </c>
    </row>
    <row r="18" spans="2:5" ht="16.5" thickTop="1" thickBot="1" x14ac:dyDescent="0.3">
      <c r="B18" s="12" t="s">
        <v>15</v>
      </c>
      <c r="C18" s="9" t="str">
        <f t="shared" si="0"/>
        <v>cuti bersama idul fitri 1438 hijriyah</v>
      </c>
      <c r="D18" s="9" t="str">
        <f t="shared" si="1"/>
        <v>CUTI BERSAMA IDUL FITRI 1438 HIJRIYAH</v>
      </c>
      <c r="E18" s="10" t="str">
        <f t="shared" si="2"/>
        <v>Cuti Bersama Idul Fitri 1438 Hijriyah</v>
      </c>
    </row>
    <row r="19" spans="2:5" ht="16.5" thickTop="1" thickBot="1" x14ac:dyDescent="0.3">
      <c r="B19" s="11" t="s">
        <v>16</v>
      </c>
      <c r="C19" s="9" t="str">
        <f t="shared" si="0"/>
        <v>hari kemerdekaan ri</v>
      </c>
      <c r="D19" s="9" t="str">
        <f t="shared" si="1"/>
        <v>HARI KEMERDEKAAN RI</v>
      </c>
      <c r="E19" s="10" t="str">
        <f t="shared" si="2"/>
        <v>Hari Kemerdekaan Ri</v>
      </c>
    </row>
    <row r="20" spans="2:5" ht="16.5" thickTop="1" thickBot="1" x14ac:dyDescent="0.3">
      <c r="B20" s="12" t="s">
        <v>17</v>
      </c>
      <c r="C20" s="9" t="str">
        <f t="shared" si="0"/>
        <v>hari raya idul adha 1438 hijriah</v>
      </c>
      <c r="D20" s="9" t="str">
        <f t="shared" si="1"/>
        <v>HARI RAYA IDUL ADHA 1438 HIJRIAH</v>
      </c>
      <c r="E20" s="10" t="str">
        <f t="shared" si="2"/>
        <v>Hari Raya Idul Adha 1438 Hijriah</v>
      </c>
    </row>
    <row r="21" spans="2:5" ht="16.5" thickTop="1" thickBot="1" x14ac:dyDescent="0.3">
      <c r="B21" s="11" t="s">
        <v>18</v>
      </c>
      <c r="C21" s="9" t="str">
        <f t="shared" si="0"/>
        <v>tahun baru islam 1439 hijriah</v>
      </c>
      <c r="D21" s="9" t="str">
        <f t="shared" si="1"/>
        <v>TAHUN BARU ISLAM 1439 HIJRIAH</v>
      </c>
      <c r="E21" s="10" t="str">
        <f t="shared" si="2"/>
        <v>Tahun Baru Islam 1439 Hijriah</v>
      </c>
    </row>
    <row r="22" spans="2:5" ht="16.5" thickTop="1" thickBot="1" x14ac:dyDescent="0.3">
      <c r="B22" s="12" t="s">
        <v>19</v>
      </c>
      <c r="C22" s="9" t="str">
        <f t="shared" si="0"/>
        <v>maulid nabi muhammad saw</v>
      </c>
      <c r="D22" s="9" t="str">
        <f t="shared" si="1"/>
        <v>MAULID NABI MUHAMMAD SAW</v>
      </c>
      <c r="E22" s="10" t="str">
        <f t="shared" si="2"/>
        <v>Maulid Nabi Muhammad Saw</v>
      </c>
    </row>
    <row r="23" spans="2:5" ht="16.5" thickTop="1" thickBot="1" x14ac:dyDescent="0.3">
      <c r="B23" s="11" t="s">
        <v>20</v>
      </c>
      <c r="C23" s="9" t="str">
        <f t="shared" si="0"/>
        <v>hari raya natal</v>
      </c>
      <c r="D23" s="9" t="str">
        <f t="shared" si="1"/>
        <v>HARI RAYA NATAL</v>
      </c>
      <c r="E23" s="10" t="str">
        <f t="shared" si="2"/>
        <v>Hari Raya Natal</v>
      </c>
    </row>
    <row r="24" spans="2:5" ht="16.5" thickTop="1" thickBot="1" x14ac:dyDescent="0.3">
      <c r="B24" s="12" t="s">
        <v>21</v>
      </c>
      <c r="C24" s="9" t="str">
        <f t="shared" si="0"/>
        <v>cuti bersama natal</v>
      </c>
      <c r="D24" s="9" t="str">
        <f t="shared" si="1"/>
        <v>CUTI BERSAMA NATAL</v>
      </c>
      <c r="E24" s="10" t="str">
        <f t="shared" si="2"/>
        <v>Cuti Bersama Natal</v>
      </c>
    </row>
    <row r="25" spans="2:5" ht="16.5" thickTop="1" thickBot="1" x14ac:dyDescent="0.3">
      <c r="B25" s="11" t="s">
        <v>22</v>
      </c>
      <c r="C25" s="9" t="str">
        <f t="shared" si="0"/>
        <v>wafat yesus kristus</v>
      </c>
      <c r="D25" s="9" t="str">
        <f t="shared" si="1"/>
        <v>WAFAT YESUS KRISTUS</v>
      </c>
      <c r="E25" s="10" t="str">
        <f t="shared" si="2"/>
        <v>Wafat Yesus Kristus</v>
      </c>
    </row>
    <row r="26" spans="2:5" ht="15.75" thickTop="1" x14ac:dyDescent="0.25">
      <c r="B26" s="13" t="s">
        <v>23</v>
      </c>
      <c r="C26" s="9" t="str">
        <f t="shared" si="0"/>
        <v>isra mi’raj nabi muhammad saw</v>
      </c>
      <c r="D26" s="9" t="str">
        <f t="shared" si="1"/>
        <v>ISRA MI’RAJ NABI MUHAMMAD SAW</v>
      </c>
      <c r="E26" s="10" t="str">
        <f t="shared" si="2"/>
        <v>Isra Mi’Raj Nabi Muhammad Saw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A9B19-7630-4934-8E8E-554275ACFAAF}">
  <sheetPr>
    <tabColor theme="8" tint="-0.499984740745262"/>
  </sheetPr>
  <dimension ref="B1:M11"/>
  <sheetViews>
    <sheetView showGridLines="0" workbookViewId="0">
      <selection activeCell="I12" sqref="I12"/>
    </sheetView>
  </sheetViews>
  <sheetFormatPr defaultRowHeight="15" x14ac:dyDescent="0.25"/>
  <cols>
    <col min="2" max="2" width="19" bestFit="1" customWidth="1"/>
    <col min="3" max="3" width="37.7109375" bestFit="1" customWidth="1"/>
    <col min="4" max="4" width="17.140625" bestFit="1" customWidth="1"/>
  </cols>
  <sheetData>
    <row r="1" spans="2:13" ht="15.75" thickBot="1" x14ac:dyDescent="0.3">
      <c r="B1" s="2" t="s">
        <v>1</v>
      </c>
      <c r="C1" s="2" t="s">
        <v>2</v>
      </c>
      <c r="D1" s="2" t="s">
        <v>3</v>
      </c>
      <c r="F1" s="15" t="s">
        <v>116</v>
      </c>
    </row>
    <row r="2" spans="2:13" ht="15.75" thickTop="1" x14ac:dyDescent="0.25">
      <c r="B2" s="3">
        <v>42736</v>
      </c>
      <c r="C2" t="s">
        <v>4</v>
      </c>
      <c r="D2" t="s">
        <v>5</v>
      </c>
      <c r="F2" s="4" t="s">
        <v>115</v>
      </c>
    </row>
    <row r="3" spans="2:13" x14ac:dyDescent="0.25">
      <c r="B3" s="3">
        <v>42737</v>
      </c>
      <c r="C3" t="s">
        <v>6</v>
      </c>
      <c r="D3" t="s">
        <v>7</v>
      </c>
      <c r="F3" s="4"/>
    </row>
    <row r="4" spans="2:13" x14ac:dyDescent="0.25">
      <c r="B4" s="3">
        <v>42856</v>
      </c>
      <c r="C4" t="s">
        <v>10</v>
      </c>
      <c r="D4" t="s">
        <v>5</v>
      </c>
    </row>
    <row r="5" spans="2:13" x14ac:dyDescent="0.25">
      <c r="B5" s="3">
        <v>42911</v>
      </c>
      <c r="C5" t="s">
        <v>14</v>
      </c>
      <c r="D5" t="s">
        <v>5</v>
      </c>
      <c r="F5" t="s">
        <v>117</v>
      </c>
    </row>
    <row r="6" spans="2:13" x14ac:dyDescent="0.25">
      <c r="B6" s="3">
        <v>42913</v>
      </c>
      <c r="C6" t="s">
        <v>15</v>
      </c>
      <c r="D6" t="s">
        <v>7</v>
      </c>
      <c r="F6" t="s">
        <v>118</v>
      </c>
      <c r="M6" t="s">
        <v>119</v>
      </c>
    </row>
    <row r="7" spans="2:13" x14ac:dyDescent="0.25">
      <c r="B7" s="3">
        <v>42915</v>
      </c>
      <c r="C7" t="s">
        <v>15</v>
      </c>
      <c r="D7" t="s">
        <v>7</v>
      </c>
    </row>
    <row r="8" spans="2:13" x14ac:dyDescent="0.25">
      <c r="B8" s="3">
        <v>42964</v>
      </c>
      <c r="C8" t="s">
        <v>16</v>
      </c>
      <c r="D8" t="s">
        <v>5</v>
      </c>
      <c r="F8" t="s">
        <v>120</v>
      </c>
    </row>
    <row r="9" spans="2:13" x14ac:dyDescent="0.25">
      <c r="B9" s="3">
        <v>43070</v>
      </c>
      <c r="C9" t="s">
        <v>19</v>
      </c>
      <c r="D9" t="s">
        <v>5</v>
      </c>
      <c r="F9" t="s">
        <v>121</v>
      </c>
    </row>
    <row r="10" spans="2:13" x14ac:dyDescent="0.25">
      <c r="B10" s="3">
        <v>42866</v>
      </c>
      <c r="C10" t="s">
        <v>11</v>
      </c>
      <c r="D10" t="s">
        <v>5</v>
      </c>
    </row>
    <row r="11" spans="2:13" x14ac:dyDescent="0.25">
      <c r="B11" s="3">
        <v>42763</v>
      </c>
      <c r="C11" t="s">
        <v>8</v>
      </c>
      <c r="D1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870E-7B20-4457-A259-F6B7B12BC520}">
  <sheetPr>
    <tabColor theme="8" tint="-0.499984740745262"/>
  </sheetPr>
  <dimension ref="B1:D17"/>
  <sheetViews>
    <sheetView workbookViewId="0">
      <selection activeCell="D12" sqref="D12"/>
    </sheetView>
  </sheetViews>
  <sheetFormatPr defaultRowHeight="15" x14ac:dyDescent="0.25"/>
  <cols>
    <col min="2" max="2" width="25.28515625" bestFit="1" customWidth="1"/>
    <col min="3" max="3" width="17.85546875" customWidth="1"/>
    <col min="4" max="4" width="18.28515625" customWidth="1"/>
  </cols>
  <sheetData>
    <row r="1" spans="2:4" x14ac:dyDescent="0.25">
      <c r="B1" s="27" t="s">
        <v>133</v>
      </c>
      <c r="C1" s="27"/>
      <c r="D1" s="27"/>
    </row>
    <row r="2" spans="2:4" x14ac:dyDescent="0.25">
      <c r="B2" s="14" t="s">
        <v>122</v>
      </c>
      <c r="C2" s="14" t="s">
        <v>123</v>
      </c>
      <c r="D2" s="14" t="s">
        <v>124</v>
      </c>
    </row>
    <row r="3" spans="2:4" x14ac:dyDescent="0.25">
      <c r="B3" s="14" t="s">
        <v>125</v>
      </c>
      <c r="C3" s="14" t="s">
        <v>130</v>
      </c>
      <c r="D3" s="14" t="s">
        <v>135</v>
      </c>
    </row>
    <row r="4" spans="2:4" x14ac:dyDescent="0.25">
      <c r="B4" s="14" t="s">
        <v>126</v>
      </c>
      <c r="C4" s="14" t="s">
        <v>131</v>
      </c>
      <c r="D4" s="14" t="s">
        <v>138</v>
      </c>
    </row>
    <row r="5" spans="2:4" x14ac:dyDescent="0.25">
      <c r="B5" s="14" t="s">
        <v>127</v>
      </c>
      <c r="C5" s="14" t="s">
        <v>132</v>
      </c>
      <c r="D5" s="14" t="s">
        <v>139</v>
      </c>
    </row>
    <row r="6" spans="2:4" x14ac:dyDescent="0.25">
      <c r="B6" s="14" t="s">
        <v>128</v>
      </c>
      <c r="C6" s="14" t="s">
        <v>136</v>
      </c>
      <c r="D6" s="14" t="s">
        <v>140</v>
      </c>
    </row>
    <row r="7" spans="2:4" x14ac:dyDescent="0.25">
      <c r="B7" s="14" t="s">
        <v>129</v>
      </c>
      <c r="C7" s="14" t="s">
        <v>137</v>
      </c>
      <c r="D7" s="14" t="s">
        <v>140</v>
      </c>
    </row>
    <row r="11" spans="2:4" x14ac:dyDescent="0.25">
      <c r="B11" s="27" t="s">
        <v>134</v>
      </c>
      <c r="C11" s="27"/>
      <c r="D11" s="19"/>
    </row>
    <row r="12" spans="2:4" x14ac:dyDescent="0.25">
      <c r="B12" s="14" t="s">
        <v>123</v>
      </c>
      <c r="C12" s="20" t="s">
        <v>124</v>
      </c>
    </row>
    <row r="13" spans="2:4" x14ac:dyDescent="0.25">
      <c r="B13" s="14" t="s">
        <v>130</v>
      </c>
      <c r="C13" s="14" t="s">
        <v>135</v>
      </c>
    </row>
    <row r="14" spans="2:4" x14ac:dyDescent="0.25">
      <c r="B14" s="14" t="s">
        <v>131</v>
      </c>
      <c r="C14" s="14" t="s">
        <v>138</v>
      </c>
    </row>
    <row r="15" spans="2:4" x14ac:dyDescent="0.25">
      <c r="B15" s="14" t="s">
        <v>132</v>
      </c>
      <c r="C15" s="14" t="s">
        <v>139</v>
      </c>
    </row>
    <row r="16" spans="2:4" x14ac:dyDescent="0.25">
      <c r="B16" s="14" t="s">
        <v>136</v>
      </c>
      <c r="C16" s="14" t="s">
        <v>140</v>
      </c>
    </row>
    <row r="17" spans="2:3" x14ac:dyDescent="0.25">
      <c r="B17" s="14" t="s">
        <v>137</v>
      </c>
      <c r="C17" s="14" t="s">
        <v>140</v>
      </c>
    </row>
  </sheetData>
  <mergeCells count="2">
    <mergeCell ref="B1:D1"/>
    <mergeCell ref="B11:C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499984740745262"/>
  </sheetPr>
  <dimension ref="B1:I37"/>
  <sheetViews>
    <sheetView showGridLines="0" topLeftCell="E1" zoomScale="88" zoomScaleNormal="130" workbookViewId="0">
      <selection activeCell="I5" sqref="I5"/>
    </sheetView>
  </sheetViews>
  <sheetFormatPr defaultRowHeight="15" x14ac:dyDescent="0.25"/>
  <cols>
    <col min="2" max="2" width="5.42578125" customWidth="1"/>
    <col min="3" max="3" width="18.140625" bestFit="1" customWidth="1"/>
    <col min="4" max="4" width="22.140625" bestFit="1" customWidth="1"/>
    <col min="5" max="5" width="12.42578125" customWidth="1"/>
    <col min="6" max="6" width="17.7109375" bestFit="1" customWidth="1"/>
    <col min="7" max="7" width="19.28515625" bestFit="1" customWidth="1"/>
    <col min="8" max="8" width="16" style="21" bestFit="1" customWidth="1"/>
    <col min="9" max="9" width="16" style="21" customWidth="1"/>
  </cols>
  <sheetData>
    <row r="1" spans="2:9" ht="28.5" x14ac:dyDescent="0.45">
      <c r="B1" s="1" t="s">
        <v>30</v>
      </c>
      <c r="H1"/>
      <c r="I1"/>
    </row>
    <row r="2" spans="2:9" x14ac:dyDescent="0.25">
      <c r="H2"/>
      <c r="I2"/>
    </row>
    <row r="3" spans="2:9" ht="15.75" thickBot="1" x14ac:dyDescent="0.3"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15"/>
    </row>
    <row r="4" spans="2:9" ht="15.75" thickTop="1" x14ac:dyDescent="0.25">
      <c r="B4">
        <v>1</v>
      </c>
      <c r="C4" t="s">
        <v>38</v>
      </c>
      <c r="D4" t="s">
        <v>39</v>
      </c>
      <c r="E4">
        <v>195000</v>
      </c>
      <c r="F4" cm="1">
        <f t="array" ref="F4:F37">IF(LEN(C4:C37)&gt;8,"Invalid",$E$4:$E$37)</f>
        <v>195000</v>
      </c>
      <c r="G4" t="str">
        <f>PROPER(TRIM(D4))</f>
        <v>Legging</v>
      </c>
      <c r="H4" s="21">
        <f>IF(OR(E4&gt;=1000000,E4&lt;=20000),"Invalid",E4)</f>
        <v>195000</v>
      </c>
    </row>
    <row r="5" spans="2:9" x14ac:dyDescent="0.25">
      <c r="B5">
        <v>2</v>
      </c>
      <c r="C5" t="s">
        <v>40</v>
      </c>
      <c r="D5" t="s">
        <v>41</v>
      </c>
      <c r="E5">
        <v>267000</v>
      </c>
      <c r="F5">
        <v>267000</v>
      </c>
      <c r="G5" t="str">
        <f t="shared" ref="G5:G37" si="0">PROPER(TRIM(D5))</f>
        <v>Jumpsuit</v>
      </c>
      <c r="H5" s="21">
        <f t="shared" ref="H5:H37" si="1">IF(OR(E5&gt;=1000000,E5&lt;=20000),"Invalid",E5)</f>
        <v>267000</v>
      </c>
    </row>
    <row r="6" spans="2:9" x14ac:dyDescent="0.25">
      <c r="B6">
        <v>4</v>
      </c>
      <c r="C6" t="s">
        <v>42</v>
      </c>
      <c r="D6" t="s">
        <v>43</v>
      </c>
      <c r="E6">
        <v>7050000</v>
      </c>
      <c r="F6">
        <v>7050000</v>
      </c>
      <c r="G6" t="str">
        <f t="shared" si="0"/>
        <v>Maxi Dress</v>
      </c>
      <c r="H6" s="21" t="str">
        <f t="shared" si="1"/>
        <v>Invalid</v>
      </c>
    </row>
    <row r="7" spans="2:9" x14ac:dyDescent="0.25">
      <c r="B7">
        <v>5</v>
      </c>
      <c r="C7" t="s">
        <v>44</v>
      </c>
      <c r="D7" t="s">
        <v>45</v>
      </c>
      <c r="E7">
        <v>402000</v>
      </c>
      <c r="F7">
        <v>402000</v>
      </c>
      <c r="G7" t="str">
        <f t="shared" si="0"/>
        <v>Celana Jeans</v>
      </c>
      <c r="H7" s="21">
        <f t="shared" si="1"/>
        <v>402000</v>
      </c>
    </row>
    <row r="8" spans="2:9" x14ac:dyDescent="0.25">
      <c r="B8">
        <v>6</v>
      </c>
      <c r="C8" t="s">
        <v>46</v>
      </c>
      <c r="D8" t="s">
        <v>47</v>
      </c>
      <c r="E8">
        <v>153000</v>
      </c>
      <c r="F8">
        <v>153000</v>
      </c>
      <c r="G8" t="str">
        <f t="shared" si="0"/>
        <v>Hot Pants</v>
      </c>
      <c r="H8" s="21">
        <f t="shared" si="1"/>
        <v>153000</v>
      </c>
    </row>
    <row r="9" spans="2:9" x14ac:dyDescent="0.25">
      <c r="B9">
        <v>7</v>
      </c>
      <c r="C9" t="s">
        <v>42</v>
      </c>
      <c r="D9" t="s">
        <v>48</v>
      </c>
      <c r="E9">
        <v>705000</v>
      </c>
      <c r="F9">
        <v>705000</v>
      </c>
      <c r="G9" t="str">
        <f t="shared" si="0"/>
        <v>Maxi Dress</v>
      </c>
      <c r="H9" s="21">
        <f t="shared" si="1"/>
        <v>705000</v>
      </c>
    </row>
    <row r="10" spans="2:9" x14ac:dyDescent="0.25">
      <c r="B10">
        <v>8</v>
      </c>
      <c r="C10" t="s">
        <v>49</v>
      </c>
      <c r="D10" t="s">
        <v>50</v>
      </c>
      <c r="E10">
        <v>21000</v>
      </c>
      <c r="F10">
        <v>21000</v>
      </c>
      <c r="G10" t="str">
        <f t="shared" si="0"/>
        <v>Kaos Kaki</v>
      </c>
      <c r="H10" s="21">
        <f t="shared" si="1"/>
        <v>21000</v>
      </c>
    </row>
    <row r="11" spans="2:9" x14ac:dyDescent="0.25">
      <c r="B11">
        <v>9</v>
      </c>
      <c r="C11" t="s">
        <v>51</v>
      </c>
      <c r="D11" t="s">
        <v>52</v>
      </c>
      <c r="E11">
        <v>132000</v>
      </c>
      <c r="F11">
        <v>132000</v>
      </c>
      <c r="G11" t="str">
        <f t="shared" si="0"/>
        <v>Kaos Olahraga</v>
      </c>
      <c r="H11" s="21">
        <f t="shared" si="1"/>
        <v>132000</v>
      </c>
    </row>
    <row r="12" spans="2:9" x14ac:dyDescent="0.25">
      <c r="B12">
        <v>10</v>
      </c>
      <c r="C12" t="s">
        <v>53</v>
      </c>
      <c r="D12" t="s">
        <v>54</v>
      </c>
      <c r="E12">
        <v>35000</v>
      </c>
      <c r="F12">
        <v>35000</v>
      </c>
      <c r="G12" t="str">
        <f t="shared" si="0"/>
        <v>Celana Training</v>
      </c>
      <c r="H12" s="21">
        <f t="shared" si="1"/>
        <v>35000</v>
      </c>
    </row>
    <row r="13" spans="2:9" x14ac:dyDescent="0.25">
      <c r="B13">
        <v>11</v>
      </c>
      <c r="C13" t="s">
        <v>55</v>
      </c>
      <c r="D13" t="s">
        <v>56</v>
      </c>
      <c r="E13">
        <v>165000</v>
      </c>
      <c r="F13">
        <v>165000</v>
      </c>
      <c r="G13" t="str">
        <f t="shared" si="0"/>
        <v>T-Shirt</v>
      </c>
      <c r="H13" s="21">
        <f t="shared" si="1"/>
        <v>165000</v>
      </c>
    </row>
    <row r="14" spans="2:9" x14ac:dyDescent="0.25">
      <c r="B14">
        <v>12</v>
      </c>
      <c r="C14" t="s">
        <v>57</v>
      </c>
      <c r="D14" t="s">
        <v>58</v>
      </c>
      <c r="E14">
        <v>75000</v>
      </c>
      <c r="F14">
        <v>75000</v>
      </c>
      <c r="G14" t="str">
        <f t="shared" si="0"/>
        <v>Ikat Pinggang</v>
      </c>
      <c r="H14" s="21">
        <f t="shared" si="1"/>
        <v>75000</v>
      </c>
    </row>
    <row r="15" spans="2:9" x14ac:dyDescent="0.25">
      <c r="B15">
        <v>13</v>
      </c>
      <c r="C15" t="s">
        <v>59</v>
      </c>
      <c r="D15" t="s">
        <v>60</v>
      </c>
      <c r="E15">
        <v>105000</v>
      </c>
      <c r="F15">
        <v>105000</v>
      </c>
      <c r="G15" t="str">
        <f t="shared" si="0"/>
        <v>Topi</v>
      </c>
      <c r="H15" s="21">
        <f t="shared" si="1"/>
        <v>105000</v>
      </c>
    </row>
    <row r="16" spans="2:9" x14ac:dyDescent="0.25">
      <c r="B16">
        <v>15</v>
      </c>
      <c r="C16" t="s">
        <v>61</v>
      </c>
      <c r="D16" t="s">
        <v>62</v>
      </c>
      <c r="E16">
        <v>249000</v>
      </c>
      <c r="F16">
        <v>249000</v>
      </c>
      <c r="G16" t="str">
        <f t="shared" si="0"/>
        <v>Kemeja</v>
      </c>
      <c r="H16" s="21">
        <f t="shared" si="1"/>
        <v>249000</v>
      </c>
    </row>
    <row r="17" spans="2:8" x14ac:dyDescent="0.25">
      <c r="B17">
        <v>16</v>
      </c>
      <c r="C17" t="s">
        <v>59</v>
      </c>
      <c r="D17" t="s">
        <v>63</v>
      </c>
      <c r="E17">
        <v>105000</v>
      </c>
      <c r="F17">
        <v>105000</v>
      </c>
      <c r="G17" t="str">
        <f t="shared" si="0"/>
        <v>Topi</v>
      </c>
      <c r="H17" s="21">
        <f t="shared" si="1"/>
        <v>105000</v>
      </c>
    </row>
    <row r="18" spans="2:8" x14ac:dyDescent="0.25">
      <c r="B18">
        <v>17</v>
      </c>
      <c r="C18" t="s">
        <v>64</v>
      </c>
      <c r="D18" t="s">
        <v>65</v>
      </c>
      <c r="E18">
        <v>246000</v>
      </c>
      <c r="F18">
        <v>246000</v>
      </c>
      <c r="G18" t="str">
        <f t="shared" si="0"/>
        <v>Kacamata</v>
      </c>
      <c r="H18" s="21">
        <f t="shared" si="1"/>
        <v>246000</v>
      </c>
    </row>
    <row r="19" spans="2:8" x14ac:dyDescent="0.25">
      <c r="B19">
        <v>19</v>
      </c>
      <c r="C19" t="s">
        <v>66</v>
      </c>
      <c r="D19" t="s">
        <v>67</v>
      </c>
      <c r="E19">
        <v>195000</v>
      </c>
      <c r="F19">
        <v>195000</v>
      </c>
      <c r="G19" t="str">
        <f t="shared" si="0"/>
        <v>Legging Olahraga</v>
      </c>
      <c r="H19" s="21">
        <f t="shared" si="1"/>
        <v>195000</v>
      </c>
    </row>
    <row r="20" spans="2:8" x14ac:dyDescent="0.25">
      <c r="B20">
        <v>20</v>
      </c>
      <c r="C20" t="s">
        <v>68</v>
      </c>
      <c r="D20" t="s">
        <v>69</v>
      </c>
      <c r="E20">
        <v>135000</v>
      </c>
      <c r="F20" t="str">
        <v>Invalid</v>
      </c>
      <c r="G20" t="str">
        <f t="shared" si="0"/>
        <v>Syal</v>
      </c>
      <c r="H20" s="21">
        <f t="shared" si="1"/>
        <v>135000</v>
      </c>
    </row>
    <row r="21" spans="2:8" x14ac:dyDescent="0.25">
      <c r="B21">
        <v>21</v>
      </c>
      <c r="C21" t="s">
        <v>61</v>
      </c>
      <c r="D21" t="s">
        <v>70</v>
      </c>
      <c r="E21">
        <v>249000</v>
      </c>
      <c r="F21">
        <v>249000</v>
      </c>
      <c r="G21" t="str">
        <f t="shared" si="0"/>
        <v>Kemeja</v>
      </c>
      <c r="H21" s="21">
        <f t="shared" si="1"/>
        <v>249000</v>
      </c>
    </row>
    <row r="22" spans="2:8" x14ac:dyDescent="0.25">
      <c r="B22">
        <v>22</v>
      </c>
      <c r="C22" t="s">
        <v>71</v>
      </c>
      <c r="D22" t="s">
        <v>72</v>
      </c>
      <c r="E22">
        <v>135000</v>
      </c>
      <c r="F22">
        <v>135000</v>
      </c>
      <c r="G22" t="str">
        <f t="shared" si="0"/>
        <v>Syal</v>
      </c>
      <c r="H22" s="21">
        <f t="shared" si="1"/>
        <v>135000</v>
      </c>
    </row>
    <row r="23" spans="2:8" x14ac:dyDescent="0.25">
      <c r="B23">
        <v>23</v>
      </c>
      <c r="C23" t="s">
        <v>73</v>
      </c>
      <c r="D23" t="s">
        <v>74</v>
      </c>
      <c r="E23">
        <v>168000</v>
      </c>
      <c r="F23">
        <v>168000</v>
      </c>
      <c r="G23" t="str">
        <f t="shared" si="0"/>
        <v>Celana Panjang</v>
      </c>
      <c r="H23" s="21">
        <f t="shared" si="1"/>
        <v>168000</v>
      </c>
    </row>
    <row r="24" spans="2:8" x14ac:dyDescent="0.25">
      <c r="B24">
        <v>26</v>
      </c>
      <c r="C24" t="s">
        <v>75</v>
      </c>
      <c r="D24" t="s">
        <v>76</v>
      </c>
      <c r="E24">
        <v>135000</v>
      </c>
      <c r="F24">
        <v>135000</v>
      </c>
      <c r="G24" t="str">
        <f t="shared" si="0"/>
        <v>Celana Pendek</v>
      </c>
      <c r="H24" s="21">
        <f t="shared" si="1"/>
        <v>135000</v>
      </c>
    </row>
    <row r="25" spans="2:8" x14ac:dyDescent="0.25">
      <c r="B25">
        <v>27</v>
      </c>
      <c r="C25" t="s">
        <v>44</v>
      </c>
      <c r="D25" t="s">
        <v>77</v>
      </c>
      <c r="E25">
        <v>402000</v>
      </c>
      <c r="F25">
        <v>402000</v>
      </c>
      <c r="G25" t="str">
        <f t="shared" si="0"/>
        <v>Celana Jeans</v>
      </c>
      <c r="H25" s="21">
        <f t="shared" si="1"/>
        <v>402000</v>
      </c>
    </row>
    <row r="26" spans="2:8" x14ac:dyDescent="0.25">
      <c r="B26">
        <v>28</v>
      </c>
      <c r="C26" t="s">
        <v>53</v>
      </c>
      <c r="D26" t="s">
        <v>78</v>
      </c>
      <c r="E26">
        <v>141000</v>
      </c>
      <c r="F26">
        <v>141000</v>
      </c>
      <c r="G26" t="str">
        <f t="shared" si="0"/>
        <v>Celana Training</v>
      </c>
      <c r="H26" s="21">
        <f t="shared" si="1"/>
        <v>141000</v>
      </c>
    </row>
    <row r="27" spans="2:8" x14ac:dyDescent="0.25">
      <c r="B27">
        <v>29</v>
      </c>
      <c r="C27" t="s">
        <v>79</v>
      </c>
      <c r="D27" t="s">
        <v>80</v>
      </c>
      <c r="E27">
        <v>801000</v>
      </c>
      <c r="F27">
        <v>801000</v>
      </c>
      <c r="G27" t="str">
        <f t="shared" si="0"/>
        <v>Jaket</v>
      </c>
      <c r="H27" s="21">
        <f t="shared" si="1"/>
        <v>801000</v>
      </c>
    </row>
    <row r="28" spans="2:8" x14ac:dyDescent="0.25">
      <c r="B28">
        <v>30</v>
      </c>
      <c r="C28" t="s">
        <v>66</v>
      </c>
      <c r="D28" t="s">
        <v>81</v>
      </c>
      <c r="E28">
        <v>195000</v>
      </c>
      <c r="F28">
        <v>195000</v>
      </c>
      <c r="G28" t="str">
        <f t="shared" si="0"/>
        <v>Legging Olahraga</v>
      </c>
      <c r="H28" s="21">
        <f t="shared" si="1"/>
        <v>195000</v>
      </c>
    </row>
    <row r="29" spans="2:8" x14ac:dyDescent="0.25">
      <c r="B29">
        <v>31</v>
      </c>
      <c r="C29" t="s">
        <v>82</v>
      </c>
      <c r="D29" t="s">
        <v>83</v>
      </c>
      <c r="E29">
        <v>231000</v>
      </c>
      <c r="F29">
        <v>231000</v>
      </c>
      <c r="G29" t="str">
        <f t="shared" si="0"/>
        <v>Jersey</v>
      </c>
      <c r="H29" s="21">
        <f t="shared" si="1"/>
        <v>231000</v>
      </c>
    </row>
    <row r="30" spans="2:8" x14ac:dyDescent="0.25">
      <c r="B30">
        <v>32</v>
      </c>
      <c r="C30" t="s">
        <v>84</v>
      </c>
      <c r="D30" t="s">
        <v>85</v>
      </c>
      <c r="E30">
        <v>192000</v>
      </c>
      <c r="F30">
        <v>192000</v>
      </c>
      <c r="G30" t="str">
        <f t="shared" si="0"/>
        <v>Blus</v>
      </c>
      <c r="H30" s="21">
        <f t="shared" si="1"/>
        <v>192000</v>
      </c>
    </row>
    <row r="31" spans="2:8" x14ac:dyDescent="0.25">
      <c r="B31">
        <v>33</v>
      </c>
      <c r="C31" t="s">
        <v>86</v>
      </c>
      <c r="D31" t="s">
        <v>87</v>
      </c>
      <c r="E31">
        <v>231000</v>
      </c>
      <c r="F31">
        <v>231000</v>
      </c>
      <c r="G31" t="str">
        <f t="shared" si="0"/>
        <v>Sweater</v>
      </c>
      <c r="H31" s="21">
        <f t="shared" si="1"/>
        <v>231000</v>
      </c>
    </row>
    <row r="32" spans="2:8" x14ac:dyDescent="0.25">
      <c r="B32">
        <v>34</v>
      </c>
      <c r="C32" t="s">
        <v>88</v>
      </c>
      <c r="D32" t="s">
        <v>89</v>
      </c>
      <c r="E32">
        <v>234000</v>
      </c>
      <c r="F32">
        <v>234000</v>
      </c>
      <c r="G32" t="str">
        <f t="shared" si="0"/>
        <v>Overall</v>
      </c>
      <c r="H32" s="21">
        <f t="shared" si="1"/>
        <v>234000</v>
      </c>
    </row>
    <row r="33" spans="2:8" x14ac:dyDescent="0.25">
      <c r="B33">
        <v>36</v>
      </c>
      <c r="C33" t="s">
        <v>90</v>
      </c>
      <c r="D33" t="s">
        <v>91</v>
      </c>
      <c r="E33">
        <v>276000</v>
      </c>
      <c r="F33">
        <v>276000</v>
      </c>
      <c r="G33" t="str">
        <f t="shared" si="0"/>
        <v>Kaftan</v>
      </c>
      <c r="H33" s="21">
        <f t="shared" si="1"/>
        <v>276000</v>
      </c>
    </row>
    <row r="34" spans="2:8" x14ac:dyDescent="0.25">
      <c r="B34">
        <v>37</v>
      </c>
      <c r="C34" t="s">
        <v>79</v>
      </c>
      <c r="D34" t="s">
        <v>92</v>
      </c>
      <c r="E34">
        <v>801000</v>
      </c>
      <c r="F34">
        <v>801000</v>
      </c>
      <c r="G34" t="str">
        <f t="shared" si="0"/>
        <v>Jaket</v>
      </c>
      <c r="H34" s="21">
        <f t="shared" si="1"/>
        <v>801000</v>
      </c>
    </row>
    <row r="35" spans="2:8" x14ac:dyDescent="0.25">
      <c r="B35">
        <v>38</v>
      </c>
      <c r="C35" t="s">
        <v>93</v>
      </c>
      <c r="D35" t="s">
        <v>94</v>
      </c>
      <c r="E35">
        <v>288000</v>
      </c>
      <c r="F35">
        <v>288000</v>
      </c>
      <c r="G35" t="str">
        <f t="shared" si="0"/>
        <v>Rok</v>
      </c>
      <c r="H35" s="21">
        <f t="shared" si="1"/>
        <v>288000</v>
      </c>
    </row>
    <row r="36" spans="2:8" x14ac:dyDescent="0.25">
      <c r="B36">
        <v>39</v>
      </c>
      <c r="C36" t="s">
        <v>95</v>
      </c>
      <c r="D36" t="s">
        <v>96</v>
      </c>
      <c r="E36">
        <v>597000</v>
      </c>
      <c r="F36">
        <v>597000</v>
      </c>
      <c r="G36" t="str">
        <f t="shared" si="0"/>
        <v>Dress</v>
      </c>
      <c r="H36" s="21">
        <f t="shared" si="1"/>
        <v>597000</v>
      </c>
    </row>
    <row r="37" spans="2:8" x14ac:dyDescent="0.25">
      <c r="B37">
        <v>40</v>
      </c>
      <c r="C37" t="s">
        <v>97</v>
      </c>
      <c r="D37" t="s">
        <v>56</v>
      </c>
      <c r="E37">
        <v>165000</v>
      </c>
      <c r="F37" t="str">
        <v>Invalid</v>
      </c>
      <c r="G37" t="str">
        <f t="shared" si="0"/>
        <v>T-Shirt</v>
      </c>
      <c r="H37" s="21">
        <f t="shared" si="1"/>
        <v>165000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A7150-B806-4F1C-A8AB-8E15F87E69E6}">
  <sheetPr>
    <tabColor theme="8" tint="-0.499984740745262"/>
  </sheetPr>
  <dimension ref="A1:L1048576"/>
  <sheetViews>
    <sheetView tabSelected="1" workbookViewId="0">
      <selection activeCell="O2" sqref="O2"/>
    </sheetView>
  </sheetViews>
  <sheetFormatPr defaultRowHeight="15" x14ac:dyDescent="0.25"/>
  <cols>
    <col min="1" max="1" width="4.140625" bestFit="1" customWidth="1"/>
    <col min="2" max="2" width="17.28515625" bestFit="1" customWidth="1"/>
    <col min="3" max="3" width="16.28515625" bestFit="1" customWidth="1"/>
    <col min="4" max="4" width="16.140625" bestFit="1" customWidth="1"/>
    <col min="5" max="5" width="10.85546875" bestFit="1" customWidth="1"/>
    <col min="6" max="6" width="13.42578125" bestFit="1" customWidth="1"/>
    <col min="11" max="11" width="18" customWidth="1"/>
  </cols>
  <sheetData>
    <row r="1" spans="1:12" x14ac:dyDescent="0.25">
      <c r="A1" s="14" t="s">
        <v>31</v>
      </c>
      <c r="B1" s="14" t="s">
        <v>32</v>
      </c>
      <c r="C1" s="25" t="s">
        <v>98</v>
      </c>
      <c r="D1" s="25" t="s">
        <v>33</v>
      </c>
      <c r="E1" s="14" t="s">
        <v>34</v>
      </c>
      <c r="F1" s="26" t="s">
        <v>168</v>
      </c>
      <c r="H1" t="s">
        <v>141</v>
      </c>
    </row>
    <row r="2" spans="1:12" x14ac:dyDescent="0.25">
      <c r="A2" cm="1">
        <f t="array" ref="A2:A26">_xlfn.SEQUENCE(COUNTA(B:B)-1)</f>
        <v>1</v>
      </c>
      <c r="B2" s="22" t="s">
        <v>55</v>
      </c>
      <c r="C2" s="25" t="s">
        <v>101</v>
      </c>
      <c r="D2" s="25" t="s">
        <v>157</v>
      </c>
      <c r="E2" s="23">
        <v>165000</v>
      </c>
      <c r="F2" t="str">
        <f t="shared" ref="F2:F26" si="0">RIGHT(B2,2)</f>
        <v>01</v>
      </c>
      <c r="H2" t="s">
        <v>142</v>
      </c>
      <c r="L2" t="s">
        <v>143</v>
      </c>
    </row>
    <row r="3" spans="1:12" x14ac:dyDescent="0.25">
      <c r="A3">
        <v>2</v>
      </c>
      <c r="B3" s="22" t="s">
        <v>84</v>
      </c>
      <c r="C3" s="25" t="s">
        <v>101</v>
      </c>
      <c r="D3" s="25" t="s">
        <v>164</v>
      </c>
      <c r="E3" s="23">
        <v>192000</v>
      </c>
      <c r="F3" t="str">
        <f t="shared" si="0"/>
        <v>02</v>
      </c>
      <c r="H3" t="s">
        <v>144</v>
      </c>
      <c r="L3" t="s">
        <v>145</v>
      </c>
    </row>
    <row r="4" spans="1:12" x14ac:dyDescent="0.25">
      <c r="A4">
        <v>3</v>
      </c>
      <c r="B4" s="22" t="s">
        <v>61</v>
      </c>
      <c r="C4" s="25" t="s">
        <v>101</v>
      </c>
      <c r="D4" s="25" t="s">
        <v>159</v>
      </c>
      <c r="E4" s="23">
        <v>249000</v>
      </c>
      <c r="F4" t="str">
        <f t="shared" si="0"/>
        <v>03</v>
      </c>
      <c r="H4" t="s">
        <v>146</v>
      </c>
    </row>
    <row r="5" spans="1:12" x14ac:dyDescent="0.25">
      <c r="A5">
        <v>4</v>
      </c>
      <c r="B5" s="22" t="s">
        <v>86</v>
      </c>
      <c r="C5" s="25" t="s">
        <v>101</v>
      </c>
      <c r="D5" s="25" t="s">
        <v>165</v>
      </c>
      <c r="E5" s="23">
        <v>231000</v>
      </c>
      <c r="F5" t="str">
        <f t="shared" si="0"/>
        <v>04</v>
      </c>
      <c r="H5" t="s">
        <v>147</v>
      </c>
      <c r="L5" t="s">
        <v>148</v>
      </c>
    </row>
    <row r="6" spans="1:12" x14ac:dyDescent="0.25">
      <c r="A6">
        <v>5</v>
      </c>
      <c r="B6" s="22" t="s">
        <v>79</v>
      </c>
      <c r="C6" s="25" t="s">
        <v>101</v>
      </c>
      <c r="D6" s="25" t="s">
        <v>92</v>
      </c>
      <c r="E6" s="23">
        <v>801000</v>
      </c>
      <c r="F6" t="str">
        <f t="shared" si="0"/>
        <v>05</v>
      </c>
      <c r="H6" t="s">
        <v>166</v>
      </c>
    </row>
    <row r="7" spans="1:12" x14ac:dyDescent="0.25">
      <c r="A7">
        <v>6</v>
      </c>
      <c r="B7" s="22" t="s">
        <v>44</v>
      </c>
      <c r="C7" s="25" t="s">
        <v>99</v>
      </c>
      <c r="D7" s="25" t="s">
        <v>152</v>
      </c>
      <c r="E7" s="23">
        <v>402000</v>
      </c>
      <c r="F7" t="str">
        <f t="shared" si="0"/>
        <v>06</v>
      </c>
    </row>
    <row r="8" spans="1:12" x14ac:dyDescent="0.25">
      <c r="A8">
        <v>7</v>
      </c>
      <c r="B8" s="22" t="s">
        <v>93</v>
      </c>
      <c r="C8" s="25" t="s">
        <v>99</v>
      </c>
      <c r="D8" s="25" t="s">
        <v>94</v>
      </c>
      <c r="E8" s="23">
        <v>288000</v>
      </c>
      <c r="F8" t="str">
        <f t="shared" si="0"/>
        <v>07</v>
      </c>
    </row>
    <row r="9" spans="1:12" x14ac:dyDescent="0.25">
      <c r="A9">
        <v>8</v>
      </c>
      <c r="B9" s="22" t="s">
        <v>38</v>
      </c>
      <c r="C9" s="25" t="s">
        <v>99</v>
      </c>
      <c r="D9" s="25" t="s">
        <v>39</v>
      </c>
      <c r="E9" s="23">
        <v>195000</v>
      </c>
      <c r="F9" t="str">
        <f t="shared" si="0"/>
        <v>08</v>
      </c>
    </row>
    <row r="10" spans="1:12" x14ac:dyDescent="0.25">
      <c r="A10">
        <v>9</v>
      </c>
      <c r="B10" s="22" t="s">
        <v>73</v>
      </c>
      <c r="C10" s="25" t="s">
        <v>99</v>
      </c>
      <c r="D10" s="25" t="s">
        <v>163</v>
      </c>
      <c r="E10" s="23">
        <v>168000</v>
      </c>
      <c r="F10" t="str">
        <f t="shared" si="0"/>
        <v>09</v>
      </c>
    </row>
    <row r="11" spans="1:12" x14ac:dyDescent="0.25">
      <c r="A11">
        <v>10</v>
      </c>
      <c r="B11" s="22" t="s">
        <v>46</v>
      </c>
      <c r="C11" s="25" t="s">
        <v>99</v>
      </c>
      <c r="D11" s="25" t="s">
        <v>153</v>
      </c>
      <c r="E11" s="23">
        <v>153000</v>
      </c>
      <c r="F11" t="str">
        <f t="shared" si="0"/>
        <v>10</v>
      </c>
    </row>
    <row r="12" spans="1:12" x14ac:dyDescent="0.25">
      <c r="A12">
        <v>11</v>
      </c>
      <c r="B12" s="22" t="s">
        <v>95</v>
      </c>
      <c r="C12" s="25" t="s">
        <v>103</v>
      </c>
      <c r="D12" s="25" t="s">
        <v>96</v>
      </c>
      <c r="E12" s="23">
        <v>597000</v>
      </c>
      <c r="F12" t="str">
        <f t="shared" si="0"/>
        <v>11</v>
      </c>
    </row>
    <row r="13" spans="1:12" x14ac:dyDescent="0.25">
      <c r="A13">
        <v>12</v>
      </c>
      <c r="B13" s="22" t="s">
        <v>40</v>
      </c>
      <c r="C13" s="25" t="s">
        <v>103</v>
      </c>
      <c r="D13" s="25" t="s">
        <v>149</v>
      </c>
      <c r="E13" s="23">
        <v>267000</v>
      </c>
      <c r="F13" t="str">
        <f t="shared" si="0"/>
        <v>12</v>
      </c>
    </row>
    <row r="14" spans="1:12" x14ac:dyDescent="0.25">
      <c r="A14">
        <v>13</v>
      </c>
      <c r="B14" s="22" t="s">
        <v>42</v>
      </c>
      <c r="C14" s="25" t="s">
        <v>103</v>
      </c>
      <c r="D14" s="25" t="s">
        <v>151</v>
      </c>
      <c r="E14" s="23">
        <v>705000</v>
      </c>
      <c r="F14" t="str">
        <f t="shared" si="0"/>
        <v>13</v>
      </c>
    </row>
    <row r="15" spans="1:12" x14ac:dyDescent="0.25">
      <c r="A15">
        <v>14</v>
      </c>
      <c r="B15" s="22" t="s">
        <v>90</v>
      </c>
      <c r="C15" s="25" t="s">
        <v>103</v>
      </c>
      <c r="D15" s="25" t="s">
        <v>91</v>
      </c>
      <c r="E15" s="23">
        <v>276000</v>
      </c>
      <c r="F15" t="str">
        <f t="shared" si="0"/>
        <v>14</v>
      </c>
    </row>
    <row r="16" spans="1:12" x14ac:dyDescent="0.25">
      <c r="A16">
        <v>15</v>
      </c>
      <c r="B16" s="22" t="s">
        <v>88</v>
      </c>
      <c r="C16" s="25" t="s">
        <v>103</v>
      </c>
      <c r="D16" s="25" t="s">
        <v>160</v>
      </c>
      <c r="E16" s="23">
        <v>234000</v>
      </c>
      <c r="F16" t="str">
        <f t="shared" si="0"/>
        <v>15</v>
      </c>
    </row>
    <row r="17" spans="1:6" x14ac:dyDescent="0.25">
      <c r="A17">
        <v>16</v>
      </c>
      <c r="B17" s="22" t="s">
        <v>49</v>
      </c>
      <c r="C17" s="25" t="s">
        <v>100</v>
      </c>
      <c r="D17" s="25" t="s">
        <v>154</v>
      </c>
      <c r="E17" s="23">
        <v>21000</v>
      </c>
      <c r="F17" t="str">
        <f t="shared" si="0"/>
        <v>16</v>
      </c>
    </row>
    <row r="18" spans="1:6" x14ac:dyDescent="0.25">
      <c r="A18">
        <v>17</v>
      </c>
      <c r="B18" s="22" t="s">
        <v>71</v>
      </c>
      <c r="C18" s="25" t="s">
        <v>100</v>
      </c>
      <c r="D18" s="25" t="s">
        <v>162</v>
      </c>
      <c r="E18" s="23">
        <v>135000</v>
      </c>
      <c r="F18" t="str">
        <f t="shared" si="0"/>
        <v>17</v>
      </c>
    </row>
    <row r="19" spans="1:6" x14ac:dyDescent="0.25">
      <c r="A19">
        <v>18</v>
      </c>
      <c r="B19" s="22" t="s">
        <v>59</v>
      </c>
      <c r="C19" s="25" t="s">
        <v>100</v>
      </c>
      <c r="D19" s="25" t="s">
        <v>60</v>
      </c>
      <c r="E19" s="23">
        <v>105000</v>
      </c>
      <c r="F19" t="str">
        <f t="shared" si="0"/>
        <v>18</v>
      </c>
    </row>
    <row r="20" spans="1:6" x14ac:dyDescent="0.25">
      <c r="A20">
        <v>19</v>
      </c>
      <c r="B20" s="22" t="s">
        <v>57</v>
      </c>
      <c r="C20" s="25" t="s">
        <v>100</v>
      </c>
      <c r="D20" s="25" t="s">
        <v>158</v>
      </c>
      <c r="E20" s="23">
        <v>75000</v>
      </c>
      <c r="F20" t="str">
        <f t="shared" si="0"/>
        <v>19</v>
      </c>
    </row>
    <row r="21" spans="1:6" x14ac:dyDescent="0.25">
      <c r="A21">
        <v>20</v>
      </c>
      <c r="B21" s="22" t="s">
        <v>64</v>
      </c>
      <c r="C21" s="25" t="s">
        <v>100</v>
      </c>
      <c r="D21" s="25" t="s">
        <v>150</v>
      </c>
      <c r="E21" s="23">
        <v>246000</v>
      </c>
      <c r="F21" t="str">
        <f t="shared" si="0"/>
        <v>20</v>
      </c>
    </row>
    <row r="22" spans="1:6" x14ac:dyDescent="0.25">
      <c r="A22">
        <v>21</v>
      </c>
      <c r="B22" s="22" t="s">
        <v>66</v>
      </c>
      <c r="C22" s="25" t="s">
        <v>102</v>
      </c>
      <c r="D22" s="25" t="s">
        <v>161</v>
      </c>
      <c r="E22" s="23">
        <v>195000</v>
      </c>
      <c r="F22" t="str">
        <f t="shared" si="0"/>
        <v>21</v>
      </c>
    </row>
    <row r="23" spans="1:6" x14ac:dyDescent="0.25">
      <c r="A23">
        <v>22</v>
      </c>
      <c r="B23" s="22" t="s">
        <v>82</v>
      </c>
      <c r="C23" s="25" t="s">
        <v>102</v>
      </c>
      <c r="D23" s="25" t="s">
        <v>83</v>
      </c>
      <c r="E23" s="23">
        <v>231000</v>
      </c>
      <c r="F23" t="str">
        <f t="shared" si="0"/>
        <v>22</v>
      </c>
    </row>
    <row r="24" spans="1:6" x14ac:dyDescent="0.25">
      <c r="A24">
        <v>23</v>
      </c>
      <c r="B24" s="22" t="s">
        <v>75</v>
      </c>
      <c r="C24" s="25" t="s">
        <v>102</v>
      </c>
      <c r="D24" s="25" t="s">
        <v>76</v>
      </c>
      <c r="E24" s="23">
        <v>135000</v>
      </c>
      <c r="F24" t="str">
        <f t="shared" si="0"/>
        <v>23</v>
      </c>
    </row>
    <row r="25" spans="1:6" x14ac:dyDescent="0.25">
      <c r="A25">
        <v>24</v>
      </c>
      <c r="B25" s="22" t="s">
        <v>51</v>
      </c>
      <c r="C25" s="25" t="s">
        <v>102</v>
      </c>
      <c r="D25" s="25" t="s">
        <v>155</v>
      </c>
      <c r="E25" s="23">
        <v>132000</v>
      </c>
      <c r="F25" t="str">
        <f t="shared" si="0"/>
        <v>24</v>
      </c>
    </row>
    <row r="26" spans="1:6" x14ac:dyDescent="0.25">
      <c r="A26">
        <v>25</v>
      </c>
      <c r="B26" s="22" t="s">
        <v>53</v>
      </c>
      <c r="C26" s="25" t="s">
        <v>102</v>
      </c>
      <c r="D26" s="25" t="s">
        <v>156</v>
      </c>
      <c r="E26" s="23">
        <v>141000</v>
      </c>
      <c r="F26" t="str">
        <f t="shared" si="0"/>
        <v>25</v>
      </c>
    </row>
    <row r="27" spans="1:6" x14ac:dyDescent="0.25">
      <c r="B27" s="26"/>
    </row>
    <row r="1048574" spans="4:4" x14ac:dyDescent="0.25">
      <c r="D1048574" s="24"/>
    </row>
    <row r="1048575" spans="4:4" x14ac:dyDescent="0.25">
      <c r="D1048575" s="24"/>
    </row>
    <row r="1048576" spans="4:4" x14ac:dyDescent="0.25">
      <c r="D1048576" s="24"/>
    </row>
  </sheetData>
  <sortState xmlns:xlrd2="http://schemas.microsoft.com/office/spreadsheetml/2017/richdata2" ref="B2:F26">
    <sortCondition ref="F2:F2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118C8-22A0-40F0-B6E3-4A6064175481}">
  <sheetPr>
    <tabColor theme="8" tint="-0.499984740745262"/>
  </sheetPr>
  <dimension ref="A1:L1048576"/>
  <sheetViews>
    <sheetView topLeftCell="A10" workbookViewId="0">
      <selection activeCell="B29" sqref="B29"/>
    </sheetView>
  </sheetViews>
  <sheetFormatPr defaultRowHeight="15" x14ac:dyDescent="0.25"/>
  <cols>
    <col min="1" max="1" width="13.140625" customWidth="1"/>
    <col min="2" max="2" width="17.28515625" bestFit="1" customWidth="1"/>
    <col min="3" max="3" width="26.7109375" bestFit="1" customWidth="1"/>
    <col min="4" max="4" width="21.5703125" bestFit="1" customWidth="1"/>
    <col min="5" max="5" width="10.85546875" bestFit="1" customWidth="1"/>
    <col min="11" max="11" width="18" customWidth="1"/>
  </cols>
  <sheetData>
    <row r="1" spans="1:12" x14ac:dyDescent="0.25">
      <c r="A1" s="14" t="s">
        <v>31</v>
      </c>
      <c r="B1" s="14" t="s">
        <v>32</v>
      </c>
      <c r="C1" s="25" t="s">
        <v>98</v>
      </c>
      <c r="D1" s="25" t="s">
        <v>33</v>
      </c>
      <c r="E1" s="14" t="s">
        <v>34</v>
      </c>
      <c r="F1" s="26" t="s">
        <v>167</v>
      </c>
      <c r="H1" t="s">
        <v>141</v>
      </c>
    </row>
    <row r="2" spans="1:12" x14ac:dyDescent="0.25">
      <c r="A2" cm="1">
        <f t="array" ref="A2:A27">_xlfn.SEQUENCE(COUNTA(B:B)-1)</f>
        <v>1</v>
      </c>
      <c r="B2" s="22" t="s">
        <v>38</v>
      </c>
      <c r="C2" s="25" t="s">
        <v>99</v>
      </c>
      <c r="D2" s="25" t="s">
        <v>39</v>
      </c>
      <c r="E2" s="23">
        <v>195000</v>
      </c>
      <c r="F2" t="b">
        <f>IF(OR(E2&gt;1000000,E2&lt;20000),FALSE,TRUE)</f>
        <v>1</v>
      </c>
      <c r="H2" t="s">
        <v>142</v>
      </c>
      <c r="L2" t="s">
        <v>143</v>
      </c>
    </row>
    <row r="3" spans="1:12" x14ac:dyDescent="0.25">
      <c r="A3">
        <v>2</v>
      </c>
      <c r="B3" s="22" t="s">
        <v>40</v>
      </c>
      <c r="C3" s="25" t="s">
        <v>103</v>
      </c>
      <c r="D3" s="25" t="s">
        <v>149</v>
      </c>
      <c r="E3" s="23">
        <v>267000</v>
      </c>
      <c r="F3" t="b">
        <f t="shared" ref="F3:F27" si="0">IF(OR(E3&gt;1000000,E3&lt;20000),FALSE,TRUE)</f>
        <v>1</v>
      </c>
      <c r="H3" t="s">
        <v>144</v>
      </c>
      <c r="L3" t="s">
        <v>145</v>
      </c>
    </row>
    <row r="4" spans="1:12" x14ac:dyDescent="0.25">
      <c r="A4">
        <v>3</v>
      </c>
      <c r="B4" s="22" t="s">
        <v>44</v>
      </c>
      <c r="C4" s="25" t="s">
        <v>99</v>
      </c>
      <c r="D4" s="25" t="s">
        <v>152</v>
      </c>
      <c r="E4" s="23">
        <v>402000</v>
      </c>
      <c r="F4" t="b">
        <f t="shared" si="0"/>
        <v>1</v>
      </c>
      <c r="H4" t="s">
        <v>146</v>
      </c>
    </row>
    <row r="5" spans="1:12" x14ac:dyDescent="0.25">
      <c r="A5">
        <v>4</v>
      </c>
      <c r="B5" s="22" t="s">
        <v>46</v>
      </c>
      <c r="C5" s="25" t="s">
        <v>99</v>
      </c>
      <c r="D5" s="25" t="s">
        <v>153</v>
      </c>
      <c r="E5" s="23">
        <v>153000</v>
      </c>
      <c r="F5" t="b">
        <f t="shared" si="0"/>
        <v>1</v>
      </c>
      <c r="H5" t="s">
        <v>147</v>
      </c>
      <c r="L5" t="s">
        <v>148</v>
      </c>
    </row>
    <row r="6" spans="1:12" x14ac:dyDescent="0.25">
      <c r="A6">
        <v>5</v>
      </c>
      <c r="B6" s="22" t="s">
        <v>42</v>
      </c>
      <c r="C6" s="25" t="s">
        <v>103</v>
      </c>
      <c r="D6" s="25" t="s">
        <v>151</v>
      </c>
      <c r="E6" s="23">
        <v>705000</v>
      </c>
      <c r="F6" t="b">
        <f t="shared" si="0"/>
        <v>1</v>
      </c>
      <c r="H6" t="s">
        <v>166</v>
      </c>
    </row>
    <row r="7" spans="1:12" x14ac:dyDescent="0.25">
      <c r="A7">
        <v>6</v>
      </c>
      <c r="B7" s="22" t="s">
        <v>49</v>
      </c>
      <c r="C7" s="25" t="s">
        <v>100</v>
      </c>
      <c r="D7" s="25" t="s">
        <v>154</v>
      </c>
      <c r="E7" s="23">
        <v>21000</v>
      </c>
      <c r="F7" t="b">
        <f t="shared" si="0"/>
        <v>1</v>
      </c>
    </row>
    <row r="8" spans="1:12" x14ac:dyDescent="0.25">
      <c r="A8">
        <v>7</v>
      </c>
      <c r="B8" s="22" t="s">
        <v>51</v>
      </c>
      <c r="C8" s="25" t="s">
        <v>102</v>
      </c>
      <c r="D8" s="25" t="s">
        <v>155</v>
      </c>
      <c r="E8" s="23">
        <v>132000</v>
      </c>
      <c r="F8" t="b">
        <f t="shared" si="0"/>
        <v>1</v>
      </c>
    </row>
    <row r="9" spans="1:12" x14ac:dyDescent="0.25">
      <c r="A9">
        <v>8</v>
      </c>
      <c r="B9" s="22" t="s">
        <v>53</v>
      </c>
      <c r="C9" s="25" t="s">
        <v>102</v>
      </c>
      <c r="D9" s="25" t="s">
        <v>156</v>
      </c>
      <c r="E9" s="23">
        <v>35000</v>
      </c>
      <c r="F9" t="b">
        <f t="shared" si="0"/>
        <v>1</v>
      </c>
    </row>
    <row r="10" spans="1:12" x14ac:dyDescent="0.25">
      <c r="A10">
        <v>9</v>
      </c>
      <c r="B10" s="22" t="s">
        <v>55</v>
      </c>
      <c r="C10" s="25" t="s">
        <v>101</v>
      </c>
      <c r="D10" s="25" t="s">
        <v>157</v>
      </c>
      <c r="E10" s="23">
        <v>165000</v>
      </c>
      <c r="F10" t="b">
        <f t="shared" si="0"/>
        <v>1</v>
      </c>
    </row>
    <row r="11" spans="1:12" x14ac:dyDescent="0.25">
      <c r="A11">
        <v>10</v>
      </c>
      <c r="B11" s="22" t="s">
        <v>57</v>
      </c>
      <c r="C11" s="25" t="s">
        <v>100</v>
      </c>
      <c r="D11" s="25" t="s">
        <v>158</v>
      </c>
      <c r="E11" s="23">
        <v>75000</v>
      </c>
      <c r="F11" t="b">
        <f t="shared" si="0"/>
        <v>1</v>
      </c>
    </row>
    <row r="12" spans="1:12" x14ac:dyDescent="0.25">
      <c r="A12">
        <v>11</v>
      </c>
      <c r="B12" s="22" t="s">
        <v>59</v>
      </c>
      <c r="C12" s="25" t="s">
        <v>100</v>
      </c>
      <c r="D12" s="25" t="s">
        <v>60</v>
      </c>
      <c r="E12" s="23">
        <v>105000</v>
      </c>
      <c r="F12" t="b">
        <f t="shared" si="0"/>
        <v>1</v>
      </c>
    </row>
    <row r="13" spans="1:12" x14ac:dyDescent="0.25">
      <c r="A13">
        <v>12</v>
      </c>
      <c r="B13" s="22" t="s">
        <v>61</v>
      </c>
      <c r="C13" s="25" t="s">
        <v>101</v>
      </c>
      <c r="D13" s="25" t="s">
        <v>159</v>
      </c>
      <c r="E13" s="23">
        <v>249000</v>
      </c>
      <c r="F13" t="b">
        <f t="shared" si="0"/>
        <v>1</v>
      </c>
    </row>
    <row r="14" spans="1:12" x14ac:dyDescent="0.25">
      <c r="A14">
        <v>13</v>
      </c>
      <c r="B14" s="22" t="s">
        <v>64</v>
      </c>
      <c r="C14" s="25" t="s">
        <v>100</v>
      </c>
      <c r="D14" s="25" t="s">
        <v>150</v>
      </c>
      <c r="E14" s="23">
        <v>246000</v>
      </c>
      <c r="F14" t="b">
        <f t="shared" si="0"/>
        <v>1</v>
      </c>
    </row>
    <row r="15" spans="1:12" x14ac:dyDescent="0.25">
      <c r="A15">
        <v>14</v>
      </c>
      <c r="B15" s="22" t="s">
        <v>66</v>
      </c>
      <c r="C15" s="25" t="s">
        <v>102</v>
      </c>
      <c r="D15" s="25" t="s">
        <v>161</v>
      </c>
      <c r="E15" s="23">
        <v>195000</v>
      </c>
      <c r="F15" t="b">
        <f t="shared" si="0"/>
        <v>1</v>
      </c>
    </row>
    <row r="16" spans="1:12" x14ac:dyDescent="0.25">
      <c r="A16">
        <v>15</v>
      </c>
      <c r="B16" s="22" t="s">
        <v>71</v>
      </c>
      <c r="C16" s="25" t="s">
        <v>100</v>
      </c>
      <c r="D16" s="25" t="s">
        <v>162</v>
      </c>
      <c r="E16" s="23">
        <v>135000</v>
      </c>
      <c r="F16" t="b">
        <f t="shared" si="0"/>
        <v>1</v>
      </c>
    </row>
    <row r="17" spans="1:6" x14ac:dyDescent="0.25">
      <c r="A17">
        <v>16</v>
      </c>
      <c r="B17" s="22" t="s">
        <v>73</v>
      </c>
      <c r="C17" s="25" t="s">
        <v>99</v>
      </c>
      <c r="D17" s="25" t="s">
        <v>163</v>
      </c>
      <c r="E17" s="23">
        <v>168000</v>
      </c>
      <c r="F17" t="b">
        <f t="shared" si="0"/>
        <v>1</v>
      </c>
    </row>
    <row r="18" spans="1:6" x14ac:dyDescent="0.25">
      <c r="A18">
        <v>17</v>
      </c>
      <c r="B18" s="22" t="s">
        <v>75</v>
      </c>
      <c r="C18" s="25" t="s">
        <v>102</v>
      </c>
      <c r="D18" s="25" t="s">
        <v>76</v>
      </c>
      <c r="E18" s="23">
        <v>135000</v>
      </c>
      <c r="F18" t="b">
        <f t="shared" si="0"/>
        <v>1</v>
      </c>
    </row>
    <row r="19" spans="1:6" x14ac:dyDescent="0.25">
      <c r="A19">
        <v>18</v>
      </c>
      <c r="B19" s="22" t="s">
        <v>53</v>
      </c>
      <c r="C19" s="25" t="s">
        <v>102</v>
      </c>
      <c r="D19" s="25" t="s">
        <v>156</v>
      </c>
      <c r="E19" s="23">
        <v>141000</v>
      </c>
      <c r="F19" t="b">
        <f t="shared" si="0"/>
        <v>1</v>
      </c>
    </row>
    <row r="20" spans="1:6" x14ac:dyDescent="0.25">
      <c r="A20">
        <v>19</v>
      </c>
      <c r="B20" s="22" t="s">
        <v>79</v>
      </c>
      <c r="C20" s="25" t="s">
        <v>101</v>
      </c>
      <c r="D20" s="25" t="s">
        <v>92</v>
      </c>
      <c r="E20" s="23">
        <v>801000</v>
      </c>
      <c r="F20" t="b">
        <f t="shared" si="0"/>
        <v>1</v>
      </c>
    </row>
    <row r="21" spans="1:6" x14ac:dyDescent="0.25">
      <c r="A21">
        <v>20</v>
      </c>
      <c r="B21" s="22" t="s">
        <v>82</v>
      </c>
      <c r="C21" s="25" t="s">
        <v>102</v>
      </c>
      <c r="D21" s="25" t="s">
        <v>83</v>
      </c>
      <c r="E21" s="23">
        <v>231000</v>
      </c>
      <c r="F21" t="b">
        <f t="shared" si="0"/>
        <v>1</v>
      </c>
    </row>
    <row r="22" spans="1:6" x14ac:dyDescent="0.25">
      <c r="A22">
        <v>21</v>
      </c>
      <c r="B22" s="22" t="s">
        <v>84</v>
      </c>
      <c r="C22" s="25" t="s">
        <v>101</v>
      </c>
      <c r="D22" s="25" t="s">
        <v>164</v>
      </c>
      <c r="E22" s="23">
        <v>192000</v>
      </c>
      <c r="F22" t="b">
        <f t="shared" si="0"/>
        <v>1</v>
      </c>
    </row>
    <row r="23" spans="1:6" x14ac:dyDescent="0.25">
      <c r="A23">
        <v>22</v>
      </c>
      <c r="B23" s="22" t="s">
        <v>86</v>
      </c>
      <c r="C23" s="25" t="s">
        <v>101</v>
      </c>
      <c r="D23" s="25" t="s">
        <v>165</v>
      </c>
      <c r="E23" s="23">
        <v>231000</v>
      </c>
      <c r="F23" t="b">
        <f t="shared" si="0"/>
        <v>1</v>
      </c>
    </row>
    <row r="24" spans="1:6" x14ac:dyDescent="0.25">
      <c r="A24">
        <v>23</v>
      </c>
      <c r="B24" s="22" t="s">
        <v>88</v>
      </c>
      <c r="C24" s="25" t="s">
        <v>103</v>
      </c>
      <c r="D24" s="25" t="s">
        <v>160</v>
      </c>
      <c r="E24" s="23">
        <v>234000</v>
      </c>
      <c r="F24" t="b">
        <f t="shared" si="0"/>
        <v>1</v>
      </c>
    </row>
    <row r="25" spans="1:6" x14ac:dyDescent="0.25">
      <c r="A25">
        <v>24</v>
      </c>
      <c r="B25" s="22" t="s">
        <v>90</v>
      </c>
      <c r="C25" s="25" t="s">
        <v>103</v>
      </c>
      <c r="D25" s="25" t="s">
        <v>91</v>
      </c>
      <c r="E25" s="23">
        <v>276000</v>
      </c>
      <c r="F25" t="b">
        <f t="shared" si="0"/>
        <v>1</v>
      </c>
    </row>
    <row r="26" spans="1:6" x14ac:dyDescent="0.25">
      <c r="A26">
        <v>25</v>
      </c>
      <c r="B26" s="22" t="s">
        <v>93</v>
      </c>
      <c r="C26" s="25" t="s">
        <v>99</v>
      </c>
      <c r="D26" s="25" t="s">
        <v>94</v>
      </c>
      <c r="E26" s="23">
        <v>288000</v>
      </c>
      <c r="F26" t="b">
        <f t="shared" si="0"/>
        <v>1</v>
      </c>
    </row>
    <row r="27" spans="1:6" x14ac:dyDescent="0.25">
      <c r="A27">
        <v>26</v>
      </c>
      <c r="B27" s="22" t="s">
        <v>95</v>
      </c>
      <c r="C27" s="25" t="s">
        <v>103</v>
      </c>
      <c r="D27" s="25" t="s">
        <v>96</v>
      </c>
      <c r="E27" s="23">
        <v>597000</v>
      </c>
      <c r="F27" t="b">
        <f t="shared" si="0"/>
        <v>1</v>
      </c>
    </row>
    <row r="28" spans="1:6" x14ac:dyDescent="0.25">
      <c r="B28" s="26"/>
    </row>
    <row r="1048575" spans="4:4" x14ac:dyDescent="0.25">
      <c r="D1048575" s="24"/>
    </row>
    <row r="1048576" spans="4:4" x14ac:dyDescent="0.25">
      <c r="D1048576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Autofit &amp; Clear format</vt:lpstr>
      <vt:lpstr>Upper lower Case</vt:lpstr>
      <vt:lpstr>Blank dan Duplikat</vt:lpstr>
      <vt:lpstr>Flash Fill</vt:lpstr>
      <vt:lpstr>SOP</vt:lpstr>
      <vt:lpstr>Data Cleaning (3)</vt:lpstr>
      <vt:lpstr>Data Cleaning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Muhamad Rifki Taufik</dc:creator>
  <cp:keywords/>
  <dc:description/>
  <cp:lastModifiedBy>vernanda dwi</cp:lastModifiedBy>
  <cp:revision/>
  <dcterms:created xsi:type="dcterms:W3CDTF">2024-09-07T13:37:17Z</dcterms:created>
  <dcterms:modified xsi:type="dcterms:W3CDTF">2025-11-14T14:00:33Z</dcterms:modified>
  <cp:category/>
  <cp:contentStatus/>
</cp:coreProperties>
</file>