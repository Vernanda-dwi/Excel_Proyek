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ivottable" sheetId="2" r:id="rId5"/>
    <sheet state="visible" name="source dashboard" sheetId="3" r:id="rId6"/>
    <sheet state="visible" name="Hasil pengerjaan" sheetId="4" r:id="rId7"/>
  </sheets>
  <definedNames>
    <definedName name="NativeTimeline_Order_Date1">#REF!</definedName>
    <definedName name="Slicer_City">#REF!</definedName>
    <definedName name="Slicer_Product_Category1">#REF!</definedName>
    <definedName hidden="1" localSheetId="0" name="_xlnm._FilterDatabase">Data!$A$3:$X$1003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KW3sIFvFlvnZdOYj5ZjG3IaTVjNMVsflF3QKeQzeho0="/>
    </ext>
  </extLst>
</workbook>
</file>

<file path=xl/sharedStrings.xml><?xml version="1.0" encoding="utf-8"?>
<sst xmlns="http://schemas.openxmlformats.org/spreadsheetml/2006/main" count="22316" uniqueCount="2832">
  <si>
    <t>Superstore Data</t>
  </si>
  <si>
    <t>=TEXTJOIN(";",TRUE,A4:X4)</t>
  </si>
  <si>
    <t>Text to column</t>
  </si>
  <si>
    <t>Order No</t>
  </si>
  <si>
    <t>Order Date</t>
  </si>
  <si>
    <t>Order Year</t>
  </si>
  <si>
    <t>Customer Name</t>
  </si>
  <si>
    <t>Address</t>
  </si>
  <si>
    <t>City</t>
  </si>
  <si>
    <t>Customer Type</t>
  </si>
  <si>
    <t>Account Manager ID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</si>
  <si>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</si>
  <si>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</si>
  <si>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</si>
  <si>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</si>
  <si>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</si>
  <si>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</si>
  <si>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</si>
  <si>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</si>
  <si>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</si>
  <si>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</si>
  <si>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</si>
  <si>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</si>
  <si>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Rp</t>
  </si>
  <si>
    <t>Total Revenue</t>
  </si>
  <si>
    <t>COGS Total</t>
  </si>
  <si>
    <t>Margin Total</t>
  </si>
  <si>
    <t>Order No;Order Date;Order Year;Customer Name;Address;City;Customer Type;Account Manager ID;Order Priority;Product Name;Product Category;Product Container;Ship Mode;Ship Date;Cost Price;Retail Price;Profit Margin;Order Quantity;Sub Total;Discount %;Discount Rp;Total Revenue;COGS Total;Margin Total</t>
  </si>
  <si>
    <t>5014-1</t>
  </si>
  <si>
    <t>Wawan Riyanti</t>
  </si>
  <si>
    <t>Jl. Antapani Lama No. 705</t>
  </si>
  <si>
    <t>Jakarta</t>
  </si>
  <si>
    <t>Home Office</t>
  </si>
  <si>
    <t>E1028</t>
  </si>
  <si>
    <t>High</t>
  </si>
  <si>
    <t>Artisan Heavy-Duty EZD  Binder With Locking Rings</t>
  </si>
  <si>
    <t>Office Supplies</t>
  </si>
  <si>
    <t>Small Box</t>
  </si>
  <si>
    <t>Regular Air</t>
  </si>
  <si>
    <t>5014-1;42516;2016;Wawan Riyanti;Jl. Antapani Lama No. 705;Jakarta;Home Office;E1028;High;Artisan Heavy-Duty EZD  Binder With Locking Rings;Office Supplies;Small Box;Regular Air;42517;52800;83700;30900;29;2427300;0.03;72819;2354481;1531200;823281</t>
  </si>
  <si>
    <t>5016-1</t>
  </si>
  <si>
    <t>Aditya Nainggolan</t>
  </si>
  <si>
    <t>Jl. Surapati No. 996</t>
  </si>
  <si>
    <t>E1029</t>
  </si>
  <si>
    <t>DrawIt Pizazz Watercolor Pencils, 10-Color Set with Brush</t>
  </si>
  <si>
    <t>Wrap Bag</t>
  </si>
  <si>
    <t>5016-1;42516;2016;Aditya Nainggolan;Jl. Surapati No. 996;Jakarta;Home Office;E1029;High;DrawIt Pizazz Watercolor Pencils, 10-Color Set with Brush;Office Supplies;Wrap Bag;Regular Air;42517;35850;63900;28050;29;1853100;0.03;55593;1797507;1039650;757857</t>
  </si>
  <si>
    <t>5018-1</t>
  </si>
  <si>
    <t>Rafid Sudiati</t>
  </si>
  <si>
    <t>Jalan K.H. Wahid Hasyim No. 5</t>
  </si>
  <si>
    <t>Surabaya</t>
  </si>
  <si>
    <t>Corporate</t>
  </si>
  <si>
    <t>E1030</t>
  </si>
  <si>
    <t>Critical</t>
  </si>
  <si>
    <t>Message Book, One Form per Page</t>
  </si>
  <si>
    <t>Express Air</t>
  </si>
  <si>
    <t>5018-1;42517;2016;Rafid Sudiati;Jalan K.H. Wahid Hasyim No. 5;Surabaya;Corporate;E1030;Critical;Message Book, One Form per Page;Office Supplies;Wrap Bag;Express Air;42519;36150;55650;19500;42;2337300;0.07;163611;2173689;1518300;655389</t>
  </si>
  <si>
    <t>5019-1</t>
  </si>
  <si>
    <t>Pangestu Maulana</t>
  </si>
  <si>
    <t>Gg. Joyoboyo No. 026</t>
  </si>
  <si>
    <t>Cando S750 Color Inkjet Printer</t>
  </si>
  <si>
    <t>Technology</t>
  </si>
  <si>
    <t>Jumbo Drum</t>
  </si>
  <si>
    <t>Delivery Truck</t>
  </si>
  <si>
    <t>5019-1;42518;2016;Pangestu Maulana;Gg. Joyoboyo No. 026;Jakarta;Home Office;E1028;High;Cando S750 Color Inkjet Printer;Technology;Jumbo Drum;Delivery Truck;42520;1125000;1814550;689550;6;10887300;0.08;870984;10016316;6750000;3266316</t>
  </si>
  <si>
    <t>5020-1</t>
  </si>
  <si>
    <t>Pangestu Hariyah</t>
  </si>
  <si>
    <t>Gg. Surapati No. 4</t>
  </si>
  <si>
    <t>Consumer</t>
  </si>
  <si>
    <t>E1031</t>
  </si>
  <si>
    <t>Steady EarthWrite Recycled Pencils, Medium Soft, #2</t>
  </si>
  <si>
    <t>5020-1;42519;2016;Pangestu Hariyah;Gg. Surapati No. 4;Surabaya;Consumer;E1031;Critical;Steady EarthWrite Recycled Pencils, Medium Soft, #2;Office Supplies;Wrap Bag;Regular Air;42520;13500;31500;18000;17;535500;0.03;16065;519435;229500;289935</t>
  </si>
  <si>
    <t>5023-1</t>
  </si>
  <si>
    <t>Nilam Suwarno</t>
  </si>
  <si>
    <t>Low</t>
  </si>
  <si>
    <t>12 Colored Short Pencils</t>
  </si>
  <si>
    <t>5023-1;42522;2016;Nilam Suwarno;Gg. Joyoboyo No. 026;Jakarta;Home Office;E1028;Low;12 Colored Short Pencils;Office Supplies;Wrap Bag;Regular Air;42527;16350;39000;22650;47;1833000;0.1;183300;1649700;768450;881250</t>
  </si>
  <si>
    <t>5024-1</t>
  </si>
  <si>
    <t>Endra Hutapea</t>
  </si>
  <si>
    <t>Gg. Joyoboyo No. 691</t>
  </si>
  <si>
    <t>E1032</t>
  </si>
  <si>
    <t>Multimedia Mailers</t>
  </si>
  <si>
    <t>5024-1;42523;2016;Endra Hutapea;Gg. Joyoboyo No. 691;Surabaya;Corporate;E1032;Critical;Multimedia Mailers;Office Supplies;Small Box;Regular Air;42525;1490850;2443950;953100;32;78206400;0.09;7038576;71167824;47707200;23460624</t>
  </si>
  <si>
    <t>5025-1</t>
  </si>
  <si>
    <t>Embuh Wibisono</t>
  </si>
  <si>
    <t>Jalan Ciwastra No. 383</t>
  </si>
  <si>
    <t>Pizazz Dustless Chalk Sticks</t>
  </si>
  <si>
    <t>5025-1;42525;2016;Embuh Wibisono;Jalan Ciwastra No. 383;Surabaya;Consumer;E1032;Critical;Pizazz Dustless Chalk Sticks;Office Supplies;Wrap Bag;Regular Air;42527;16350;25200;8850;33;831600;0.04;33264;798336;539550;258786</t>
  </si>
  <si>
    <t>5027-1</t>
  </si>
  <si>
    <t>Unggul Zulaika</t>
  </si>
  <si>
    <t>Jl. Jend. Sudirman No. 0</t>
  </si>
  <si>
    <t>Small Business</t>
  </si>
  <si>
    <t>Not Specified</t>
  </si>
  <si>
    <t>TypeRight Side-Opening Peel &amp; Seel Expanding Envelopes</t>
  </si>
  <si>
    <t>5027-1;42527;2016;Unggul Zulaika;Jl. Jend. Sudirman No. 0;Surabaya;Small Business;E1030;Not Specified;TypeRight Side-Opening Peel &amp; Seel Expanding Envelopes;Office Supplies;Small Box;Regular Air;42528;814350;1357200;542850;8;10857600;0.07;760032;10097568;6514800;3582768</t>
  </si>
  <si>
    <t>5029-1</t>
  </si>
  <si>
    <t>Gina Rajata</t>
  </si>
  <si>
    <t>Gang Gedebage Selatan No. 424</t>
  </si>
  <si>
    <t>E1033</t>
  </si>
  <si>
    <t>Artisan Printable Repositionable Plastic Tabs</t>
  </si>
  <si>
    <t>5029-1;42528;2016;Gina Rajata;Gang Gedebage Selatan No. 424;Surabaya;Corporate;E1033;Not Specified;Artisan Printable Repositionable Plastic Tabs;Office Supplies;Small Box;Regular Air;42528;79950;129000;49050;48;6192000;0;0;6192000;3837600;2354400</t>
  </si>
  <si>
    <t>5031-1</t>
  </si>
  <si>
    <t>Opung Kuswoyo</t>
  </si>
  <si>
    <t>Gg. Otto Iskandardinata No. 6</t>
  </si>
  <si>
    <t>Medium</t>
  </si>
  <si>
    <t>Security-Tint Envelopes</t>
  </si>
  <si>
    <t>5031-1;42530;2016;Opung Kuswoyo;Gg. Otto Iskandardinata No. 6;Jakarta;Corporate;E1029;Medium;Security-Tint Envelopes;Office Supplies;Small Box;Regular Air;42532;73350;114600;41250;18;2062800;0.1;206280;1856520;1320300;536220</t>
  </si>
  <si>
    <t>5033-1</t>
  </si>
  <si>
    <t>Rafi Januar</t>
  </si>
  <si>
    <t>Gg. Waringin No. 112</t>
  </si>
  <si>
    <t>E1034</t>
  </si>
  <si>
    <t>5033-1;42530;2016;Rafi Januar;Gg. Waringin No. 112;Surabaya;Corporate;E1034;Medium;TypeRight Side-Opening Peel &amp; Seel Expanding Envelopes;Office Supplies;Small Box;Regular Air;42532;814350;1357200;542850;3;4071600;0.03;122148;3949452;2443050;1506402</t>
  </si>
  <si>
    <t>5034-1</t>
  </si>
  <si>
    <t>Ajimat Hutapea</t>
  </si>
  <si>
    <t>Jl. Dipenogoro No. 422</t>
  </si>
  <si>
    <t>Artisan Arch Ring Binders</t>
  </si>
  <si>
    <t>5034-1;42531;2016;Ajimat Hutapea;Jl. Dipenogoro No. 422;Surabaya;Corporate;E1032;High;Artisan Arch Ring Binders;Office Supplies;Small Box;Regular Air;42531;540300;871500;331200;50;43575000;0.05;2178750;41396250;27015000;14381250</t>
  </si>
  <si>
    <t>5036-1</t>
  </si>
  <si>
    <t>Rafi Anggriawan</t>
  </si>
  <si>
    <t>Gg. Stasiun Wonokromo No. 0</t>
  </si>
  <si>
    <t>OIC Thumb-Tacks</t>
  </si>
  <si>
    <t>5036-1;42540;2016;Rafi Anggriawan;Gg. Stasiun Wonokromo No. 0;Jakarta;Corporate;E1028;Critical;OIC Thumb-Tacks;Office Supplies;Wrap Bag;Regular Air;42543;10650;17100;6450;50;855000;0.06;51300;803700;532500;271200</t>
  </si>
  <si>
    <t>5037-1</t>
  </si>
  <si>
    <t>Balamantri Mandasari</t>
  </si>
  <si>
    <t>Gang Sadang Serang No. 74</t>
  </si>
  <si>
    <t>E1035</t>
  </si>
  <si>
    <t>Apex Elite Stainless Steel Scissors</t>
  </si>
  <si>
    <t>Small Pack</t>
  </si>
  <si>
    <t>5037-1;42544;2016;Balamantri Mandasari;Gang Sadang Serang No. 74;Surabaya;Home Office;E1035;Critical;Apex Elite Stainless Steel Scissors;Office Supplies;Small Pack;Regular Air;42546;51300;125100;73800;16;2001600;0.03;60048;1941552;820800;1120752</t>
  </si>
  <si>
    <t>5038-1</t>
  </si>
  <si>
    <t>Gaduh Hassanah</t>
  </si>
  <si>
    <t>5038-1;42546;2016;Gaduh Hassanah;Gg. Otto Iskandardinata No. 6;Jakarta;Corporate;E1029;Low;OIC Thumb-Tacks;Office Supplies;Wrap Bag;Regular Air;42546;10650;17100;6450;38;649800;0.02;12996;636804;404700;232104</t>
  </si>
  <si>
    <t>5039-1</t>
  </si>
  <si>
    <t>Bagya Permadi</t>
  </si>
  <si>
    <t>Jalan Jamika No. 4</t>
  </si>
  <si>
    <t>Alto Parchment Paper, Assorted Colors</t>
  </si>
  <si>
    <t>5039-1;42548;2016;Bagya Permadi;Jalan Jamika No. 4;Surabaya;Corporate;E1033;Medium;Alto Parchment Paper, Assorted Colors;Office Supplies;Small Box;Regular Air;42549;68850;109200;40350;22;2402400;0.01;24024;2378376;1514700;863676</t>
  </si>
  <si>
    <t>5040-1</t>
  </si>
  <si>
    <t>Labuh Permata</t>
  </si>
  <si>
    <t>Jalan Jend. A. Yani No. 48</t>
  </si>
  <si>
    <t>E1036</t>
  </si>
  <si>
    <t>Steady Colorific Colored Pencils, 12/Box</t>
  </si>
  <si>
    <t>5040-1;42549;2016;Labuh Permata;Jalan Jend. A. Yani No. 48;Surabaya;Small Business;E1036;Low;Steady Colorific Colored Pencils, 12/Box;Office Supplies;Wrap Bag;Regular Air;42553;19500;43200;23700;48;2073600;0.07;145152;1928448;936000;992448</t>
  </si>
  <si>
    <t>5043-1</t>
  </si>
  <si>
    <t>Lantar Yuliarti</t>
  </si>
  <si>
    <t>Jl. Astana Anyar No. 51</t>
  </si>
  <si>
    <t>Smiths Gold Paper Clips</t>
  </si>
  <si>
    <t>5043-1;42556;2016;Lantar Yuliarti;Jl. Astana Anyar No. 51;Surabaya;Small Business;E1031;High;Smiths Gold Paper Clips;Office Supplies;Wrap Bag;Regular Air;42559;27300;44700;17400;22;983400;0.04;39336;944064;600600;343464</t>
  </si>
  <si>
    <t>5045-1</t>
  </si>
  <si>
    <t>Darijan Pratiwi</t>
  </si>
  <si>
    <t>Gang Otto Iskandardinata No. 167</t>
  </si>
  <si>
    <t>E1037</t>
  </si>
  <si>
    <t>UGen RF Keyboard</t>
  </si>
  <si>
    <t>5045-1;42559;2016;Darijan Pratiwi;Gang Otto Iskandardinata No. 167;Surabaya;Consumer;E1037;Not Specified;UGen RF Keyboard;Technology;Small Box;Regular Air;42561;1223850;2399850;1176000;30;71995500;0.01;719955;71275545;36715500;34560045</t>
  </si>
  <si>
    <t>5047-1</t>
  </si>
  <si>
    <t>Ami Utami</t>
  </si>
  <si>
    <t>Jl. S. Parman No. 91</t>
  </si>
  <si>
    <t>5047-1;42560;2016;Ami Utami;Jl. S. Parman No. 91;Surabaya;Home Office;E1034;Low;Artisan Printable Repositionable Plastic Tabs;Office Supplies;Small Box;Regular Air;42567;79950;129000;49050;37;4773000;0.04;190920;4582080;2958150;1623930</t>
  </si>
  <si>
    <t>5048-1</t>
  </si>
  <si>
    <t>Citra Riyanti</t>
  </si>
  <si>
    <t>Smiths Standard Envelopes</t>
  </si>
  <si>
    <t>5048-1;42560;2016;Citra Riyanti;Jalan Jend. A. Yani No. 48;Surabaya;Small Business;E1036;Medium;Smiths Standard Envelopes;Office Supplies;Small Box;Regular Air;42560;52800;85200;32400;24;2044800;0.06;122688;1922112;1267200;654912</t>
  </si>
  <si>
    <t>5049-1</t>
  </si>
  <si>
    <t>Aris Ardianto</t>
  </si>
  <si>
    <t>Gg. Suniaraja No. 21</t>
  </si>
  <si>
    <t>Office Shears by Apex</t>
  </si>
  <si>
    <t>5049-1;42563;2016;Aris Ardianto;Gg. Suniaraja No. 21;Surabaya;Corporate;E1031;Not Specified;Office Shears by Apex;Office Supplies;Small Pack;Regular Air;42564;14100;31200;17100;4;124800;0.02;2496;122304;56400;65904</t>
  </si>
  <si>
    <t>5050-1</t>
  </si>
  <si>
    <t>Kenes Nababan</t>
  </si>
  <si>
    <t>Gg. M.H Thamrin No. 784</t>
  </si>
  <si>
    <t>5050-1;42583;2016;Kenes Nababan;Gg. M.H Thamrin No. 784;Jakarta;Corporate;E1029;Not Specified;Artisan Printable Repositionable Plastic Tabs;Office Supplies;Small Box;Regular Air;42584;79950;129000;49050;36;4644000;0.06;278640;4365360;2878200;1487160</t>
  </si>
  <si>
    <t>5052-1</t>
  </si>
  <si>
    <t>Cindy Maryati</t>
  </si>
  <si>
    <t>Gg. Jakarta No. 646</t>
  </si>
  <si>
    <t>EcoTones Memo Sheets</t>
  </si>
  <si>
    <t>5052-1;42584;2016;Cindy Maryati;Gg. Jakarta No. 646;Jakarta;Small Business;E1029;Not Specified;EcoTones Memo Sheets;Office Supplies;Wrap Bag;Regular Air;42586;37800;60000;22200;31;1860000;0.01;18600;1841400;1171800;669600</t>
  </si>
  <si>
    <t>5055-1</t>
  </si>
  <si>
    <t>Prakosa Budiman</t>
  </si>
  <si>
    <t>Gg. Dr. Djunjunan No. 33</t>
  </si>
  <si>
    <t>Smiths Premium Bright 1-Part Blank Computer Paper</t>
  </si>
  <si>
    <t>5055-1;42591;2016;Prakosa Budiman;Gg. Dr. Djunjunan No. 33;Surabaya;Home Office;E1032;High;Smiths Premium Bright 1-Part Blank Computer Paper;Office Supplies;Small Box;Express Air;42592;114150;184200;70050;29;5341800;0;0;5341800;3310350;2031450</t>
  </si>
  <si>
    <t>5057-1</t>
  </si>
  <si>
    <t>Padma Nugroho</t>
  </si>
  <si>
    <t>Gg. Monginsidi No. 3</t>
  </si>
  <si>
    <t>Artisan 479 Labels</t>
  </si>
  <si>
    <t>5057-1;42592;2016;Padma Nugroho;Gg. Monginsidi No. 3;Jakarta;Corporate;E1029;Medium;Artisan 479 Labels;Office Supplies;Small Box;Regular Air;42594;23850;39150;15300;9;352350;0.06;21141;331209;214650;116559</t>
  </si>
  <si>
    <t>5059-1</t>
  </si>
  <si>
    <t>Ani Maryadi</t>
  </si>
  <si>
    <t>Gang Soekarno Hatta No. 2</t>
  </si>
  <si>
    <t>E1038</t>
  </si>
  <si>
    <t>Beekin 105-Key Black Keyboard</t>
  </si>
  <si>
    <t>5059-1;42592;2016;Ani Maryadi;Gang Soekarno Hatta No. 2;Surabaya;Corporate;E1038;Medium;Beekin 105-Key Black Keyboard;Technology;Small Box;Regular Air;42592;95850;299700;203850;7;2097900;0.01;20979;2076921;670950;1405971</t>
  </si>
  <si>
    <t>5060-1</t>
  </si>
  <si>
    <t>Bakidin Anggraini</t>
  </si>
  <si>
    <t>Jl. Rumah Sakit No. 738</t>
  </si>
  <si>
    <t>Adesso Programmable 142-Key Keyboard</t>
  </si>
  <si>
    <t>5060-1;42594;2016;Bakidin Anggraini;Jl. Rumah Sakit No. 738;Jakarta;Corporate;E1028;Medium;Adesso Programmable 142-Key Keyboard;Technology;Small Box;Express Air;42595;480300;2287200;1806900;16;36595200;0.1;3659520;32935680;7684800;25250880</t>
  </si>
  <si>
    <t>5061-1</t>
  </si>
  <si>
    <t>Koko Setiawan</t>
  </si>
  <si>
    <t>Gang Yos Sudarso No. 13</t>
  </si>
  <si>
    <t>E1039</t>
  </si>
  <si>
    <t>5061-1;42594;2016;Koko Setiawan;Gang Yos Sudarso No. 13;Surabaya;Small Business;E1039;Not Specified;Smiths Premium Bright 1-Part Blank Computer Paper;Office Supplies;Small Box;Regular Air;42596;114150;184200;70050;27;4973400;0.03;149202;4824198;3082050;1742148</t>
  </si>
  <si>
    <t>5062-1</t>
  </si>
  <si>
    <t>Teddy Yuniar</t>
  </si>
  <si>
    <t>TechSavi Access Keyboard</t>
  </si>
  <si>
    <t>5062-1;42594;2016;Teddy Yuniar;Jl. Jend. Sudirman No. 0;Surabaya;Consumer;E1030;Not Specified;TechSavi Access Keyboard;Technology;Small Box;Regular Air;42596;151050;239700;88650;39;9348300;0.09;841347;8506953;5890950;2616003</t>
  </si>
  <si>
    <t>5063-1</t>
  </si>
  <si>
    <t>Narji Wastuti</t>
  </si>
  <si>
    <t>Smiths SlimLine Pencil Sharpener</t>
  </si>
  <si>
    <t>5063-1;42595;2016;Narji Wastuti;Gg. Joyoboyo No. 026;Jakarta;Corporate;E1028;Not Specified;Smiths SlimLine Pencil Sharpener;Office Supplies;Small Pack;Regular Air;42597;71850;179550;107700;7;1256850;0.05;62842.5;1194007.5;502950;691057.5</t>
  </si>
  <si>
    <t>5064-1</t>
  </si>
  <si>
    <t>Ami Maheswara</t>
  </si>
  <si>
    <t>Artisan Premier Heavy-Duty Binder with Round Locking Rings</t>
  </si>
  <si>
    <t>5064-1;42596;2016;Ami Maheswara;Jl. Rumah Sakit No. 738;Jakarta;Home Office;E1028;Not Specified;Artisan Premier Heavy-Duty Binder with Round Locking Rings;Office Supplies;Small Box;Regular Air;42597;130650;214200;83550;42;8996400;0.1;899640;8096760;5487300;2609460</t>
  </si>
  <si>
    <t>5066-1</t>
  </si>
  <si>
    <t>Pandu Mustofa</t>
  </si>
  <si>
    <t>Gang Asia Afrika No. 72</t>
  </si>
  <si>
    <t>5066-1;42596;2016;Pandu Mustofa;Gang Asia Afrika No. 72;Surabaya;Small Business;E1037;Critical;TypeRight Side-Opening Peel &amp; Seel Expanding Envelopes;Office Supplies;Small Box;Regular Air;42597;814350;1357200;542850;15;20358000;0.05;1017900;19340100;12215250;7124850</t>
  </si>
  <si>
    <t>5068-1</t>
  </si>
  <si>
    <t>Ganep Waluyo</t>
  </si>
  <si>
    <t>Jl. Jamika No. 246</t>
  </si>
  <si>
    <t>5068-1;42597;2016;Ganep Waluyo;Jl. Jamika No. 246;Surabaya;Small Business;E1038;Critical;Smiths Standard Envelopes;Office Supplies;Small Box;Regular Air;42599;52800;85200;32400;20;1704000;0.07;119280;1584720;1056000;528720</t>
  </si>
  <si>
    <t>5070-1</t>
  </si>
  <si>
    <t>Elma Agustina</t>
  </si>
  <si>
    <t>Steady Liquid Accent Highlighters</t>
  </si>
  <si>
    <t>5070-1;42598;2016;Elma Agustina;Gg. Waringin No. 112;Surabaya;Corporate;E1034;Critical;Steady Liquid Accent Highlighters;Office Supplies;Wrap Bag;Regular Air;42600;52050;100200;48150;41;4108200;0.08;328656;3779544;2134050;1645494</t>
  </si>
  <si>
    <t>5071-1</t>
  </si>
  <si>
    <t>Wani Astuti</t>
  </si>
  <si>
    <t>Gg. Siliwangi No. 82</t>
  </si>
  <si>
    <t>Laser Neon Mac Format Diskettes, 10/Pack</t>
  </si>
  <si>
    <t>5071-1;42599;2016;Wani Astuti;Gg. Siliwangi No. 82;Surabaya;Corporate;E1036;Medium;Laser Neon Mac Format Diskettes, 10/Pack;Technology;Small Pack;Regular Air;42600;28050;33379.5;5329.50000000001;41;1368559.5;0.06;82113.57;1286445.93;1150050;136395.93</t>
  </si>
  <si>
    <t>5071-2</t>
  </si>
  <si>
    <t>5071-2;42599;2016;Wani Astuti;Gg. Siliwangi No. 82;Surabaya;Corporate;E1036;Medium;Steady Liquid Accent Highlighters;Office Supplies;Wrap Bag;Regular Air;42600;52050;100200;48150;2;200400;0.01;2004;198396;104100;94296</t>
  </si>
  <si>
    <t>5075-1</t>
  </si>
  <si>
    <t>Raditya Uwais</t>
  </si>
  <si>
    <t>5075-1;42599;2016;Raditya Uwais;Jl. Antapani Lama No. 705;Jakarta;Corporate;E1028;Low;TechSavi Access Keyboard;Technology;Small Box;Regular Air;42604;151050;239700;88650;34;8149800;0.1;814980;7334820;5135700;2199120</t>
  </si>
  <si>
    <t>5077-1</t>
  </si>
  <si>
    <t>Cahyono Hidayanto</t>
  </si>
  <si>
    <t>Jl. Gardujati No. 82</t>
  </si>
  <si>
    <t>5077-1;42601;2016;Cahyono Hidayanto;Jl. Gardujati No. 82;Surabaya;Small Business;E1037;Not Specified;Smiths SlimLine Pencil Sharpener;Office Supplies;Small Pack;Regular Air;42603;71850;179550;107700;18;3231900;0.08;258552;2973348;1293300;1680048</t>
  </si>
  <si>
    <t>5079-1</t>
  </si>
  <si>
    <t>Rika Uwais</t>
  </si>
  <si>
    <t>Gang Pacuan Kuda No. 04</t>
  </si>
  <si>
    <t>1726 Digital Answering Machine</t>
  </si>
  <si>
    <t>Medium Box</t>
  </si>
  <si>
    <t>5079-1;42603;2016;Rika Uwais;Gang Pacuan Kuda No. 04;Surabaya;Home Office;E1037;Critical;1726 Digital Answering Machine;Technology;Medium Box;Express Air;42604;132300;314850;182550;8;2518800;0.09;226692;2292108;1058400;1233708</t>
  </si>
  <si>
    <t>5081-1</t>
  </si>
  <si>
    <t>Indra Jailani</t>
  </si>
  <si>
    <t>5081-1;42603;2016;Indra Jailani;Gg. Jakarta No. 646;Jakarta;Consumer;E1029;Critical;Pizazz Dustless Chalk Sticks;Office Supplies;Wrap Bag;Regular Air;42605;16350;25200;8850;18;453600;0.06;27216;426384;294300;132084</t>
  </si>
  <si>
    <t>5084-1</t>
  </si>
  <si>
    <t>5084-1;42607;2016;Aditya Nainggolan;Jl. Surapati No. 996;Jakarta;Home Office;E1029;Medium;EcoTones Memo Sheets;Office Supplies;Wrap Bag;Express Air;42609;37800;60000;22200;19;1140000;0.09;102600;1037400;718200;319200</t>
  </si>
  <si>
    <t>5086-1</t>
  </si>
  <si>
    <t>Umaya Yulianti</t>
  </si>
  <si>
    <t>Jl. Ciwastra No. 543</t>
  </si>
  <si>
    <t>Artisan Flip-Chart Easel Binder, Black</t>
  </si>
  <si>
    <t>5086-1;42608;2016;Umaya Yulianti;Jl. Ciwastra No. 543;Jakarta;Home Office;E1029;High;Artisan Flip-Chart Easel Binder, Black;Office Supplies;Small Box;Regular Air;42609;208200;335700;127500;26;8728200;0.1;872820;7855380;5413200;2442180</t>
  </si>
  <si>
    <t>5087-1</t>
  </si>
  <si>
    <t>Yuni Pradipta</t>
  </si>
  <si>
    <t>Jalan Jayawijaya No. 5</t>
  </si>
  <si>
    <t>DrawIt Colored Pencils, 48-Color Set</t>
  </si>
  <si>
    <t>5087-1;42608;2016;Yuni Pradipta;Jalan Jayawijaya No. 5;Surabaya;Corporate;E1033;Not Specified;DrawIt Colored Pencils, 48-Color Set;Office Supplies;Wrap Bag;Regular Air;42610;323400;548250;224850;45;24671250;0.1;2467125;22204125;14553000;7651125</t>
  </si>
  <si>
    <t>5089-1</t>
  </si>
  <si>
    <t>Kasiran Firgantoro</t>
  </si>
  <si>
    <t>Jalan Gardujati No. 513</t>
  </si>
  <si>
    <t>600 Series Non-Flip</t>
  </si>
  <si>
    <t>5089-1;42609;2016;Kasiran Firgantoro;Jalan Gardujati No. 513;Surabaya;Consumer;E1036;High;600 Series Non-Flip;Technology;Small Box;Express Air;42610;296700;689850;393150;14;9657900;0.02;193158;9464742;4153800;5310942</t>
  </si>
  <si>
    <t>5091-1</t>
  </si>
  <si>
    <t>Gara Aryani</t>
  </si>
  <si>
    <t>Gang R.E Martadinata No. 969</t>
  </si>
  <si>
    <t>210 Trimline Phone, White</t>
  </si>
  <si>
    <t>5091-1;42613;2016;Gara Aryani;Gang R.E Martadinata No. 969;Surabaya;Home Office;E1036;High;210 Trimline Phone, White;Technology;Medium Box;Regular Air;42614;148650;239850;91200;7;1678950;0.03;50368.5;1628581.5;1040550;588031.5</t>
  </si>
  <si>
    <t>5093-1</t>
  </si>
  <si>
    <t>Steady Major Accent Highlighters</t>
  </si>
  <si>
    <t>5093-1;42613;2016;Ami Maheswara;Jl. Rumah Sakit No. 738;Jakarta;Home Office;E1028;Not Specified;Steady Major Accent Highlighters;Office Supplies;Wrap Bag;Regular Air;42614;56250;106200;49950;29;3079800;0.04;123192;2956608;1631250;1325358</t>
  </si>
  <si>
    <t>5095-1</t>
  </si>
  <si>
    <t>Saadat Hutapea</t>
  </si>
  <si>
    <t>Jalan PHH. Mustofa No. 625</t>
  </si>
  <si>
    <t>Aluminum Document Frame</t>
  </si>
  <si>
    <t>Furniture</t>
  </si>
  <si>
    <t>5095-1;42614;2016;Saadat Hutapea;Jalan PHH. Mustofa No. 625;Surabaya;Corporate;E1034;High;Aluminum Document Frame;Furniture;Small Pack;Regular Air;42615;82500;183300;100800;35;6415500;0;0;6415500;2887500;3528000</t>
  </si>
  <si>
    <t>5097-1</t>
  </si>
  <si>
    <t>Asman Dongoran</t>
  </si>
  <si>
    <t>Artisan Legal 4-Ring Binder</t>
  </si>
  <si>
    <t>5097-1;42614;2016;Asman Dongoran;Jl. Astana Anyar No. 51;Surabaya;Small Business;E1031;Not Specified;Artisan Legal 4-Ring Binder;Office Supplies;Small Box;Regular Air;42616;204600;314700;110100;47;14790900;0.1;1479090;13311810;9616200;3695610</t>
  </si>
  <si>
    <t>5099-1</t>
  </si>
  <si>
    <t>5099-1;42615;2016;Raditya Uwais;Jl. Antapani Lama No. 705;Jakarta;Consumer;E1028;High;Apex Elite Stainless Steel Scissors;Office Supplies;Small Pack;Regular Air;42615;51300;125100;73800;24;3002400;0.1;300240;2702160;1231200;1470960</t>
  </si>
  <si>
    <t>5101-1</t>
  </si>
  <si>
    <t>Cengkal Prastuti</t>
  </si>
  <si>
    <t>Gang Setiabudhi No. 1</t>
  </si>
  <si>
    <t>Bandung</t>
  </si>
  <si>
    <t>5101-1;42616;2016;Cengkal Prastuti;Gang Setiabudhi No. 1;Bandung;Small Business;E1036;Critical;Alto Parchment Paper, Assorted Colors;Office Supplies;Small Box;Express Air;42617;68850;109200;40350;2;218400;0.08;17472;200928;137700;63228</t>
  </si>
  <si>
    <t>5103-1</t>
  </si>
  <si>
    <t>Danang Uyainah</t>
  </si>
  <si>
    <t>Jalan Moch. Ramdan No. 338</t>
  </si>
  <si>
    <t>Smiths General Use 3-Ring Binders</t>
  </si>
  <si>
    <t>5103-1;42616;2016;Danang Uyainah;Jalan Moch. Ramdan No. 338;Jakarta;Corporate;E1028;Critical;Smiths General Use 3-Ring Binders;Office Supplies;Small Box;Regular Air;42618;17700;28200;10500;1;28200;0.05;1410;26790;17700;9090</t>
  </si>
  <si>
    <t>5104-1</t>
  </si>
  <si>
    <t>Cager Prayoga</t>
  </si>
  <si>
    <t>Gg. Stasiun Wonokromo No. 32</t>
  </si>
  <si>
    <t>Alto Keyboard-In-A-Box</t>
  </si>
  <si>
    <t>5104-1;42617;2016;Cager Prayoga;Gg. Stasiun Wonokromo No. 32;Surabaya;Home Office;E1036;Medium;Alto Keyboard-In-A-Box;Technology;Small Box;Express Air;42619;96000;436500;340500;33;14404500;0.01;144045;14260455;3168000;11092455</t>
  </si>
  <si>
    <t>5106-1</t>
  </si>
  <si>
    <t>Joko Mangunsong</t>
  </si>
  <si>
    <t>Artisan 48 Labels</t>
  </si>
  <si>
    <t>5106-1;42620;2016;Joko Mangunsong;Gang Otto Iskandardinata No. 167;Surabaya;Small Business;E1037;Critical;Artisan 48 Labels;Office Supplies;Small Box;Regular Air;42620;57600;94500;36900;42;3969000;0.07;277830;3691170;2419200;1271970</t>
  </si>
  <si>
    <t>5108-1</t>
  </si>
  <si>
    <t>Gandewa Hariyah</t>
  </si>
  <si>
    <t>Jl. Sadang Serang No. 015</t>
  </si>
  <si>
    <t>UGen Ultra Professional Cordless Optical Suite</t>
  </si>
  <si>
    <t>5108-1;42621;2016;Gandewa Hariyah;Jl. Sadang Serang No. 015;Surabaya;Home Office;E1036;Medium;UGen Ultra Professional Cordless Optical Suite;Technology;Small Box;Regular Air;42622;2347500;4514550;2167050;14;63203700;0.1;6320370;56883330;32865000;24018330</t>
  </si>
  <si>
    <t>5109-1</t>
  </si>
  <si>
    <t>Candrakanta Aryani</t>
  </si>
  <si>
    <t>Gg. Pacuan Kuda No. 49</t>
  </si>
  <si>
    <t>OIC Colored Binder Clips, Assorted Sizes</t>
  </si>
  <si>
    <t>5109-1;42622;2016;Candrakanta Aryani;Gg. Pacuan Kuda No. 49;Surabaya;Corporate;E1037;Low;OIC Colored Binder Clips, Assorted Sizes;Office Supplies;Wrap Bag;Regular Air;42626;34350;53700;19350;38;2040600;0.06;122436;1918164;1305300;612864</t>
  </si>
  <si>
    <t>5111-1</t>
  </si>
  <si>
    <t>Enteng Simbolon</t>
  </si>
  <si>
    <t>Gg. Raya Ujungberung No. 54</t>
  </si>
  <si>
    <t>Colored Envelopes</t>
  </si>
  <si>
    <t>5111-1;42623;2016;Enteng Simbolon;Gg. Raya Ujungberung No. 54;Bandung;Home Office;E1039;High;Colored Envelopes;Office Supplies;Small Box;Express Air;42623;33750;55350;21600;35;1937250;0.03;58117.5;1879132.5;1181250;697882.5</t>
  </si>
  <si>
    <t>5112-1</t>
  </si>
  <si>
    <t>Limar Laksmiwati</t>
  </si>
  <si>
    <t>Xit Blank Computer Paper</t>
  </si>
  <si>
    <t>5112-1;42623;2016;Limar Laksmiwati;Gang Sadang Serang No. 74;Bandung;Small Business;E1039;Medium;Xit Blank Computer Paper;Office Supplies;Small Box;Express Air;42623;185850;299700;113850;13;3896100;0.1;389610;3506490;2416050;1090440</t>
  </si>
  <si>
    <t>5113-1</t>
  </si>
  <si>
    <t>Gara Purwanti</t>
  </si>
  <si>
    <t>Jl. Surapati No. 30</t>
  </si>
  <si>
    <t>Alto Perma 2700 Stacking Storage Drawers</t>
  </si>
  <si>
    <t>5113-1;42625;2016;Gara Purwanti;Jl. Surapati No. 30;Surabaya;Corporate;E1031;Medium;Alto Perma 2700 Stacking Storage Drawers;Office Supplies;Small Box;Regular Air;42625;133800;446100;312300;14;6245400;0.02;124908;6120492;1873200;4247292</t>
  </si>
  <si>
    <t>5114-1</t>
  </si>
  <si>
    <t>Cakrawala Yuniar</t>
  </si>
  <si>
    <t>TechSavi Cordless Elite Duo</t>
  </si>
  <si>
    <t>5114-1;42625;2016;Cakrawala Yuniar;Jalan Jend. A. Yani No. 48;Surabaya;Small Business;E1036;Not Specified;TechSavi Cordless Elite Duo;Technology;Small Box;Regular Air;42627;908850;1514700;605850;33;49985100;0.05;2499255;47485845;29992050;17493795</t>
  </si>
  <si>
    <t>5115-1</t>
  </si>
  <si>
    <t>Gamani Laksmiwati</t>
  </si>
  <si>
    <t>Wirebound Message Book, 4 per Page</t>
  </si>
  <si>
    <t>5115-1;42625;2016;Gamani Laksmiwati;Jl. Antapani Lama No. 705;Jakarta;Consumer;E1028;Low;Wirebound Message Book, 4 per Page;Office Supplies;Wrap Bag;Regular Air;42629;52200;81450;29250;29;2362050;0.07;165343.5;2196706.5;1513800;682906.5</t>
  </si>
  <si>
    <t>5117-1</t>
  </si>
  <si>
    <t>Caturangga Dabukke</t>
  </si>
  <si>
    <t>Laser DVD-RAM discs</t>
  </si>
  <si>
    <t>5117-1;42627;2016;Caturangga Dabukke;Gg. Suniaraja No. 21;Surabaya;Small Business;E1031;Low;Laser DVD-RAM discs;Technology;Small Pack;Regular Air;42629;302700;531150;228450;38;20183700;0.03;605511;19578189;11502600;8075589</t>
  </si>
  <si>
    <t>5119-1</t>
  </si>
  <si>
    <t>Jagapati Marbun</t>
  </si>
  <si>
    <t>Jl. Laswi No. 04</t>
  </si>
  <si>
    <t>E1040</t>
  </si>
  <si>
    <t>Artisan Hi-Liter Fluorescent Desk Style Markers</t>
  </si>
  <si>
    <t>5119-1;42629;2016;Jagapati Marbun;Jl. Laswi No. 04;Surabaya;Small Business;E1040;Not Specified;Artisan Hi-Liter Fluorescent Desk Style Markers;Office Supplies;Wrap Bag;Regular Air;42631;26400;50700;24300;34;1723800;0.07;120666;1603134;897600;705534</t>
  </si>
  <si>
    <t>5120-1</t>
  </si>
  <si>
    <t>Saiful Putra</t>
  </si>
  <si>
    <t>5120-1;42630;2016;Saiful Putra;Gg. Siliwangi No. 82;Surabaya;Home Office;E1036;Critical;Artisan Arch Ring Binders;Office Supplies;Small Box;Express Air;42632;540300;871500;331200;10;8715000;0.09;784350;7930650;5403000;2527650</t>
  </si>
  <si>
    <t>5122-1</t>
  </si>
  <si>
    <t>Yuni Wastuti</t>
  </si>
  <si>
    <t>5122-1;42630;2016;Yuni Wastuti;Jl. S. Parman No. 91;Surabaya;Corporate;E1034;Low;UGen Ultra Professional Cordless Optical Suite;Technology;Small Box;Regular Air;42630;2347500;4514550;2167050;38;171552900;0.09;15439761;156113139;89205000;66908139</t>
  </si>
  <si>
    <t>5124-1</t>
  </si>
  <si>
    <t>Cahya Purnawati</t>
  </si>
  <si>
    <t>Jalan Tebet Barat Dalam No. 229</t>
  </si>
  <si>
    <t>5124-1;42631;2016;Cahya Purnawati;Jalan Tebet Barat Dalam No. 229;Surabaya;Small Business;E1031;Medium;Apex Elite Stainless Steel Scissors;Office Supplies;Small Pack;Regular Air;42633;51300;125100;73800;30;3753000;0.02;75060;3677940;1539000;2138940</t>
  </si>
  <si>
    <t>5125-1</t>
  </si>
  <si>
    <t>Asmadi Simanjuntak</t>
  </si>
  <si>
    <t>Gg. HOS. Cokroaminoto No. 1</t>
  </si>
  <si>
    <t>E1041</t>
  </si>
  <si>
    <t>5125-1;42632;2016;Asmadi Simanjuntak;Gg. HOS. Cokroaminoto No. 1;Surabaya;Corporate;E1041;Not Specified;TechSavi Cordless Elite Duo;Technology;Small Box;Regular Air;42633;908850;1514700;605850;29;43926300;0.03;1317789;42608511;26356650;16251861</t>
  </si>
  <si>
    <t>5127-1</t>
  </si>
  <si>
    <t>Kamila Sinaga</t>
  </si>
  <si>
    <t>Gang H.J Maemunah No. 6</t>
  </si>
  <si>
    <t>Deluxe Rollaway Locking File with Drawer</t>
  </si>
  <si>
    <t>5127-1;42634;2016;Kamila Sinaga;Gang H.J Maemunah No. 6;Surabaya;Corporate;E1039;Not Specified;Deluxe Rollaway Locking File with Drawer;Office Supplies;Small Box;Regular Air;42634;2682450;6238200;3555750;2;12476400;0.07;873348;11603052;5364900;6238152</t>
  </si>
  <si>
    <t>5128-1</t>
  </si>
  <si>
    <t>Ibun Haryanto</t>
  </si>
  <si>
    <t>Jalan Kutai No. 503</t>
  </si>
  <si>
    <t>5128-1;42635;2016;Ibun Haryanto;Jalan Kutai No. 503;Surabaya;Small Business;E1039;Medium;EcoTones Memo Sheets;Office Supplies;Wrap Bag;Regular Air;42637;37800;60000;22200;39;2340000;0.08;187200;2152800;1474200;678600</t>
  </si>
  <si>
    <t>5129-1</t>
  </si>
  <si>
    <t>Chandra Firmansyah</t>
  </si>
  <si>
    <t>Smiths Colored Interoffice Envelopes</t>
  </si>
  <si>
    <t>5129-1;42636;2016;Chandra Firmansyah;Jalan Kutai No. 503;Surabaya;Consumer;E1039;Low;Smiths Colored Interoffice Envelopes;Office Supplies;Small Box;Regular Air;42638;297450;464700;167250;49;22770300;0.09;2049327;20720973;14575050;6145923</t>
  </si>
  <si>
    <t>5131-1</t>
  </si>
  <si>
    <t>Eja Anggriawan</t>
  </si>
  <si>
    <t>5131-1;42640;2016;Eja Anggriawan;Jalan K.H. Wahid Hasyim No. 5;Surabaya;Small Business;E1030;Medium;UGen Ultra Professional Cordless Optical Suite;Technology;Small Box;Regular Air;42642;2347500;4514550;2167050;5;22572750;0.07;1580092.5;20992657.5;11737500;9255157.5</t>
  </si>
  <si>
    <t>5133-1</t>
  </si>
  <si>
    <t>Harja Pratiwi</t>
  </si>
  <si>
    <t>Wirebound Voice Message Log Book</t>
  </si>
  <si>
    <t>5133-1;42640;2016;Harja Pratiwi;Gg. Jakarta No. 646;Jakarta;Consumer;E1029;High;Wirebound Voice Message Log Book;Office Supplies;Wrap Bag;Express Air;42642;43500;71400;27900;27;1927800;0.07;134946;1792854;1174500;618354</t>
  </si>
  <si>
    <t>5134-1</t>
  </si>
  <si>
    <t>Hasan Megantara</t>
  </si>
  <si>
    <t>Jalan Gedebage Selatan No. 048</t>
  </si>
  <si>
    <t>5134-1;42641;2016;Hasan Megantara;Jalan Gedebage Selatan No. 048;Jakarta;Corporate;E1029;Low;UGen Ultra Professional Cordless Optical Suite;Technology;Small Box;Regular Air;42641;2347500;4514550;2167050;1;4514550;0.06;270873;4243677;2347500;1896177</t>
  </si>
  <si>
    <t>5135-1</t>
  </si>
  <si>
    <t>5135-1;42645;2016;Lantar Yuliarti;Jl. Astana Anyar No. 51;Surabaya;Small Business;E1031;Medium;OIC Colored Binder Clips, Assorted Sizes;Office Supplies;Wrap Bag;Regular Air;42646;34350;53700;19350;10;537000;0.05;26850;510150;343500;166650</t>
  </si>
  <si>
    <t>5137-1</t>
  </si>
  <si>
    <t>Widya Sihotang</t>
  </si>
  <si>
    <t>5137-1;42646;2016;Widya Sihotang;Gang R.E Martadinata No. 969;Surabaya;Corporate;E1036;Medium;Multimedia Mailers;Office Supplies;Small Box;Regular Air;42647;1490850;2443950;953100;7;17107650;0.03;513229.5;16594420.5;10435950;6158470.5</t>
  </si>
  <si>
    <t>5138-1</t>
  </si>
  <si>
    <t>Wulan Mustofa</t>
  </si>
  <si>
    <t>Jalan R.E Martadinata No. 6</t>
  </si>
  <si>
    <t>Smiths Metal Binder Clips</t>
  </si>
  <si>
    <t>5138-1;42646;2016;Wulan Mustofa;Jalan R.E Martadinata No. 6;Jakarta;Small Business;E1029;High;Smiths Metal Binder Clips;Office Supplies;Wrap Bag;Express Air;42648;24000;39300;15300;34;1336200;0.08;106896;1229304;816000;413304</t>
  </si>
  <si>
    <t>5140-1</t>
  </si>
  <si>
    <t>Danang Mansur</t>
  </si>
  <si>
    <t>Jalan Indragiri No. 077</t>
  </si>
  <si>
    <t>3Max Organizer Strips</t>
  </si>
  <si>
    <t>5140-1;42649;2016;Danang Mansur;Jalan Indragiri No. 077;Surabaya;Corporate;E1030;High;3Max Organizer Strips;Office Supplies;Small Box;Regular Air;42650;51000;81000;30000;25;2025000;0.09;182250;1842750;1275000;567750</t>
  </si>
  <si>
    <t>5142-1</t>
  </si>
  <si>
    <t>Luhung Padmasari</t>
  </si>
  <si>
    <t>Jl. Pelajar Pejuang No. 25</t>
  </si>
  <si>
    <t>PastelOcean Color Pencil Set</t>
  </si>
  <si>
    <t>5142-1;42650;2016;Luhung Padmasari;Jl. Pelajar Pejuang No. 25;Bandung;Home Office;E1036;High;PastelOcean Color Pencil Set;Office Supplies;Wrap Bag;Regular Air;42651;166650;297600;130950;26;7737600;0.07;541632;7195968;4332900;2863068</t>
  </si>
  <si>
    <t>5144-1</t>
  </si>
  <si>
    <t>Respati Puspita</t>
  </si>
  <si>
    <t>Gang Pelajar Pejuang No. 95</t>
  </si>
  <si>
    <t>5144-1;42651;2016;Respati Puspita;Gang Pelajar Pejuang No. 95;Bandung;Corporate;E1033;Critical;Smiths Gold Paper Clips;Office Supplies;Wrap Bag;Regular Air;42652;27300;44700;17400;3;134100;0.09;12069;122031;81900;40131</t>
  </si>
  <si>
    <t>5148-1</t>
  </si>
  <si>
    <t>Galang Sitompul</t>
  </si>
  <si>
    <t>Economy Binders</t>
  </si>
  <si>
    <t>5148-1;42654;2016;Galang Sitompul;Gg. Otto Iskandardinata No. 6;Jakarta;Home Office;E1028;Medium;Economy Binders;Office Supplies;Small Box;Regular Air;42656;19950;31200;11250;44;1372800;0.04;54912;1317888;877800;440088</t>
  </si>
  <si>
    <t>5150-1</t>
  </si>
  <si>
    <t>Kayla Sihombing</t>
  </si>
  <si>
    <t>Jalan Sukabumi No. 509</t>
  </si>
  <si>
    <t>HFX 6S Scientific Calculator</t>
  </si>
  <si>
    <t>5150-1;42654;2016;Kayla Sihombing;Jalan Sukabumi No. 509;Surabaya;Small Business;E1030;Not Specified;HFX 6S Scientific Calculator;Technology;Medium Box;Regular Air;42656;118800;194850;76050;49;9547650;0.07;668335.5;8879314.5;5821200;3058114.5</t>
  </si>
  <si>
    <t>5152-1</t>
  </si>
  <si>
    <t>Jumadi Suartini</t>
  </si>
  <si>
    <t>5152-1;42655;2016;Jumadi Suartini;Gang Yos Sudarso No. 13;Surabaya;Small Business;E1039;Low;Beekin 105-Key Black Keyboard;Technology;Small Box;Regular Air;42659;95850;299700;203850;19;5694300;0.08;455544;5238756;1821150;3417606</t>
  </si>
  <si>
    <t>5154-1</t>
  </si>
  <si>
    <t>Rachel Pertiwi</t>
  </si>
  <si>
    <t>Jalan Lembong No. 9</t>
  </si>
  <si>
    <t>5154-1;42657;2016;Rachel Pertiwi;Jalan Lembong No. 9;Surabaya;Consumer;E1032;High;Laser Neon Mac Format Diskettes, 10/Pack;Technology;Small Pack;Express Air;42658;28050;121800;93750;32;3897600;0.08;311808;3585792;897600;2688192</t>
  </si>
  <si>
    <t>5156-1</t>
  </si>
  <si>
    <t>Ellis Wahyudin</t>
  </si>
  <si>
    <t>Self-Adhesive Removable Labels</t>
  </si>
  <si>
    <t>5156-1;42658;2016;Ellis Wahyudin;Gg. Monginsidi No. 3;Jakarta;Home Office;E1029;High;Self-Adhesive Removable Labels;Office Supplies;Small Box;Regular Air;42660;29700;47250;17550;23;1086750;0.01;10867.5;1075882.5;683100;392782.5</t>
  </si>
  <si>
    <t>5158-1</t>
  </si>
  <si>
    <t>Praba Widodo</t>
  </si>
  <si>
    <t>Gang Jakarta No. 938</t>
  </si>
  <si>
    <t>TypeRight  Top-Opening Peel &amp; Seel Envelopes, Plain White</t>
  </si>
  <si>
    <t>5158-1;42658;2016;Praba Widodo;Gang Jakarta No. 938;Surabaya;Corporate;E1036;Not Specified;TypeRight  Top-Opening Peel &amp; Seel Envelopes, Plain White;Office Supplies;Small Box;Regular Air;42660;252750;407700;154950;34;13861800;0.1;1386180;12475620;8593500;3882120</t>
  </si>
  <si>
    <t>5159-1</t>
  </si>
  <si>
    <t>Ibrani Widiastuti</t>
  </si>
  <si>
    <t>5159-1;42659;2016;Ibrani Widiastuti;Jalan R.E Martadinata No. 6;Jakarta;Small Business;E1029;Critical;Smiths Metal Binder Clips;Office Supplies;Wrap Bag;Regular Air;42660;24000;39300;15300;21;825300;0.05;41265;784035;504000;280035</t>
  </si>
  <si>
    <t>5160-1</t>
  </si>
  <si>
    <t>Karsa Kuswoyo</t>
  </si>
  <si>
    <t>Gang Gedebage Selatan No. 92</t>
  </si>
  <si>
    <t>5160-1;42660;2016;Karsa Kuswoyo;Gang Gedebage Selatan No. 92;Jakarta;Corporate;E1029;Not Specified;1726 Digital Answering Machine;Technology;Medium Box;Regular Air;42662;132300;314850;182550;41;12908850;0.02;258177;12650673;5424300;7226373</t>
  </si>
  <si>
    <t>5160-2</t>
  </si>
  <si>
    <t>5160-2;42660;2016;Karsa Kuswoyo;Gang Gedebage Selatan No. 92;Jakarta;Corporate;E1029;Not Specified;3Max Organizer Strips;Office Supplies;Small Box;Express Air;42662;51000;81000;30000;26;2106000;0.05;105300;2000700;1326000;674700</t>
  </si>
  <si>
    <t>5163-1</t>
  </si>
  <si>
    <t>TypeRight  Top-Opening Peel &amp; Seel  Envelopes, Gray</t>
  </si>
  <si>
    <t>5163-1;42661;2016;Lantar Yuliarti;Jl. Astana Anyar No. 51;Surabaya;Small Business;E1031;Medium;TypeRight  Top-Opening Peel &amp; Seel  Envelopes, Gray;Office Supplies;Small Box;Regular Air;42661;323400;539100;215700;28;15094800;0.01;150948;14943852;9055200;5888652</t>
  </si>
  <si>
    <t>5165-1</t>
  </si>
  <si>
    <t>Zulaikha Salahudin</t>
  </si>
  <si>
    <t>Artisan Non-Stick Binders</t>
  </si>
  <si>
    <t>5165-1;42665;2016;Zulaikha Salahudin;Gg. Suniaraja No. 21;Surabaya;Corporate;E1031;Critical;Artisan Non-Stick Binders;Office Supplies;Small Box;Regular Air;42665;41100;67350;26250;11;740850;0.08;59268;681582;452100;229482</t>
  </si>
  <si>
    <t>5166-1</t>
  </si>
  <si>
    <t>DrawIt Colored Pencils</t>
  </si>
  <si>
    <t>5166-1;42665;2016;Kenes Nababan;Gg. M.H Thamrin No. 784;Jakarta;Corporate;E1029;Not Specified;DrawIt Colored Pencils;Office Supplies;Wrap Bag;Regular Air;42668;65550;136650;71100;6;819900;0.04;32796;787104;393300;393804</t>
  </si>
  <si>
    <t>5168-1</t>
  </si>
  <si>
    <t>Siska Halim</t>
  </si>
  <si>
    <t>Jl. HOS. Cokroaminoto No. 1</t>
  </si>
  <si>
    <t>Smiths Pen Style Liquid Stix; Assorted (yellow, pink, green, blue, orange), 5/Pack</t>
  </si>
  <si>
    <t>5168-1;42670;2016;Siska Halim;Jl. HOS. Cokroaminoto No. 1;Surabaya;Consumer;E1039;Critical;Smiths Pen Style Liquid Stix; Assorted (yellow, pink, green, blue, orange), 5/Pack;Office Supplies;Wrap Bag;Regular Air;42671;58200;97050;38850;20;1941000;0.02;38820;1902180;1164000;738180</t>
  </si>
  <si>
    <t>Smiths Pen Style Liquid Stix</t>
  </si>
  <si>
    <t xml:space="preserve"> Assorted (yellow, pink, green, blue, orange), 5/Pack</t>
  </si>
  <si>
    <t>5168-2</t>
  </si>
  <si>
    <t>Steady Liquid Accent Tank-Style Highlighters</t>
  </si>
  <si>
    <t>5168-2;42670;2016;Siska Halim;Jl. HOS. Cokroaminoto No. 1;Surabaya;Consumer;E1039;Critical;Steady Liquid Accent Tank-Style Highlighters;Office Supplies;Wrap Bag;Regular Air;42672;19650;42600;22950;39;1661400;0.07;116298;1545102;766350;778752</t>
  </si>
  <si>
    <t>5171-1</t>
  </si>
  <si>
    <t>Marsito Prasetya</t>
  </si>
  <si>
    <t>Gg. Kapten Muslihat No. 5</t>
  </si>
  <si>
    <t>Bagged Rubber Bands</t>
  </si>
  <si>
    <t>5171-1;42671;2016;Marsito Prasetya;Gg. Kapten Muslihat No. 5;Surabaya;Home Office;E1034;Critical;Bagged Rubber Bands;Office Supplies;Wrap Bag;Regular Air;42672;3600;18900;15300;10;189000;0.1;18900;170100;36000;134100</t>
  </si>
  <si>
    <t>5173-1</t>
  </si>
  <si>
    <t>5173-1;42671;2016;Padma Nugroho;Gg. Monginsidi No. 3;Jakarta;Corporate;E1029;High;Wirebound Voice Message Log Book;Office Supplies;Wrap Bag;Regular Air;42671;43500;71400;27900;13;928200;0.07;64974;863226;565500;297726</t>
  </si>
  <si>
    <t>5174-1</t>
  </si>
  <si>
    <t>Kuncara Hasanah</t>
  </si>
  <si>
    <t>UGen Ultra Cordless Optical Suite</t>
  </si>
  <si>
    <t>5174-1;42672;2016;Kuncara Hasanah;Jl. Rumah Sakit No. 738;Jakarta;Consumer;E1028;Low;UGen Ultra Cordless Optical Suite;Technology;Small Box;Express Air;42672;817800;1514550;696750;35;53009250;0.05;2650462.5;50358787.5;28623000;21735787.5</t>
  </si>
  <si>
    <t>5175-1</t>
  </si>
  <si>
    <t>Warta Situmorang</t>
  </si>
  <si>
    <t>Gang Jayawijaya No. 91</t>
  </si>
  <si>
    <t>5175-1;42673;2016;Warta Situmorang;Gang Jayawijaya No. 91;Jakarta;Home Office;E1028;Critical;Apex Elite Stainless Steel Scissors;Office Supplies;Small Pack;Express Air;42675;51300;125100;73800;15;1876500;0;0;1876500;769500;1107000</t>
  </si>
  <si>
    <t>5177-1</t>
  </si>
  <si>
    <t>5177-1;42675;2016;Wulan Mustofa;Jalan R.E Martadinata No. 6;Jakarta;Small Business;E1029;Critical;Artisan Printable Repositionable Plastic Tabs;Office Supplies;Small Box;Express Air;42677;79950;129000;49050;23;2967000;0.02;59340;2907660;1838850;1068810</t>
  </si>
  <si>
    <t>5178-1</t>
  </si>
  <si>
    <t>Saadat Manullang</t>
  </si>
  <si>
    <t>Gang Monginsidi No. 432</t>
  </si>
  <si>
    <t>Cando PC940 Copier</t>
  </si>
  <si>
    <t>5178-1;42676;2016;Saadat Manullang;Gang Monginsidi No. 432;Surabaya;Corporate;E1035;High;Cando PC940 Copier;Technology;Jumbo Drum;Delivery Truck;42678;4184850;6749850;2565000;12;80998200;0.06;4859892;76138308;50218200;25920108</t>
  </si>
  <si>
    <t>5180-1</t>
  </si>
  <si>
    <t>Rina Simanjuntak</t>
  </si>
  <si>
    <t>5180-1;42677;2016;Rina Simanjuntak;Gg. Suniaraja No. 21;Surabaya;Corporate;E1031;High;Economy Binders;Office Supplies;Small Box;Express Air;42678;19950;31200;11250;11;343200;0.01;3432;339768;219450;120318</t>
  </si>
  <si>
    <t>5181-1</t>
  </si>
  <si>
    <t>TechSavi Internet Navigator Keyboard</t>
  </si>
  <si>
    <t>5181-1;42677;2016;Ami Utami;Jl. S. Parman No. 91;Surabaya;Corporate;E1034;Low;TechSavi Internet Navigator Keyboard;Technology;Small Box;Regular Air;42681;97650;464700;367050;29;13476300;0.03;404289;13072011;2831850;10240161</t>
  </si>
  <si>
    <t>5183-1</t>
  </si>
  <si>
    <t>Artisan Hi-Liter Smear-Safe Highlighters</t>
  </si>
  <si>
    <t>5183-1;42678;2016;Rafi Anggriawan;Gg. Stasiun Wonokromo No. 0;Jakarta;Corporate;E1028;Not Specified;Artisan Hi-Liter Smear-Safe Highlighters;Office Supplies;Wrap Bag;Regular Air;42680;44700;87600;42900;11;963600;0.01;9636;953964;491700;462264</t>
  </si>
  <si>
    <t>5185-1</t>
  </si>
  <si>
    <t>Hari Situmorang</t>
  </si>
  <si>
    <t>Artisan Hanging File Binders</t>
  </si>
  <si>
    <t>5185-1;42679;2016;Hari Situmorang;Jalan Gardujati No. 513;Surabaya;Home Office;E1036;Critical;Artisan Hanging File Binders;Office Supplies;Small Box;Regular Air;42681;54750;89700;34950;14;1255800;0.09;113022;1142778;766500;376278</t>
  </si>
  <si>
    <t>5186-1</t>
  </si>
  <si>
    <t>Oman Sihombing</t>
  </si>
  <si>
    <t>Jl. Raya Ujungberung No. 121</t>
  </si>
  <si>
    <t>Beekin 6 Outlet Metallic Surge Strip</t>
  </si>
  <si>
    <t>5186-1;42681;2016;Oman Sihombing;Jl. Raya Ujungberung No. 121;Bandung;Consumer;E1032;Low;Beekin 6 Outlet Metallic Surge Strip;Office Supplies;Small Box;Regular Air;42686;66900;163350;96450;37;6043950;0.06;362637;5681313;2475300;3206013</t>
  </si>
  <si>
    <t>5188-1</t>
  </si>
  <si>
    <t>Tira Wibowo</t>
  </si>
  <si>
    <t>5188-1;42681;2016;Tira Wibowo;Jalan R.E Martadinata No. 6;Jakarta;Corporate;E1029;Low;TechSavi Internet Navigator Keyboard;Technology;Small Box;Regular Air;42683;97650;464700;367050;8;3717600;0.01;37176;3680424;781200;2899224</t>
  </si>
  <si>
    <t>5189-1</t>
  </si>
  <si>
    <t>Martani Sudiati</t>
  </si>
  <si>
    <t>Jl. BKR No. 46</t>
  </si>
  <si>
    <t>5189-1;42682;2016;Martani Sudiati;Jl. BKR No. 46;Jakarta;Small Business;E1028;Low;Adesso Programmable 142-Key Keyboard;Technology;Small Box;Regular Air;42684;594600;2287200;1692600;31;70903200;0.07;4963224;65939976;18432600;47507376</t>
  </si>
  <si>
    <t>5191-1</t>
  </si>
  <si>
    <t>Fluorescent Highlighters by DrawIt</t>
  </si>
  <si>
    <t>5191-1;42683;2016;Cengkal Prastuti;Gang Setiabudhi No. 1;Bandung;Corporate;E1036;Not Specified;Fluorescent Highlighters by DrawIt;Office Supplies;Wrap Bag;Regular Air;42685;29250;59700;30450;30;1791000;0.1;179100;1611900;877500;734400</t>
  </si>
  <si>
    <t>5193-1</t>
  </si>
  <si>
    <t>Gabriella Simbolon</t>
  </si>
  <si>
    <t>Artisan 481 Labels</t>
  </si>
  <si>
    <t>5193-1;42684;2016;Gabriella Simbolon;Jalan Gedebage Selatan No. 048;Jakarta;Small Business;E1029;Not Specified;Artisan 481 Labels;Office Supplies;Small Box;Regular Air;42685;29100;46200;17100;38;1755600;0.04;70224;1685376;1105800;579576</t>
  </si>
  <si>
    <t>5194-1</t>
  </si>
  <si>
    <t>Ani Anggraini</t>
  </si>
  <si>
    <t>Jalan Kapten Muslihat No. 168</t>
  </si>
  <si>
    <t>Emerson C82 Color Inkjet Printer</t>
  </si>
  <si>
    <t>5194-1;42685;2016;Ani Anggraini;Jalan Kapten Muslihat No. 168;Surabaya;Corporate;E1031;Not Specified;Emerson C82 Color Inkjet Printer;Technology;Jumbo Drum;Delivery Truck;42686;1151850;1799850;648000;24;43196400;0.02;863928;42332472;27644400;14688072</t>
  </si>
  <si>
    <t>5195-1</t>
  </si>
  <si>
    <t>Bagus Pranowo</t>
  </si>
  <si>
    <t>Jalan Rajawali Barat No. 70</t>
  </si>
  <si>
    <t>Artisan Durable Binders</t>
  </si>
  <si>
    <t>5195-1;42686;2016;Bagus Pranowo;Jalan Rajawali Barat No. 70;Surabaya;Consumer;E1041;Medium;Artisan Durable Binders;Office Supplies;Small Box;Regular Air;42687;27600;43200;15600;11;475200;0.09;42768;432432;303600;128832</t>
  </si>
  <si>
    <t>5195-2</t>
  </si>
  <si>
    <t>Gang Suniaraja No. 67</t>
  </si>
  <si>
    <t>5195-2;42686;2016;Bagus Pranowo;Gang Suniaraja No. 67;Surabaya;Consumer;E1041;Medium;Beekin 105-Key Black Keyboard;Technology;Small Box;Regular Air;42688;95850;299700;203850;43;12887100;0.1;1288710;11598390;4121550;7476840</t>
  </si>
  <si>
    <t>5198-1</t>
  </si>
  <si>
    <t>Warsita Megantara</t>
  </si>
  <si>
    <t>Pizazz Drawing Pencil Set</t>
  </si>
  <si>
    <t>5198-1;42688;2016;Warsita Megantara;Gang Asia Afrika No. 72;Surabaya;Corporate;E1037;Not Specified;Pizazz Drawing Pencil Set;Office Supplies;Wrap Bag;Express Air;42690;22950;41700;18750;40;1668000;0.03;50040;1617960;918000;699960</t>
  </si>
  <si>
    <t>5200-1</t>
  </si>
  <si>
    <t>Daru Haryanti</t>
  </si>
  <si>
    <t>Jalan Astana Anyar No. 41</t>
  </si>
  <si>
    <t>Artisan Poly Binder Pockets</t>
  </si>
  <si>
    <t>5200-1;42692;2016;Daru Haryanti;Jalan Astana Anyar No. 41;Jakarta;Home Office;E1028;Critical;Artisan Poly Binder Pockets;Office Supplies;Small Box;Regular Air;42694;33900;53700;19800;46;2470200;0.06;148212;2321988;1559400;762588</t>
  </si>
  <si>
    <t>5201-1</t>
  </si>
  <si>
    <t>Citra Saputra</t>
  </si>
  <si>
    <t>Jl. K.H. Wahid Hasyim No. 4</t>
  </si>
  <si>
    <t>Barrel Sharpener</t>
  </si>
  <si>
    <t>5201-1;42693;2016;Citra Saputra;Jl. K.H. Wahid Hasyim No. 4;Jakarta;Home Office;E1028;High;Barrel Sharpener;Office Supplies;Small Pack;Regular Air;42695;21900;53550;31650;23;1231650;0.09;110848.5;1120801.5;503700;617101.5</t>
  </si>
  <si>
    <t>5202-1</t>
  </si>
  <si>
    <t>Ismail Uwais</t>
  </si>
  <si>
    <t>5202-1;42694;2016;Ismail Uwais;Gg. Siliwangi No. 82;Surabaya;Home Office;E1036;Not Specified;TechSavi Internet Navigator Keyboard;Technology;Small Box;Express Air;42695;97650;464700;367050;44;20446800;0.02;408936;20037864;4296600;15741264</t>
  </si>
  <si>
    <t>5204-1</t>
  </si>
  <si>
    <t>Wardi Rahayu</t>
  </si>
  <si>
    <t>Jalan Raya Ujungberung No. 5</t>
  </si>
  <si>
    <t>Binding Machine Supplies</t>
  </si>
  <si>
    <t>5204-1;42695;2016;Wardi Rahayu;Jalan Raya Ujungberung No. 5;Surabaya;Home Office;E1037;Not Specified;Binding Machine Supplies;Office Supplies;Small Box;Regular Air;42696;275700;437550;161850;8;3500400;0.02;70008;3430392;2205600;1224792</t>
  </si>
  <si>
    <t>5206-1</t>
  </si>
  <si>
    <t>Ajiman Mandasari</t>
  </si>
  <si>
    <t>Large Box</t>
  </si>
  <si>
    <t>5206-1;42695;2016;Ajiman Mandasari;Jl. Rumah Sakit No. 738;Jakarta;Small Business;E1028;Low;Cando PC940 Copier;Technology;Large Box;Regular Air;42699;3240000;6749850;3509850;40;269994000;0.04;10799760;259194240;129600000;129594240</t>
  </si>
  <si>
    <t>5207-1</t>
  </si>
  <si>
    <t>Limar Usamah</t>
  </si>
  <si>
    <t>Jl. S. Parman No. 38</t>
  </si>
  <si>
    <t>5207-1;42695;2016;Limar Usamah;Jl. S. Parman No. 38;Surabaya;Corporate;E1033;Low;Cando S750 Color Inkjet Printer;Technology;Jumbo Drum;Delivery Truck;42702;1125000;1814550;689550;35;63509250;0.08;5080740;58428510;39375000;19053510</t>
  </si>
  <si>
    <t>5208-1</t>
  </si>
  <si>
    <t>Puji Haryanto</t>
  </si>
  <si>
    <t>Binder Posts</t>
  </si>
  <si>
    <t>5208-1;42696;2016;Puji Haryanto;Jalan Gedebage Selatan No. 048;Jakarta;Consumer;E1029;High;Binder Posts;Office Supplies;Small Box;Regular Air;42698;52500;86100;33600;50;4305000;0.1;430500;3874500;2625000;1249500</t>
  </si>
  <si>
    <t>5209-1</t>
  </si>
  <si>
    <t>Tiara Halim</t>
  </si>
  <si>
    <t>Binder Clips by OIC</t>
  </si>
  <si>
    <t>5209-1;42697;2016;Tiara Halim;Jl. BKR No. 46;Jakarta;Corporate;E1028;Low;Binder Clips by OIC;Office Supplies;Wrap Bag;Regular Air;42699;13950;22200;8250;19;421800;0.09;37962;383838;265050;118788</t>
  </si>
  <si>
    <t>5211-1</t>
  </si>
  <si>
    <t>Hana Hastuti</t>
  </si>
  <si>
    <t>Economy Rollaway Files</t>
  </si>
  <si>
    <t>5211-1;42698;2016;Hana Hastuti;Jalan Jamika No. 4;Surabaya;Small Business;E1033;High;Economy Rollaway Files;Office Supplies;Small Box;Express Air;42700;1015950;2478000;1462050;37;91686000;0.04;3667440;88018560;37590150;50428410</t>
  </si>
  <si>
    <t>5212-1</t>
  </si>
  <si>
    <t>Self-Adhesive Ring Binder Labels</t>
  </si>
  <si>
    <t>5212-1;42700;2016;Aris Ardianto;Gg. Suniaraja No. 21;Surabaya;Corporate;E1031;Low;Self-Adhesive Ring Binder Labels;Office Supplies;Small Box;Regular Air;42709;32700;52800;20100;12;633600;0.04;25344;608256;392400;215856</t>
  </si>
  <si>
    <t>5213-1</t>
  </si>
  <si>
    <t>5213-1;42701;2016;Limar Usamah;Jl. S. Parman No. 38;Surabaya;Corporate;E1033;High;Steady Liquid Accent Tank-Style Highlighters;Office Supplies;Wrap Bag;Express Air;42702;19650;42600;22950;13;553800;0.01;5538;548262;255450;292812</t>
  </si>
  <si>
    <t>5214-1</t>
  </si>
  <si>
    <t>Karta Purnawati</t>
  </si>
  <si>
    <t>Jl. Sukabumi No. 44</t>
  </si>
  <si>
    <t>5214-1;42703;2016;Karta Purnawati;Jl. Sukabumi No. 44;Bandung;Corporate;E1036;Not Specified;EcoTones Memo Sheets;Office Supplies;Wrap Bag;Regular Air;42703;37800;60000;22200;41;2460000;0.02;49200;2410800;1549800;861000</t>
  </si>
  <si>
    <t>5215-1</t>
  </si>
  <si>
    <t>Siska Utami</t>
  </si>
  <si>
    <t>3Max Polarizing Task Lamp with Clamp Arm, Light Gray</t>
  </si>
  <si>
    <t>5215-1;42706;2016;Siska Utami;Gang Otto Iskandardinata No. 167;Surabaya;Home Office;E1037;High;3Max Polarizing Task Lamp with Clamp Arm, Light Gray;Furniture;Large Box;Express Air;42708;842400;2054700;1212300;41;84242700;0.04;3369708;80872992;34538400;46334592</t>
  </si>
  <si>
    <t>5216-1</t>
  </si>
  <si>
    <t>Xanana Padmasari</t>
  </si>
  <si>
    <t>5216-1;42706;2016;Xanana Padmasari;Gang Jakarta No. 938;Surabaya;Small Business;E1036;Low;Steady Liquid Accent Highlighters;Office Supplies;Wrap Bag;Regular Air;42708;52050;100200;48150;5;501000;0.09;45090;455910;260250;195660</t>
  </si>
  <si>
    <t>5218-1</t>
  </si>
  <si>
    <t>Latika Namaga</t>
  </si>
  <si>
    <t>Jl. Medokan Ayu No. 7</t>
  </si>
  <si>
    <t>5218-1;42708;2016;Latika Namaga;Jl. Medokan Ayu No. 7;Surabaya;Small Business;E1038;Low;Economy Rollaway Files;Office Supplies;Small Box;Regular Air;42710;1015950;2478000;1462050;23;56994000;0.07;3989580;53004420;23366850;29637570</t>
  </si>
  <si>
    <t>5220-1</t>
  </si>
  <si>
    <t>Empluk Marbun</t>
  </si>
  <si>
    <t>Apex Straight Scissors</t>
  </si>
  <si>
    <t>5220-1;42710;2016;Empluk Marbun;Gang Gedebage Selatan No. 424;Surabaya;Home Office;E1033;Not Specified;Apex Straight Scissors;Office Supplies;Small Pack;Regular Air;42713;77850;194700;116850;45;8761500;0.02;175230;8586270;3503250;5083020</t>
  </si>
  <si>
    <t>5221-1</t>
  </si>
  <si>
    <t>Rangga Hutasoit</t>
  </si>
  <si>
    <t>5221-1;42711;2016;Rangga Hutasoit;Jl. S. Parman No. 91;Surabaya;Home Office;E1034;Not Specified;Smiths General Use 3-Ring Binders;Office Supplies;Small Box;Regular Air;42712;17700;28200;10500;42;1184400;0;0;1184400;743400;441000</t>
  </si>
  <si>
    <t>5222-1</t>
  </si>
  <si>
    <t>Nugraha Nurdiyanti</t>
  </si>
  <si>
    <t>Gang Dipatiukur No. 9</t>
  </si>
  <si>
    <t>5222-1;42711;2016;Nugraha Nurdiyanti;Gang Dipatiukur No. 9;Surabaya;Small Business;E1033;Medium;Smiths Standard Envelopes;Office Supplies;Small Box;Regular Air;42712;52800;85200;32400;32;2726400;0.05;136320;2590080;1689600;900480</t>
  </si>
  <si>
    <t>5224-1</t>
  </si>
  <si>
    <t>Intan Oktaviani</t>
  </si>
  <si>
    <t>5224-1;42714;2016;Intan Oktaviani;Gang Otto Iskandardinata No. 167;Surabaya;Consumer;E1037;Not Specified;Artisan 481 Labels;Office Supplies;Small Box;Regular Air;42715;29100;46200;17100;45;2079000;0.04;83160;1995840;1309500;686340</t>
  </si>
  <si>
    <t>5225-1</t>
  </si>
  <si>
    <t>5225-1;42715;2016;Nugraha Nurdiyanti;Gang Dipatiukur No. 9;Surabaya;Consumer;E1033;Not Specified;Artisan Premier Heavy-Duty Binder with Round Locking Rings;Office Supplies;Small Box;Regular Air;42716;130650;214200;83550;8;1713600;0.01;17136;1696464;1045200;651264</t>
  </si>
  <si>
    <t>5226-1</t>
  </si>
  <si>
    <t>Padma Adriansyah</t>
  </si>
  <si>
    <t>5226-1;42715;2016;Padma Adriansyah;Gang Otto Iskandardinata No. 167;Surabaya;Home Office;E1037;Low;TechSavi Cordless Elite Duo;Technology;Small Box;Regular Air;42720;908850;1514700;605850;12;18176400;0.04;727056;17449344;10906200;6543144</t>
  </si>
  <si>
    <t>5227-1</t>
  </si>
  <si>
    <t>Artisan Binder Labels</t>
  </si>
  <si>
    <t>5227-1;42716;2016;Padma Adriansyah;Gang Otto Iskandardinata No. 167;Surabaya;Home Office;E1037;Medium;Artisan Binder Labels;Office Supplies;Small Box;Express Air;42718;36750;58350;21600;32;1867200;0.09;168048;1699152;1176000;523152</t>
  </si>
  <si>
    <t>5229-1</t>
  </si>
  <si>
    <t>Hendri Fujiati</t>
  </si>
  <si>
    <t>Jl. Raya Ujungberung No. 86</t>
  </si>
  <si>
    <t>5229-1;42718;2016;Hendri Fujiati;Jl. Raya Ujungberung No. 86;Bandung;Home Office;E1041;Critical;Smiths General Use 3-Ring Binders;Office Supplies;Small Box;Regular Air;42719;17700;28200;10500;43;1212600;0.03;36378;1176222;761100;415122</t>
  </si>
  <si>
    <t>5231-1</t>
  </si>
  <si>
    <t>Purwanto Pratama</t>
  </si>
  <si>
    <t>Gang R.E Martadinata No. 16</t>
  </si>
  <si>
    <t>5231-1;42719;2016;Purwanto Pratama;Gang R.E Martadinata No. 16;Surabaya;Corporate;E1032;High;Beekin 6 Outlet Metallic Surge Strip;Office Supplies;Small Box;Regular Air;42720;66900;163350;96450;9;1470150;0.03;44104.5;1426045.5;602100;823945.5</t>
  </si>
  <si>
    <t>5232-1</t>
  </si>
  <si>
    <t>5232-1;42720;2016;Padma Nugroho;Gg. Monginsidi No. 3;Jakarta;Corporate;E1029;Low;Barrel Sharpener;Office Supplies;Small Pack;Regular Air;42722;21900;53550;31650;26;1392300;0.04;55692;1336608;569400;767208</t>
  </si>
  <si>
    <t>5234-1</t>
  </si>
  <si>
    <t>Baktianto Halim</t>
  </si>
  <si>
    <t>Alto Memo Cubes</t>
  </si>
  <si>
    <t>5234-1;42721;2016;Baktianto Halim;Jl. Antapani Lama No. 705;Jakarta;Small Business;E1028;Not Specified;Alto Memo Cubes;Office Supplies;Wrap Bag;Express Air;42723;49800;77700;27900;37;2874900;0.07;201243;2673657;1842600;831057</t>
  </si>
  <si>
    <t>5235-1</t>
  </si>
  <si>
    <t>Kalim Simanjuntak</t>
  </si>
  <si>
    <t>Jalan Cikapayang No. 311</t>
  </si>
  <si>
    <t>5235-1;42721;2016;Kalim Simanjuntak;Jalan Cikapayang No. 311;Surabaya;Corporate;E1031;Low;Artisan 48 Labels;Office Supplies;Small Box;Regular Air;42726;57600;94500;36900;39;3685500;0.1;368550;3316950;2246400;1070550</t>
  </si>
  <si>
    <t>5236-1</t>
  </si>
  <si>
    <t>Latif Nasyiah</t>
  </si>
  <si>
    <t>5236-1;42726;2016;Latif Nasyiah;Jalan Ciwastra No. 383;Surabaya;Corporate;E1032;Not Specified;Artisan 481 Labels;Office Supplies;Small Box;Regular Air;42727;29100;46200;17100;24;1108800;0.04;44352;1064448;698400;366048</t>
  </si>
  <si>
    <t>5238-1</t>
  </si>
  <si>
    <t>Yance Anggraini</t>
  </si>
  <si>
    <t>Jl. Erlangga No. 7</t>
  </si>
  <si>
    <t>5238-1;42727;2016;Yance Anggraini;Jl. Erlangga No. 7;Surabaya;Corporate;E1033;Not Specified;Artisan Hi-Liter Fluorescent Desk Style Markers;Office Supplies;Wrap Bag;Regular Air;42729;26400;50700;24300;27;1368900;0.08;109512;1259388;712800;546588</t>
  </si>
  <si>
    <t>5239-1</t>
  </si>
  <si>
    <t>Anita Siregar</t>
  </si>
  <si>
    <t>Jalan Pasteur No. 217</t>
  </si>
  <si>
    <t>5239-1;42729;2016;Anita Siregar;Jalan Pasteur No. 217;Surabaya;Small Business;E1031;Critical;Beekin 6 Outlet Metallic Surge Strip;Office Supplies;Small Box;Regular Air;42731;66900;163350;96450;37;6043950;0.1;604395;5439555;2475300;2964255</t>
  </si>
  <si>
    <t>5240-1</t>
  </si>
  <si>
    <t>Ikin Januar</t>
  </si>
  <si>
    <t>5240-1;42729;2016;Ikin Januar;Jl. Gardujati No. 82;Surabaya;Consumer;E1037;Not Specified;Security-Tint Envelopes;Office Supplies;Small Box;Regular Air;42732;73350;114600;41250;44;5042400;0.01;50424;4991976;3227400;1764576</t>
  </si>
  <si>
    <t>5241-1</t>
  </si>
  <si>
    <t>Caraka Nasyiah</t>
  </si>
  <si>
    <t>TechSavi Cordless Navigator Duo</t>
  </si>
  <si>
    <t>5241-1;42729;2016;Caraka Nasyiah;Jalan Lembong No. 9;Surabaya;Corporate;E1032;Medium;TechSavi Cordless Navigator Duo;Technology;Small Box;Regular Air;42731;631650;1214700;583050;34;41299800;0.07;2890986;38408814;21476100;16932714</t>
  </si>
  <si>
    <t>5242-1</t>
  </si>
  <si>
    <t>Bahuwarna Winarsih</t>
  </si>
  <si>
    <t>Jl. Pasir Koja No. 08</t>
  </si>
  <si>
    <t>Apex Preferred Stainless Steel Scissors</t>
  </si>
  <si>
    <t>5242-1;42731;2016;Bahuwarna Winarsih;Jl. Pasir Koja No. 08;Bandung;Home Office;E1041;Low;Apex Preferred Stainless Steel Scissors;Office Supplies;Small Pack;Express Air;42735;37500;85200;47700;46;3919200;0.1;391920;3527280;1725000;1802280</t>
  </si>
  <si>
    <t>5244-1</t>
  </si>
  <si>
    <t>Cindy Dongoran</t>
  </si>
  <si>
    <t>5244-1;42734;2016;Cindy Dongoran;Jalan Jend. A. Yani No. 48;Surabaya;Corporate;E1036;High;Binder Posts;Office Supplies;Small Box;Regular Air;42736;52500;86100;33600;3;258300;0.08;20664;237636;157500;80136</t>
  </si>
  <si>
    <t>5246-1</t>
  </si>
  <si>
    <t>Dadi Anggraini</t>
  </si>
  <si>
    <t>5246-1;42735;2016;Dadi Anggraini;Jalan K.H. Wahid Hasyim No. 5;Surabaya;Home Office;E1030;Low;Artisan Flip-Chart Easel Binder, Black;Office Supplies;Small Box;Express Air;42742;208200;335700;127500;16;5371200;0;0;5371200;3331200;2040000</t>
  </si>
  <si>
    <t>5247-1</t>
  </si>
  <si>
    <t>Galang Namaga</t>
  </si>
  <si>
    <t>5247-1;42737;2017;Galang Namaga;Gang H.J Maemunah No. 6;Surabaya;Corporate;E1040;High;Artisan Arch Ring Binders;Office Supplies;Small Box;Regular Air;42738;540300;871500;331200;7;6100500;0.1;610050;5490450;3782100;1708350</t>
  </si>
  <si>
    <t>5248-1</t>
  </si>
  <si>
    <t>Naradi Handayani</t>
  </si>
  <si>
    <t>Gang Asia Afrika No. 96</t>
  </si>
  <si>
    <t>5248-1;42739;2017;Naradi Handayani;Gang Asia Afrika No. 96;Surabaya;Home Office;E1036;Critical;Office Shears by Apex;Office Supplies;Small Pack;Regular Air;42741;14100;31200;17100;43;1341600;0.05;67080;1274520;606300;668220</t>
  </si>
  <si>
    <t>5250-1</t>
  </si>
  <si>
    <t>Almira Suryono</t>
  </si>
  <si>
    <t>Gg. Moch. Toha No. 0</t>
  </si>
  <si>
    <t>5250-1;42740;2017;Almira Suryono;Gg. Moch. Toha No. 0;Surabaya;Consumer;E1035;Low;210 Trimline Phone, White;Technology;Medium Box;Regular Air;42747;148650;239850;91200;27;6475950;0.01;64759.5;6411190.5;4013550;2397640.5</t>
  </si>
  <si>
    <t>5251-1</t>
  </si>
  <si>
    <t>5251-1;42743;2017;Luhung Padmasari;Jl. Pelajar Pejuang No. 25;Bandung;Home Office;E1036;Medium;Alto Memo Cubes;Office Supplies;Wrap Bag;Regular Air;42745;49800;77700;27900;23;1787100;0.05;89355;1697745;1145400;552345</t>
  </si>
  <si>
    <t>5253-1</t>
  </si>
  <si>
    <t>Halim Jailani</t>
  </si>
  <si>
    <t>Multi-Use Personal File Cart and Caster Set, Three Stacking Bins</t>
  </si>
  <si>
    <t>5253-1;42743;2017;Halim Jailani;Gg. Monginsidi No. 3;Jakarta;Home Office;E1029;High;Multi-Use Personal File Cart and Caster Set, Three Stacking Bins;Office Supplies;Small Box;Regular Air;42745;224250;521400;297150;15;7821000;0.09;703890;7117110;3363750;3753360</t>
  </si>
  <si>
    <t>5254-1</t>
  </si>
  <si>
    <t>Desktop 3-Pocket Hot File</t>
  </si>
  <si>
    <t>5254-1;42744;2017;Bagya Permadi;Jalan Jamika No. 4;Surabaya;Corporate;E1033;Low;Desktop 3-Pocket Hot File;Office Supplies;Small Box;Regular Air;42749;332700;811500;478800;19;15418500;0.1;1541850;13876650;6321300;7555350</t>
  </si>
  <si>
    <t>5256-1</t>
  </si>
  <si>
    <t>Olga Marpaung</t>
  </si>
  <si>
    <t>Gg. Surapati No. 50</t>
  </si>
  <si>
    <t>5256-1;42747;2017;Olga Marpaung;Gg. Surapati No. 50;Surabaya;Corporate;E1033;Not Specified;Alto Memo Cubes;Office Supplies;Wrap Bag;Regular Air;42749;49800;77700;27900;10;777000;0.01;7770;769230;498000;271230</t>
  </si>
  <si>
    <t>5257-1</t>
  </si>
  <si>
    <t>Kawaya Puspasari</t>
  </si>
  <si>
    <t>5257-1;42748;2017;Kawaya Puspasari;Gg. Monginsidi No. 3;Jakarta;Corporate;E1029;Medium;Laser DVD-RAM discs;Technology;Small Pack;Express Air;42749;302700;531150;228450;16;8498400;0;0;8498400;4843200;3655200</t>
  </si>
  <si>
    <t>5259-1</t>
  </si>
  <si>
    <t>5259-1;42750;2017;Oman Sihombing;Jl. Raya Ujungberung No. 121;Bandung;Consumer;E1032;High;DrawIt Colored Pencils, 48-Color Set;Office Supplies;Wrap Bag;Express Air;42751;323400;548250;224850;46;25219500;0.05;1260975;23958525;14876400;9082125</t>
  </si>
  <si>
    <t>5260-1</t>
  </si>
  <si>
    <t>Nadine Waskita</t>
  </si>
  <si>
    <t>Gang Rawamangun No. 02</t>
  </si>
  <si>
    <t>5260-1;42751;2017;Nadine Waskita;Gang Rawamangun No. 02;Surabaya;Corporate;E1038;High;Deluxe Rollaway Locking File with Drawer;Office Supplies;Small Box;Regular Air;42752;2682450;6238200;3555750;2;12476400;0.08;998112;11478288;5364900;6113388</t>
  </si>
  <si>
    <t>5261-1</t>
  </si>
  <si>
    <t>Kani Aryani</t>
  </si>
  <si>
    <t>600 Series Flip</t>
  </si>
  <si>
    <t>5261-1;42752;2017;Kani Aryani;Jl. S. Parman No. 38;Surabaya;Consumer;E1033;Low;600 Series Flip;Technology;Small Box;Regular Air;42759;619200;1439850;820650;17;24477450;0.09;2202970.5;22274479.5;10526400;11748079.5</t>
  </si>
  <si>
    <t>5263-1</t>
  </si>
  <si>
    <t>5263-1;42752;2017;Saiful Putra;Gg. Siliwangi No. 82;Surabaya;Corporate;E1036;Medium;Economy Binders;Office Supplies;Small Box;Regular Air;42754;19950;31200;11250;16;499200;0.04;19968;479232;319200;160032</t>
  </si>
  <si>
    <t>5265-1</t>
  </si>
  <si>
    <t>5265-1;42753;2017;Saadat Hutapea;Jalan PHH. Mustofa No. 625;Surabaya;Corporate;E1034;Medium;1726 Digital Answering Machine;Technology;Medium Box;Regular Air;42754;132300;314850;182550;25;7871250;0.05;393562.5;7477687.5;3307500;4170187.5</t>
  </si>
  <si>
    <t>5267-1</t>
  </si>
  <si>
    <t>Putri Maryadi</t>
  </si>
  <si>
    <t>5267-1;42756;2017;Putri Maryadi;Gg. HOS. Cokroaminoto No. 1;Surabaya;Corporate;E1041;Medium;Pizazz Drawing Pencil Set;Office Supplies;Wrap Bag;Regular Air;42758;22950;41700;18750;6;250200;0.01;2502;247698;137700;109998</t>
  </si>
  <si>
    <t>5268-1</t>
  </si>
  <si>
    <t>Ganep Uwais</t>
  </si>
  <si>
    <t>5268-1;42758;2017;Ganep Uwais;Gg. Stasiun Wonokromo No. 0;Jakarta;Consumer;E1028;Not Specified;Artisan Binder Labels;Office Supplies;Small Box;Regular Air;42760;36750;58350;21600;2;116700;0.07;8169;108531;73500;35031</t>
  </si>
  <si>
    <t>5268-2</t>
  </si>
  <si>
    <t>5268-2;42758;2017;Ganep Uwais;Gg. Stasiun Wonokromo No. 0;Jakarta;Consumer;E1028;Not Specified;Economy Rollaway Files;Office Supplies;Small Box;Regular Air;42759;1015950;2478000;1462050;6;14868000;0.09;1338120;13529880;6095700;7434180</t>
  </si>
  <si>
    <t>5272-1</t>
  </si>
  <si>
    <t>Cawisadi Anggriawan</t>
  </si>
  <si>
    <t>5272-1;42758;2017;Cawisadi Anggriawan;Gang R.E Martadinata No. 16;Surabaya;Small Business;E1037;Critical;Pizazz Dustless Chalk Sticks;Office Supplies;Wrap Bag;Regular Air;42759;16350;25200;8850;38;957600;0.07;67032;890568;621300;269268</t>
  </si>
  <si>
    <t>5274-1</t>
  </si>
  <si>
    <t>Olga Usamah</t>
  </si>
  <si>
    <t>Jalan S. Parman No. 88</t>
  </si>
  <si>
    <t>300 Series Non-Flip</t>
  </si>
  <si>
    <t>5274-1;42760;2017;Olga Usamah;Jalan S. Parman No. 88;Bandung;Corporate;E1036;Critical;300 Series Non-Flip;Technology;Small Box;Regular Air;42761;936000;2339850;1403850;48;112312800;0.04;4492512;107820288;44928000;62892288</t>
  </si>
  <si>
    <t>5274-2</t>
  </si>
  <si>
    <t>5274-2;42760;2017;Olga Usamah;Jalan S. Parman No. 88;Bandung;Corporate;E1036;Critical;3Max Organizer Strips;Office Supplies;Small Box;Regular Air;42760;51000;81000;30000;8;648000;0.08;51840;596160;408000;188160</t>
  </si>
  <si>
    <t>5277-1</t>
  </si>
  <si>
    <t>Warsita Maryadi</t>
  </si>
  <si>
    <t>5277-1;42767;2017;Warsita Maryadi;Jl. BKR No. 46;Jakarta;Corporate;E1028;Critical;12 Colored Short Pencils;Office Supplies;Wrap Bag;Regular Air;42769;16350;39000;22650;36;1404000;0;0;1404000;588600;815400</t>
  </si>
  <si>
    <t>5278-1</t>
  </si>
  <si>
    <t>Anom Januar</t>
  </si>
  <si>
    <t>Gg. Cihampelas No. 423</t>
  </si>
  <si>
    <t>5278-1;42767;2017;Anom Januar;Gg. Cihampelas No. 423;Surabaya;Corporate;E1030;Critical;Artisan 479 Labels;Office Supplies;Small Box;Express Air;42767;23850;39150;15300;1;39150;0.06;2349;36801;23850;12951</t>
  </si>
  <si>
    <t>5279-1</t>
  </si>
  <si>
    <t>Diah Sudiati</t>
  </si>
  <si>
    <t>5279-1;42767;2017;Diah Sudiati;Jalan Ciwastra No. 383;Surabaya;Corporate;E1032;Medium;Artisan Hanging File Binders;Office Supplies;Small Box;Regular Air;42768;54750;89700;34950;21;1883700;0.02;37674;1846026;1149750;696276</t>
  </si>
  <si>
    <t>5280-1</t>
  </si>
  <si>
    <t>Bajragin Saputra</t>
  </si>
  <si>
    <t>5280-1;42768;2017;Bajragin Saputra;Jalan Ciwastra No. 383;Surabaya;Consumer;E1032;Not Specified;Artisan Hanging File Binders;Office Supplies;Small Box;Regular Air;42770;54750;89700;34950;40;3588000;0;0;3588000;2190000;1398000</t>
  </si>
  <si>
    <t>5282-1</t>
  </si>
  <si>
    <t>5282-1;42768;2017;Cawisadi Anggriawan;Jl. Surapati No. 996;Surabaya;Small Business;E1037;Not Specified;Smiths General Use 3-Ring Binders;Office Supplies;Small Box;Regular Air;42770;17700;28200;10500;33;930600;0.07;65142;865458;584100;281358</t>
  </si>
  <si>
    <t>5284-1</t>
  </si>
  <si>
    <t>Prakosa Januar</t>
  </si>
  <si>
    <t>Jl. Dipenogoro No. 447</t>
  </si>
  <si>
    <t>Angle-D Binders with Locking Rings, Label Holders</t>
  </si>
  <si>
    <t>5284-1;42771;2017;Prakosa Januar;Jl. Dipenogoro No. 447;Surabaya;Small Business;E1039;High;Angle-D Binders with Locking Rings, Label Holders;Office Supplies;Small Box;Regular Air;42774;67950;109500;41550;31;3394500;0.03;101835;3292665;2106450;1186215</t>
  </si>
  <si>
    <t>5286-1</t>
  </si>
  <si>
    <t>Ilsa Hassanah</t>
  </si>
  <si>
    <t>Brown Kraft Recycled Envelopes</t>
  </si>
  <si>
    <t>5286-1;42772;2017;Ilsa Hassanah;Gg. Cihampelas No. 423;Surabaya;Small Business;E1030;High;Brown Kraft Recycled Envelopes;Office Supplies;Small Box;Regular Air;42774;165600;254700;89100;27;6876900;0.1;687690;6189210;4471200;1718010</t>
  </si>
  <si>
    <t>5288-1</t>
  </si>
  <si>
    <t>Eluh Usamah</t>
  </si>
  <si>
    <t>Jalan Ciumbuleuit No. 76</t>
  </si>
  <si>
    <t>5288-1;42773;2017;Eluh Usamah;Jalan Ciumbuleuit No. 76;Surabaya;Consumer;E1039;Not Specified;3Max Organizer Strips;Office Supplies;Small Box;Regular Air;42775;51000;81000;30000;47;3807000;0.03;114210;3692790;2397000;1295790</t>
  </si>
  <si>
    <t>5290-1</t>
  </si>
  <si>
    <t>Sakura Sihombing</t>
  </si>
  <si>
    <t>5290-1;42775;2017;Sakura Sihombing;Jl. K.H. Wahid Hasyim No. 4;Jakarta;Corporate;E1029;High;Laser Neon Mac Format Diskettes, 10/Pack;Technology;Small Pack;Regular Air;42776;28050;121800;93750;37;4506600;0;0;4506600;1037850;3468750</t>
  </si>
  <si>
    <t>5291-1</t>
  </si>
  <si>
    <t>Steady 52201 APSCO Electric Pencil Sharpener</t>
  </si>
  <si>
    <t>5291-1;42775;2017;Opung Kuswoyo;Gg. Otto Iskandardinata No. 6;Jakarta;Corporate;E1029;High;Steady 52201 APSCO Electric Pencil Sharpener;Office Supplies;Small Pack;Express Air;42776;252000;614550;362550;11;6760050;0.03;202801.5;6557248.5;2772000;3785248.5</t>
  </si>
  <si>
    <t>5292-1</t>
  </si>
  <si>
    <t>Bancar Melani</t>
  </si>
  <si>
    <t>Gg. HOS. Cokroaminoto No. 72</t>
  </si>
  <si>
    <t>5292-1;42776;2017;Bancar Melani;Gg. HOS. Cokroaminoto No. 72;Surabaya;Home Office;E1034;Critical;Artisan 481 Labels;Office Supplies;Small Box;Regular Air;42777;29100;46200;17100;41;1894200;0.04;75768;1818432;1193100;625332</t>
  </si>
  <si>
    <t>5294-1</t>
  </si>
  <si>
    <t>Eja Aryani</t>
  </si>
  <si>
    <t>5294-1;42779;2017;Eja Aryani;Jl. Dipenogoro No. 447;Surabaya;Consumer;E1039;Critical;Laser Neon Mac Format Diskettes, 10/Pack;Technology;Small Pack;Regular Air;42780;28050;121800;93750;16;1948800;0.03;58464;1890336;448800;1441536</t>
  </si>
  <si>
    <t>5296-1</t>
  </si>
  <si>
    <t>5296-1;42780;2017;Galang Sitompul;Gg. Otto Iskandardinata No. 6;Jakarta;Home Office;E1028;Medium;Angle-D Binders with Locking Rings, Label Holders;Office Supplies;Small Box;Regular Air;42781;67950;109500;41550;45;4927500;0.04;197100;4730400;3057750;1672650</t>
  </si>
  <si>
    <t>5298-1</t>
  </si>
  <si>
    <t>Luis Siregar</t>
  </si>
  <si>
    <t>Gg. Ronggowarsito No. 033</t>
  </si>
  <si>
    <t>5298-1;42781;2017;Luis Siregar;Gg. Ronggowarsito No. 033;Surabaya;Corporate;E1038;Critical;Apex Straight Scissors;Office Supplies;Small Pack;Regular Air;42781;77850;194700;116850;40;7788000;0.05;389400;7398600;3114000;4284600</t>
  </si>
  <si>
    <t>5299-1</t>
  </si>
  <si>
    <t>Yuliana Rahmawati</t>
  </si>
  <si>
    <t>Gang Kebonjati No. 827</t>
  </si>
  <si>
    <t>Artisan 487 Labels</t>
  </si>
  <si>
    <t>5299-1;42783;2017;Yuliana Rahmawati;Gang Kebonjati No. 827;Bandung;Corporate;E1033;Not Specified;Artisan 487 Labels;Office Supplies;Small Box;Regular Air;42785;34350;55350;21000;42;2324700;0.04;92988;2231712;1442700;789012</t>
  </si>
  <si>
    <t>5300-1</t>
  </si>
  <si>
    <t>Wahyu Mulyani</t>
  </si>
  <si>
    <t>Jl. Kapten Muslihat No. 853</t>
  </si>
  <si>
    <t>Lumi Crayons</t>
  </si>
  <si>
    <t>5300-1;42783;2017;Wahyu Mulyani;Jl. Kapten Muslihat No. 853;Surabaya;Corporate;E1032;Critical;Lumi Crayons;Office Supplies;Wrap Bag;Regular Air;42784;78300;147750;69450;27;3989250;0.1;398925;3590325;2114100;1476225</t>
  </si>
  <si>
    <t>5302-1</t>
  </si>
  <si>
    <t>Mujur Hariyah</t>
  </si>
  <si>
    <t>Jalan Moch. Toha No. 9</t>
  </si>
  <si>
    <t>5302-1;42785;2017;Mujur Hariyah;Jalan Moch. Toha No. 9;Surabaya;Small Business;E1033;Medium;Steady Major Accent Highlighters;Office Supplies;Wrap Bag;Express Air;42786;56250;106200;49950;29;3079800;0.07;215586;2864214;1631250;1232964</t>
  </si>
  <si>
    <t>5303-1</t>
  </si>
  <si>
    <t>Intan Widodo</t>
  </si>
  <si>
    <t>5303-1;42787;2017;Intan Widodo;Gg. Monginsidi No. 3;Jakarta;Small Business;E1029;Low;Alto Memo Cubes;Office Supplies;Wrap Bag;Regular Air;42787;49800;77700;27900;8;621600;0.06;37296;584304;398400;185904</t>
  </si>
  <si>
    <t>5304-1</t>
  </si>
  <si>
    <t>Tomi Putra</t>
  </si>
  <si>
    <t>Artisan Durable Poly Binders</t>
  </si>
  <si>
    <t>5304-1;42790;2017;Tomi Putra;Gg. Joyoboyo No. 026;Jakarta;Corporate;E1028;Medium;Artisan Durable Poly Binders;Office Supplies;Small Box;Regular Air;42792;50550;82950;32400;17;1410150;0.02;28203;1381947;859350;522597</t>
  </si>
  <si>
    <t>5305-1</t>
  </si>
  <si>
    <t>5305-1;42793;2017;Latif Nasyiah;Jalan Ciwastra No. 383;Surabaya;Consumer;E1032;Not Specified;Xit Blank Computer Paper;Office Supplies;Small Box;Regular Air;42795;185850;299700;113850;47;14085900;0.04;563436;13522464;8734950;4787514</t>
  </si>
  <si>
    <t>5307-1</t>
  </si>
  <si>
    <t>5307-1;42794;2017;Teddy Yuniar;Jl. Jend. Sudirman No. 0;Surabaya;Consumer;E1030;Not Specified;Aluminum Document Frame;Furniture;Small Pack;Regular Air;42794;82500;183300;100800;27;4949100;0.07;346437;4602663;2227500;2375163</t>
  </si>
  <si>
    <t>5309-1</t>
  </si>
  <si>
    <t>Pangeran Rahimah</t>
  </si>
  <si>
    <t>Gang Cikapayang No. 055</t>
  </si>
  <si>
    <t>Pizazz Colored Pencils</t>
  </si>
  <si>
    <t>5309-1;42794;2017;Pangeran Rahimah;Gang Cikapayang No. 055;Surabaya;Corporate;E1040;Critical;Pizazz Colored Pencils;Office Supplies;Wrap Bag;Regular Air;42795;26400;44100;17700;23;1014300;0.07;71001;943299;607200;336099</t>
  </si>
  <si>
    <t>5310-1</t>
  </si>
  <si>
    <t>Rachel Agustina</t>
  </si>
  <si>
    <t>5310-1;42795;2017;Rachel Agustina;Jalan K.H. Wahid Hasyim No. 5;Surabaya;Consumer;E1030;Critical;Adesso Programmable 142-Key Keyboard;Technology;Small Box;Express Air;42797;594600;2287200;1692600;2;4574400;0.02;91488;4482912;1189200;3293712</t>
  </si>
  <si>
    <t>5311-1</t>
  </si>
  <si>
    <t>Sidiq Sirait</t>
  </si>
  <si>
    <t>Apex Office Executive Series Stainless Steel Trimmers</t>
  </si>
  <si>
    <t>5311-1;42795;2017;Sidiq Sirait;Jl. Surapati No. 996;Jakarta;Home Office;E1029;Critical;Apex Office Executive Series Stainless Steel Trimmers;Office Supplies;Small Pack;Regular Air;42796;52650;128550;75900;24;3085200;0.06;185112;2900088;1263600;1636488</t>
  </si>
  <si>
    <t>5312-1</t>
  </si>
  <si>
    <t>Genta Usada</t>
  </si>
  <si>
    <t>5312-1;42795;2017;Genta Usada;Jl. K.H. Wahid Hasyim No. 4;Jakarta;Corporate;E1029;High;Artisan Binder Labels;Office Supplies;Small Box;Regular Air;42795;36750;58350;21600;47;2742450;0;0;2742450;1727250;1015200</t>
  </si>
  <si>
    <t>5313-1</t>
  </si>
  <si>
    <t>Kairav Winarno</t>
  </si>
  <si>
    <t>5313-1;42796;2017;Kairav Winarno;Gg. Suniaraja No. 21;Surabaya;Small Business;E1031;Low;Smiths Metal Binder Clips;Office Supplies;Wrap Bag;Regular Air;42798;24000;39300;15300;26;1021800;0.09;91962;929838;624000;305838</t>
  </si>
  <si>
    <t>5314-1</t>
  </si>
  <si>
    <t>Daliman Pranowo</t>
  </si>
  <si>
    <t>Gg. Merdeka No. 97</t>
  </si>
  <si>
    <t>5314-1;42796;2017;Daliman Pranowo;Gg. Merdeka No. 97;Bandung;Corporate;E1039;High;TypeRight  Top-Opening Peel &amp; Seel  Envelopes, Gray;Office Supplies;Small Box;Regular Air;42798;323400;539100;215700;19;10242900;0.09;921861;9321039;6144600;3176439</t>
  </si>
  <si>
    <t>5315-1</t>
  </si>
  <si>
    <t>5315-1;42797;2017;Warsita Megantara;Gang Asia Afrika No. 72;Surabaya;Corporate;E1037;Medium;Alto Parchment Paper, Assorted Colors;Office Supplies;Small Box;Regular Air;42799;68850;109200;40350;3;327600;0.01;3276;324324;206550;117774</t>
  </si>
  <si>
    <t>5316-1</t>
  </si>
  <si>
    <t>5316-1;42798;2017;Anom Januar;Gg. Cihampelas No. 423;Surabaya;Consumer;E1030;Low;Emerson C82 Color Inkjet Printer;Technology;Jumbo Drum;Delivery Truck;42805;1151850;1799850;648000;4;7199400;0.06;431964;6767436;4607400;2160036</t>
  </si>
  <si>
    <t>5318-1</t>
  </si>
  <si>
    <t>5318-1;42798;2017;Sakura Sihombing;Jl. K.H. Wahid Hasyim No. 4;Jakarta;Corporate;E1029;Not Specified;Steady Liquid Accent Highlighters;Office Supplies;Wrap Bag;Regular Air;42799;52050;100200;48150;15;1503000;0.03;45090;1457910;780750;677160</t>
  </si>
  <si>
    <t>5319-1</t>
  </si>
  <si>
    <t>Harsaya Rahmawati</t>
  </si>
  <si>
    <t>Jalan Rumah Sakit No. 287</t>
  </si>
  <si>
    <t>3Max Polarizing Light Filter Sleeves</t>
  </si>
  <si>
    <t>5319-1;42801;2017;Harsaya Rahmawati;Jalan Rumah Sakit No. 287;Surabaya;Consumer;E1032;Not Specified;3Max Polarizing Light Filter Sleeves;Furniture;Small Pack;Regular Air;42802;170700;279750;109050;19;5315250;0.07;372067.5;4943182.5;3243300;1699882.5</t>
  </si>
  <si>
    <t>5321-1</t>
  </si>
  <si>
    <t>Raditya Mayasari</t>
  </si>
  <si>
    <t>5321-1;42801;2017;Raditya Mayasari;Jalan Ciwastra No. 383;Surabaya;Corporate;E1032;Medium;Binder Posts;Office Supplies;Small Box;Express Air;42803;52500;86100;33600;27;2324700;0.08;185976;2138724;1417500;721224</t>
  </si>
  <si>
    <t>5323-1</t>
  </si>
  <si>
    <t>Tantri Handayani</t>
  </si>
  <si>
    <t>5323-1;42805;2017;Tantri Handayani;Jalan Astana Anyar No. 41;Jakarta;Consumer;E1028;Critical;UGen RF Keyboard;Technology;Small Box;Regular Air;42807;1223850;2399850;1176000;50;119992500;0.05;5999625;113992875;61192500;52800375</t>
  </si>
  <si>
    <t>5324-1</t>
  </si>
  <si>
    <t>Michelle Oktaviani</t>
  </si>
  <si>
    <t>5324-1;42807;2017;Michelle Oktaviani;Jl. Jend. Sudirman No. 0;Surabaya;Corporate;E1030;High;Emerson C82 Color Inkjet Printer;Technology;Jumbo Drum;Delivery Truck;42809;1151850;1799850;648000;8;14398800;0.09;1295892;13102908;9214800;3888108</t>
  </si>
  <si>
    <t>5326-1</t>
  </si>
  <si>
    <t>Luwar Yuniar</t>
  </si>
  <si>
    <t>5326-1;42813;2017;Luwar Yuniar;Jalan R.E Martadinata No. 6;Jakarta;Small Business;E1029;Not Specified;Steady 52201 APSCO Electric Pencil Sharpener;Office Supplies;Small Pack;Express Air;42815;252000;614550;362550;49;30112950;0.09;2710165.5;27402784.5;12348000;15054784.5</t>
  </si>
  <si>
    <t>5328-1</t>
  </si>
  <si>
    <t>Ega Zulaika</t>
  </si>
  <si>
    <t>5328-1;42816;2017;Ega Zulaika;Jl. Jamika No. 246;Surabaya;Home Office;E1038;Low;Smiths Metal Binder Clips;Office Supplies;Wrap Bag;Regular Air;42823;24000;39300;15300;47;1847100;0.1;184710;1662390;1128000;534390</t>
  </si>
  <si>
    <t>5330-1</t>
  </si>
  <si>
    <t>Karya Haryanto</t>
  </si>
  <si>
    <t>Steady Pocket Accent Highlighters</t>
  </si>
  <si>
    <t>5330-1;42816;2017;Karya Haryanto;Gg. Siliwangi No. 82;Surabaya;Home Office;E1036;Medium;Steady Pocket Accent Highlighters;Office Supplies;Wrap Bag;Regular Air;42816;13950;24000;10050;25;600000;0.1;60000;540000;348750;191250</t>
  </si>
  <si>
    <t>5332-1</t>
  </si>
  <si>
    <t>5332-1;42817;2017;Ilsa Hassanah;Gg. Cihampelas No. 423;Surabaya;Corporate;E1030;Critical;Bagged Rubber Bands;Office Supplies;Wrap Bag;Regular Air;42817;3600;18900;15300;9;170100;0.06;10206;159894;32400;127494</t>
  </si>
  <si>
    <t>5334-1</t>
  </si>
  <si>
    <t>5334-1;42818;2017;Oman Sihombing;Jl. Raya Ujungberung No. 121;Bandung;Small Business;E1032;Not Specified;Artisan Hanging File Binders;Office Supplies;Small Box;Regular Air;42820;54750;89700;34950;25;2242500;0.03;67275;2175225;1368750;806475</t>
  </si>
  <si>
    <t>5335-1</t>
  </si>
  <si>
    <t>5335-1;42819;2017;Wawan Riyanti;Jl. Antapani Lama No. 705;Jakarta;Home Office;E1028;Low;Artisan Printable Repositionable Plastic Tabs;Office Supplies;Small Box;Regular Air;42821;79950;129000;49050;6;774000;0.04;30960;743040;479700;263340</t>
  </si>
  <si>
    <t>5335-2</t>
  </si>
  <si>
    <t>5335-2;42819;2017;Wawan Riyanti;Jl. Antapani Lama No. 705;Jakarta;Home Office;E1028;Low;OIC Colored Binder Clips, Assorted Sizes;Office Supplies;Wrap Bag;Regular Air;42823;34350;53700;19350;30;1611000;0.01;16110;1594890;1030500;564390</t>
  </si>
  <si>
    <t>5336-1</t>
  </si>
  <si>
    <t>Prayogo Rajata</t>
  </si>
  <si>
    <t>Gg. Siliwangi No. 26</t>
  </si>
  <si>
    <t>5336-1;42819;2017;Prayogo Rajata;Gg. Siliwangi No. 26;Surabaya;Corporate;E1036;Low;Binding Machine Supplies;Office Supplies;Small Box;Regular Air;42823;275700;437550;161850;16;7000800;0.07;490056;6510744;4411200;2099544</t>
  </si>
  <si>
    <t>5340-1</t>
  </si>
  <si>
    <t>Cawuk Fujiati</t>
  </si>
  <si>
    <t>Artisan Binding System Hidden Tab Executive Style Index Sets</t>
  </si>
  <si>
    <t>5340-1;42821;2017;Cawuk Fujiati;Jl. S. Parman No. 38;Surabaya;Consumer;E1033;Not Specified;Artisan Binding System Hidden Tab Executive Style Index Sets;Office Supplies;Small Box;Regular Air;42822;56250;86550;30300;9;778950;0;0;778950;506250;272700</t>
  </si>
  <si>
    <t>5342-1</t>
  </si>
  <si>
    <t>Cakrawangsa Waluyo</t>
  </si>
  <si>
    <t>Artisan Hi-Liter GlideStik Fluorescent Highlighter, Yellow Ink</t>
  </si>
  <si>
    <t>5342-1;42821;2017;Cakrawangsa Waluyo;Gg. Stasiun Wonokromo No. 32;Surabaya;Corporate;E1030;Critical;Artisan Hi-Liter GlideStik Fluorescent Highlighter, Yellow Ink;Office Supplies;Wrap Bag;Regular Air;42823;28800;48900;20100;6;293400;0.01;2934;290466;172800;117666</t>
  </si>
  <si>
    <t>5343-1</t>
  </si>
  <si>
    <t>Rafid Rahayu</t>
  </si>
  <si>
    <t>5343-1;42824;2017;Rafid Rahayu;Jalan Astana Anyar No. 41;Jakarta;Small Business;E1028;Critical;Artisan 487 Labels;Office Supplies;Small Box;Regular Air;42827;34350;55350;21000;45;2490750;0.08;199260;2291490;1545750;745740</t>
  </si>
  <si>
    <t>5345-1</t>
  </si>
  <si>
    <t>Uda Megantara</t>
  </si>
  <si>
    <t>5345-1;42825;2017;Uda Megantara;Gang Yos Sudarso No. 13;Surabaya;Corporate;E1039;Critical;Artisan Printable Repositionable Plastic Tabs;Office Supplies;Small Box;Regular Air;42827;79950;129000;49050;23;2967000;0.02;59340;2907660;1838850;1068810</t>
  </si>
  <si>
    <t>5346-1</t>
  </si>
  <si>
    <t>5346-1;42827;2017;Gamani Laksmiwati;Jl. Antapani Lama No. 705;Jakarta;Consumer;E1028;High;TechSavi Cordless Navigator Duo;Technology;Small Box;Regular Air;42829;631650;1214700;583050;13;15791100;0.03;473733;15317367;8211450;7105917</t>
  </si>
  <si>
    <t>5347-1</t>
  </si>
  <si>
    <t>Akarsana Purwanti</t>
  </si>
  <si>
    <t>5347-1;42831;2017;Akarsana Purwanti;Gang Asia Afrika No. 72;Surabaya;Small Business;E1037;Critical;Adesso Programmable 142-Key Keyboard;Technology;Small Box;Regular Air;42833;594600;2287200;1692600;41;93775200;0.07;6564264;87210936;24378600;62832336</t>
  </si>
  <si>
    <t>5349-1</t>
  </si>
  <si>
    <t>Dina Suryatmi</t>
  </si>
  <si>
    <t>Artisan 478 Labels</t>
  </si>
  <si>
    <t>5349-1;42831;2017;Dina Suryatmi;Gg. Otto Iskandardinata No. 6;Jakarta;Home Office;E1029;Medium;Artisan 478 Labels;Office Supplies;Small Box;Regular Air;42831;47100;73650;26550;12;883800;0.04;35352;848448;565200;283248</t>
  </si>
  <si>
    <t>5350-1</t>
  </si>
  <si>
    <t>Tantri Hutapea</t>
  </si>
  <si>
    <t>5350-1;42835;2017;Tantri Hutapea;Jalan PHH. Mustofa No. 625;Surabaya;Home Office;E1034;Low;Binding Machine Supplies;Office Supplies;Small Box;Regular Air;42837;275700;437550;161850;37;16189350;0.09;1457041.5;14732308.5;10200900;4531408.5</t>
  </si>
  <si>
    <t>5352-1</t>
  </si>
  <si>
    <t>5352-1;42837;2017;Siska Halim;Jl. HOS. Cokroaminoto No. 1;Surabaya;Consumer;E1039;Medium;DrawIt Pizazz Watercolor Pencils, 10-Color Set with Brush;Office Supplies;Wrap Bag;Regular Air;42838;35850;63900;28050;26;1661400;0.1;166140;1495260;932100;563160</t>
  </si>
  <si>
    <t>5354-1</t>
  </si>
  <si>
    <t>5354-1;42837;2017;Nugraha Nurdiyanti;Gang Dipatiukur No. 9;Surabaya;Small Business;E1033;Not Specified;TechSavi Cordless Elite Duo;Technology;Small Box;Regular Air;42838;908850;1514700;605850;1;1514700;0.1;151470;1363230;908850;454380</t>
  </si>
  <si>
    <t>5355-1</t>
  </si>
  <si>
    <t>Capa Hartati</t>
  </si>
  <si>
    <t>Apex Forged Steel Scissors with Black Enamel Handles</t>
  </si>
  <si>
    <t>5355-1;42838;2017;Capa Hartati;Jl. Erlangga No. 7;Surabaya;Small Business;E1033;High;Apex Forged Steel Scissors with Black Enamel Handles;Office Supplies;Small Pack;Regular Air;42839;61500;139650;78150;18;2513700;0.01;25137;2488563;1107000;1381563</t>
  </si>
  <si>
    <t>5357-1</t>
  </si>
  <si>
    <t>5357-1;42838;2017;Luwar Yuniar;Jalan R.E Martadinata No. 6;Jakarta;Small Business;E1029;Low;Artisan Legal 4-Ring Binder;Office Supplies;Small Box;Regular Air;42838;204600;314700;110100;23;7238100;0.03;217143;7020957;4705800;2315157</t>
  </si>
  <si>
    <t>5358-1</t>
  </si>
  <si>
    <t>Najib Pratama</t>
  </si>
  <si>
    <t>5358-1;42843;2017;Najib Pratama;Gang Cikapayang No. 055;Surabaya;Consumer;E1040;Critical;Artisan Heavy-Duty EZD  Binder With Locking Rings;Office Supplies;Small Box;Regular Air;42845;52800;83700;30900;49;4101300;0.02;82026;4019274;2587200;1432074</t>
  </si>
  <si>
    <t>5358-2</t>
  </si>
  <si>
    <t>5358-2;42843;2017;Najib Pratama;Gang Cikapayang No. 055;Surabaya;Consumer;E1040;Critical;Desktop 3-Pocket Hot File;Office Supplies;Small Box;Regular Air;42844;332700;811500;478800;42;34083000;0.02;681660;33401340;13973400;19427940</t>
  </si>
  <si>
    <t>5360-1</t>
  </si>
  <si>
    <t>Ajiono Setiawan</t>
  </si>
  <si>
    <t>5360-1;42846;2017;Ajiono Setiawan;Jl. Sadang Serang No. 015;Surabaya;Home Office;E1036;High;Economy Rollaway Files;Office Supplies;Small Box;Regular Air;42846;1015950;2478000;1462050;49;121422000;0.05;6071100;115350900;49781550;65569350</t>
  </si>
  <si>
    <t>5362-1</t>
  </si>
  <si>
    <t>Praba Handayani</t>
  </si>
  <si>
    <t>Smiths Bulldog Clip</t>
  </si>
  <si>
    <t>5362-1;42846;2017;Praba Handayani;Jl. Laswi No. 04;Surabaya;Home Office;E1040;Medium;Smiths Bulldog Clip;Office Supplies;Wrap Bag;Regular Air;42847;34650;56700;22050;47;2664900;0.02;53298;2611602;1628550;983052</t>
  </si>
  <si>
    <t>5364-1</t>
  </si>
  <si>
    <t>Imam Pertiwi</t>
  </si>
  <si>
    <t>5364-1;42847;2017;Imam Pertiwi;Gang Yos Sudarso No. 13;Surabaya;Small Business;E1039;Low;Artisan Flip-Chart Easel Binder, Black;Office Supplies;Small Box;Regular Air;42854;208200;335700;127500;21;7049700;0.04;281988;6767712;4372200;2395512</t>
  </si>
  <si>
    <t>5365-1</t>
  </si>
  <si>
    <t>5365-1;42847;2017;Rafi Anggriawan;Gg. Stasiun Wonokromo No. 0;Jakarta;Corporate;E1028;Low;Steady Colorific Colored Pencils, 12/Box;Office Supplies;Wrap Bag;Regular Air;42851;19500;43200;23700;46;1987200;0.04;79488;1907712;897000;1010712</t>
  </si>
  <si>
    <t>5367-1</t>
  </si>
  <si>
    <t>Tantri Anggraini</t>
  </si>
  <si>
    <t>5367-1;42849;2017;Tantri Anggraini;Gang H.J Maemunah No. 6;Surabaya;Home Office;E1037;Medium;3Max Organizer Strips;Office Supplies;Small Box;Express Air;42849;51000;81000;30000;9;729000;0.09;65610;663390;459000;204390</t>
  </si>
  <si>
    <t>5367-2</t>
  </si>
  <si>
    <t>5367-2;42849;2017;Tantri Anggraini;Gang H.J Maemunah No. 6;Surabaya;Home Office;E1037;Medium;Office Shears by Apex;Office Supplies;Small Pack;Regular Air;42850;14100;31200;17100;43;1341600;0.05;67080;1274520;606300;668220</t>
  </si>
  <si>
    <t>5369-1</t>
  </si>
  <si>
    <t>5369-1;42849;2017;Gabriella Simbolon;Jalan Gedebage Selatan No. 048;Jakarta;Small Business;E1029;Not Specified;3Max Polarizing Task Lamp with Clamp Arm, Light Gray;Furniture;Large Box;Express Air;42850;842400;2054700;1212300;18;36984600;0.02;739692;36244908;15163200;21081708</t>
  </si>
  <si>
    <t>5373-1</t>
  </si>
  <si>
    <t>Daruna Mustofa</t>
  </si>
  <si>
    <t>Jalan Gegerkalong Hilir No. 763</t>
  </si>
  <si>
    <t>5373-1;42852;2017;Daruna Mustofa;Jalan Gegerkalong Hilir No. 763;Jakarta;Home Office;E1029;Low;TypeRight  Top-Opening Peel &amp; Seel  Envelopes, Gray;Office Supplies;Small Box;Regular Air;42857;323400;539100;215700;13;7008300;0.09;630747;6377553;4204200;2173353</t>
  </si>
  <si>
    <t>5375-1</t>
  </si>
  <si>
    <t>Argono Farida</t>
  </si>
  <si>
    <t>Jalan Cikapayang No. 31</t>
  </si>
  <si>
    <t>5375-1;42853;2017;Argono Farida;Jalan Cikapayang No. 31;Surabaya;Consumer;E1030;Not Specified;3Max Organizer Strips;Office Supplies;Small Box;Express Air;42855;51000;81000;30000;14;1134000;0.09;102060;1031940;714000;317940</t>
  </si>
  <si>
    <t>5377-1</t>
  </si>
  <si>
    <t>5377-1;42853;2017;Dadi Anggraini;Jalan K.H. Wahid Hasyim No. 5;Surabaya;Home Office;E1030;Not Specified;Fluorescent Highlighters by DrawIt;Office Supplies;Wrap Bag;Regular Air;42856;29250;59700;30450;41;2447700;0.07;171339;2276361;1199250;1077111</t>
  </si>
  <si>
    <t>5379-1</t>
  </si>
  <si>
    <t>5379-1;42854;2017;Luhung Padmasari;Jl. Pelajar Pejuang No. 25;Bandung;Corporate;E1036;Medium;Apex Straight Scissors;Office Supplies;Small Pack;Express Air;42856;77850;194700;116850;34;6619800;0.04;264792;6355008;2646900;3708108</t>
  </si>
  <si>
    <t>5381-1</t>
  </si>
  <si>
    <t>Salimah Habibi</t>
  </si>
  <si>
    <t>Emerson LQ-870 Dot Matrix Printer</t>
  </si>
  <si>
    <t>5381-1;42854;2017;Salimah Habibi;Jalan Tebet Barat Dalam No. 229;Surabaya;Home Office;E1031;Medium;Emerson LQ-870 Dot Matrix Printer;Technology;Jumbo Drum;Delivery Truck;42856;3294150;8034600;4740450;1;8034600;0.05;401730;7632870;3294150;4338720</t>
  </si>
  <si>
    <t>5383-1</t>
  </si>
  <si>
    <t>Zulfa Puspasari</t>
  </si>
  <si>
    <t>Gang Astana Anyar No. 0</t>
  </si>
  <si>
    <t>5383-1;42856;2017;Zulfa Puspasari;Gang Astana Anyar No. 0;Bandung;Home Office;E1036;Critical;Artisan 48 Labels;Office Supplies;Small Box;Regular Air;42858;57600;94500;36900;32;3024000;0.04;120960;2903040;1843200;1059840</t>
  </si>
  <si>
    <t>5384-1</t>
  </si>
  <si>
    <t>Ina Permata</t>
  </si>
  <si>
    <t>Gg. Surapati No. 471</t>
  </si>
  <si>
    <t>5384-1;42862;2017;Ina Permata;Gg. Surapati No. 471;Surabaya;Home Office;E1038;Not Specified;Binder Clips by OIC;Office Supplies;Wrap Bag;Regular Air;42864;13950;22200;8250;27;599400;0;0;599400;376650;222750</t>
  </si>
  <si>
    <t>5386-1</t>
  </si>
  <si>
    <t>Wardi Yolanda</t>
  </si>
  <si>
    <t>5386-1;42863;2017;Wardi Yolanda;Jalan Gardujati No. 513;Surabaya;Corporate;E1036;High;Emerson C82 Color Inkjet Printer;Technology;Jumbo Drum;Delivery Truck;42865;1151850;1799850;648000;13;23398050;0.04;935922;22462128;14974050;7488078</t>
  </si>
  <si>
    <t>5388-1</t>
  </si>
  <si>
    <t>Ega Rajata</t>
  </si>
  <si>
    <t>5388-1;42864;2017;Ega Rajata;Gang Asia Afrika No. 96;Surabaya;Home Office;E1036;Medium;12 Colored Short Pencils;Office Supplies;Wrap Bag;Regular Air;42866;16350;39000;22650;27;1053000;0.09;94770;958230;441450;516780</t>
  </si>
  <si>
    <t>5389-1</t>
  </si>
  <si>
    <t>Rahayu Nurdiyanti</t>
  </si>
  <si>
    <t>5389-1;42865;2017;Rahayu Nurdiyanti;Jalan R.E Martadinata No. 6;Jakarta;Consumer;E1029;Low;Aluminum Document Frame;Furniture;Small Pack;Regular Air;42872;82500;183300;100800;19;3482700;0.09;313443;3169257;1567500;1601757</t>
  </si>
  <si>
    <t>5391-1</t>
  </si>
  <si>
    <t>Rangga Jailani</t>
  </si>
  <si>
    <t>Gg. Jamika No. 6</t>
  </si>
  <si>
    <t>5391-1;42865;2017;Rangga Jailani;Gg. Jamika No. 6;Surabaya;Corporate;E1036;Critical;TechSavi Access Keyboard;Technology;Small Box;Regular Air;42866;151050;239700;88650;8;1917600;0.04;76704;1840896;1208400;632496</t>
  </si>
  <si>
    <t>5392-1</t>
  </si>
  <si>
    <t>Wadi Siregar</t>
  </si>
  <si>
    <t>5392-1;42866;2017;Wadi Siregar;Gg. M.H Thamrin No. 784;Jakarta;Consumer;E1029;High;Artisan Printable Repositionable Plastic Tabs;Office Supplies;Small Box;Regular Air;42866;79950;129000;49050;4;516000;0.04;20640;495360;319800;175560</t>
  </si>
  <si>
    <t>5393-1</t>
  </si>
  <si>
    <t>Balapati Agustina</t>
  </si>
  <si>
    <t>5393-1;42868;2017;Balapati Agustina;Gang Gedebage Selatan No. 424;Surabaya;Small Business;E1033;High;TypeRight Side-Opening Peel &amp; Seel Expanding Envelopes;Office Supplies;Small Box;Regular Air;42871;814350;1357200;542850;27;36644400;0;0;36644400;21987450;14656950</t>
  </si>
  <si>
    <t>5394-1</t>
  </si>
  <si>
    <t>Tasdik Nugroho</t>
  </si>
  <si>
    <t>Jl. Pasir Koja No. 059</t>
  </si>
  <si>
    <t>5394-1;42869;2017;Tasdik Nugroho;Jl. Pasir Koja No. 059;Surabaya;Corporate;E1032;Critical;Artisan Legal 4-Ring Binder;Office Supplies;Small Box;Regular Air;42871;204600;314700;110100;31;9755700;0.09;878013;8877687;6342600;2535087</t>
  </si>
  <si>
    <t>5395-1</t>
  </si>
  <si>
    <t>Kiandra Salahudin</t>
  </si>
  <si>
    <t>5395-1;42869;2017;Kiandra Salahudin;Jalan Raya Ujungberung No. 5;Surabaya;Small Business;E1037;Medium;Wirebound Message Book, 4 per Page;Office Supplies;Wrap Bag;Regular Air;42871;52200;81450;29250;2;162900;0.1;16290;146610;104400;42210</t>
  </si>
  <si>
    <t>5396-1</t>
  </si>
  <si>
    <t>Usman Prabowo</t>
  </si>
  <si>
    <t>5396-1;42872;2017;Usman Prabowo;Jl. K.H. Wahid Hasyim No. 4;Jakarta;Small Business;E1029;Low;Colored Envelopes;Office Supplies;Small Box;Regular Air;42877;33750;55350;21600;20;1107000;0.08;88560;1018440;675000;343440</t>
  </si>
  <si>
    <t>5398-1</t>
  </si>
  <si>
    <t>Bahuraksa Saragih</t>
  </si>
  <si>
    <t>5398-1;42873;2017;Bahuraksa Saragih;Jalan Kapten Muslihat No. 168;Surabaya;Small Business;E1031;Critical;UGen Ultra Cordless Optical Suite;Technology;Small Box;Regular Air;42874;817800;1514550;696750;15;22718250;0.08;1817460;20900790;12267000;8633790</t>
  </si>
  <si>
    <t>5400-1</t>
  </si>
  <si>
    <t>5400-1;42875;2017;Mujur Hariyah;Jalan Moch. Toha No. 9;Surabaya;Small Business;E1033;Medium;Cando PC940 Copier;Technology;Jumbo Drum;Delivery Truck;42876;4184850;6749850;2565000;39;263244150;0.08;21059532;242184618;163209150;78975468</t>
  </si>
  <si>
    <t>5402-1</t>
  </si>
  <si>
    <t>Jasmani Napitupulu</t>
  </si>
  <si>
    <t>Gg. Joyoboyo No. 8</t>
  </si>
  <si>
    <t>HFX LaserJet 3310 Copier</t>
  </si>
  <si>
    <t>5402-1;42877;2017;Jasmani Napitupulu;Gg. Joyoboyo No. 8;Jakarta;Corporate;E1028;Low;HFX LaserJet 3310 Copier;Technology;Large Box;Regular Air;42886;5669850;8999850;3330000;48;431992800;0.08;34559424;397433376;272152800;125280576</t>
  </si>
  <si>
    <t>5402-2</t>
  </si>
  <si>
    <t>Unpadded Memo Slips</t>
  </si>
  <si>
    <t>5402-2;42877;2017;Jasmani Napitupulu;Gg. Joyoboyo No. 8;Jakarta;Corporate;E1028;Low;Unpadded Memo Slips;Office Supplies;Wrap Bag;Express Air;42882;38850;59700;20850;11;656700;0.1;65670;591030;427350;163680</t>
  </si>
  <si>
    <t>5404-1</t>
  </si>
  <si>
    <t>Balangga Rahmawati</t>
  </si>
  <si>
    <t>Jl. W.R. Supratman No. 473</t>
  </si>
  <si>
    <t>5404-1;42879;2017;Balangga Rahmawati;Jl. W.R. Supratman No. 473;Surabaya;Corporate;E1036;Low;Artisan Poly Binder Pockets;Office Supplies;Small Box;Regular Air;42883;33900;53700;19800;42;2255400;0.01;22554;2232846;1423800;809046</t>
  </si>
  <si>
    <t>5405-1</t>
  </si>
  <si>
    <t>Kayla Melani</t>
  </si>
  <si>
    <t>5405-1;42880;2017;Kayla Melani;Jl. Ciwastra No. 543;Jakarta;Small Business;E1029;Critical;1726 Digital Answering Machine;Technology;Medium Box;Regular Air;42881;132300;314850;182550;42;13223700;0.07;925659;12298041;5556600;6741441</t>
  </si>
  <si>
    <t>5407-1</t>
  </si>
  <si>
    <t>Raden Hasanah</t>
  </si>
  <si>
    <t>Ames Color-File Green Diamond Border X-ray Mailers</t>
  </si>
  <si>
    <t>5407-1;42880;2017;Raden Hasanah;Gg. Ronggowarsito No. 033;Surabaya;Consumer;E1038;Low;Ames Color-File Green Diamond Border X-ray Mailers;Office Supplies;Small Box;Express Air;42882;781050;1259700;478650;9;11337300;0.05;566865;10770435;7029450;3740985</t>
  </si>
  <si>
    <t>5409-1</t>
  </si>
  <si>
    <t>Karsana Halim</t>
  </si>
  <si>
    <t>5409-1;42882;2017;Karsana Halim;Jalan Jayawijaya No. 5;Surabaya;Home Office;E1033;High;Cando PC940 Copier;Technology;Large Box;Regular Air;42883;3240000;6749850;3509850;5;33749250;0.02;674985;33074265;16200000;16874265</t>
  </si>
  <si>
    <t>5411-1</t>
  </si>
  <si>
    <t>Artisan Hi-Liter Pen Style Six-Color Fluorescent Set</t>
  </si>
  <si>
    <t>5411-1;42883;2017;Eja Anggriawan;Jalan K.H. Wahid Hasyim No. 5;Surabaya;Consumer;E1030;High;Artisan Hi-Liter Pen Style Six-Color Fluorescent Set;Office Supplies;Wrap Bag;Regular Air;42883;32400;57750;25350;31;1790250;0.09;161122.5;1629127.5;1004400;624727.5</t>
  </si>
  <si>
    <t>5413-1</t>
  </si>
  <si>
    <t>Bakiadi Hassanah</t>
  </si>
  <si>
    <t>Blackstonian Pencils</t>
  </si>
  <si>
    <t>5413-1;42885;2017;Bakiadi Hassanah;Jalan Gedebage Selatan No. 048;Jakarta;Home Office;E1029;Medium;Blackstonian Pencils;Office Supplies;Wrap Bag;Regular Air;42886;17250;40050;22800;19;760950;0.03;22828.5;738121.5;327750;410371.5</t>
  </si>
  <si>
    <t>5415-1</t>
  </si>
  <si>
    <t>Luhung Sudiati</t>
  </si>
  <si>
    <t>Creator Colored Pencils</t>
  </si>
  <si>
    <t>5415-1;42885;2017;Luhung Sudiati;Gang Asia Afrika No. 96;Surabaya;Corporate;E1036;Low;Creator Colored Pencils;Office Supplies;Wrap Bag;Express Air;42890;23550;49200;25650;44;2164800;0;0;2164800;1036200;1128600</t>
  </si>
  <si>
    <t>5416-1</t>
  </si>
  <si>
    <t>Wisnu Kuswandari</t>
  </si>
  <si>
    <t>5416-1;42886;2017;Wisnu Kuswandari;Gg. Otto Iskandardinata No. 6;Jakarta;Corporate;E1028;High;1726 Digital Answering Machine;Technology;Medium Box;Regular Air;42888;132300;314850;182550;24;7556400;0.01;75564;7480836;3175200;4305636</t>
  </si>
  <si>
    <t>5418-1</t>
  </si>
  <si>
    <t>Apex Box Cutter Scissors</t>
  </si>
  <si>
    <t>5418-1;42892;2017;Cawisadi Anggriawan;Jl. Surapati No. 996;Surabaya;Corporate;E1037;Critical;Apex Box Cutter Scissors;Office Supplies;Small Pack;Regular Air;42893;62850;153450;90600;9;1381050;0.07;96673.5;1284376.5;565650;718726.5</t>
  </si>
  <si>
    <t>5420-1</t>
  </si>
  <si>
    <t>Kunthara Prasetya</t>
  </si>
  <si>
    <t>5420-1;42892;2017;Kunthara Prasetya;Jalan Astana Anyar No. 41;Jakarta;Consumer;E1028;High;Binder Clips by OIC;Office Supplies;Wrap Bag;Regular Air;42893;13950;22200;8250;46;1021200;0;0;1021200;641700;379500</t>
  </si>
  <si>
    <t>5421-1</t>
  </si>
  <si>
    <t>5421-1;42892;2017;Yance Anggraini;Jl. Erlangga No. 7;Surabaya;Corporate;E1033;High;TypeRight  Top-Opening Peel &amp; Seel  Envelopes, Gray;Office Supplies;Small Box;Regular Air;42893;323400;539100;215700;13;7008300;0.03;210249;6798051;4204200;2593851</t>
  </si>
  <si>
    <t>5423-1</t>
  </si>
  <si>
    <t>Umay Hardiansyah</t>
  </si>
  <si>
    <t>5423-1;42893;2017;Umay Hardiansyah;Jl. Antapani Lama No. 705;Jakarta;Small Business;E1028;Medium;TechSavi Cordless Navigator Duo;Technology;Small Box;Regular Air;42896;631650;1214700;583050;45;54661500;0;0;54661500;28424250;26237250</t>
  </si>
  <si>
    <t>5424-1</t>
  </si>
  <si>
    <t>Febi Pangestu</t>
  </si>
  <si>
    <t>Gang Sentot Alibasa No. 38</t>
  </si>
  <si>
    <t>5424-1;42894;2017;Febi Pangestu;Gang Sentot Alibasa No. 38;Surabaya;Small Business;E1033;Critical;Artisan Non-Stick Binders;Office Supplies;Small Box;Regular Air;42895;41100;67350;26250;6;404100;0.03;12123;391977;246600;145377</t>
  </si>
  <si>
    <t>5426-1</t>
  </si>
  <si>
    <t>Rika Mayasari</t>
  </si>
  <si>
    <t>5426-1;42894;2017;Rika Mayasari;Jl. S. Parman No. 91;Surabaya;Small Business;E1034;Not Specified;EcoTones Memo Sheets;Office Supplies;Wrap Bag;Regular Air;42896;37800;60000;22200;33;1980000;0.08;158400;1821600;1247400;574200</t>
  </si>
  <si>
    <t>5428-1</t>
  </si>
  <si>
    <t>Ayu Ardianto</t>
  </si>
  <si>
    <t>5428-1;42895;2017;Ayu Ardianto;Gg. Siliwangi No. 26;Jakarta;Small Business;E1029;Not Specified;Creator Colored Pencils;Office Supplies;Wrap Bag;Regular Air;42896;23550;49200;25650;26;1279200;0.08;102336;1176864;612300;564564</t>
  </si>
  <si>
    <t>5430-1</t>
  </si>
  <si>
    <t>5430-1;42895;2017;Ega Zulaika;Jl. Jamika No. 246;Surabaya;Home Office;E1038;Critical;Steady Liquid Accent Highlighters;Office Supplies;Wrap Bag;Regular Air;42897;52050;100200;48150;33;3306600;0.03;99198;3207402;1717650;1489752</t>
  </si>
  <si>
    <t>5432-1</t>
  </si>
  <si>
    <t>Rusman Aryani</t>
  </si>
  <si>
    <t>5432-1;42898;2017;Rusman Aryani;Gg. Siliwangi No. 82;Surabaya;Small Business;E1036;Medium;Steady EarthWrite Recycled Pencils, Medium Soft, #2;Office Supplies;Wrap Bag;Regular Air;42899;13500;31500;18000;21;661500;0.04;26460;635040;283500;351540</t>
  </si>
  <si>
    <t>5433-1</t>
  </si>
  <si>
    <t>Jasmani Zulkarnain</t>
  </si>
  <si>
    <t>5433-1;42900;2017;Jasmani Zulkarnain;Jl. Pasir Koja No. 059;Surabaya;Home Office;E1032;Medium;Binding Machine Supplies;Office Supplies;Small Box;Regular Air;42901;275700;437550;161850;1;437550;0.02;8751;428799;275700;153099</t>
  </si>
  <si>
    <t>5434-1</t>
  </si>
  <si>
    <t>Jinawi Puspita</t>
  </si>
  <si>
    <t>5434-1;42904;2017;Jinawi Puspita;Gg. Monginsidi No. 3;Jakarta;Small Business;E1029;Critical;Beekin 6 Outlet Metallic Surge Strip;Office Supplies;Small Box;Regular Air;42905;66900;163350;96450;32;5227200;0.1;522720;4704480;2140800;2563680</t>
  </si>
  <si>
    <t>5435-1</t>
  </si>
  <si>
    <t>Hilda Yulianti</t>
  </si>
  <si>
    <t>5435-1;42908;2017;Hilda Yulianti;Jl. Pasir Koja No. 059;Surabaya;Corporate;E1032;Not Specified;Artisan 481 Labels;Office Supplies;Small Box;Regular Air;42909;29100;46200;17100;1;46200;0.08;3696;42504;29100;13404</t>
  </si>
  <si>
    <t>5436-1</t>
  </si>
  <si>
    <t>Airmail Envelopes</t>
  </si>
  <si>
    <t>5436-1;42909;2017;Gara Purwanti;Jl. Surapati No. 30;Surabaya;Corporate;E1031;Medium;Airmail Envelopes;Office Supplies;Small Box;Regular Air;42910;780600;1258950;478350;50;62947500;0.1;6294750;56652750;39030000;17622750</t>
  </si>
  <si>
    <t>5438-1</t>
  </si>
  <si>
    <t>Edi Waskita</t>
  </si>
  <si>
    <t>Jalan Asia Afrika No. 3</t>
  </si>
  <si>
    <t>5438-1;42910;2017;Edi Waskita;Jalan Asia Afrika No. 3;Bandung;Home Office;E1033;High;TechSavi Cordless Elite Duo;Technology;Small Box;Express Air;42911;908850;1514700;605850;5;7573500;0.02;151470;7422030;4544250;2877780</t>
  </si>
  <si>
    <t>5439-1</t>
  </si>
  <si>
    <t>5439-1;42911;2017;Kayla Melani;Jl. Ciwastra No. 543;Jakarta;Corporate;E1029;Low;Steady Major Accent Highlighters;Office Supplies;Wrap Bag;Regular Air;42911;56250;106200;49950;34;3610800;0.03;108324;3502476;1912500;1589976</t>
  </si>
  <si>
    <t>5440-1</t>
  </si>
  <si>
    <t>5440-1;42913;2017;Unggul Zulaika;Jl. Jend. Sudirman No. 0;Surabaya;Small Business;E1030;Critical;Binder Posts;Office Supplies;Small Box;Regular Air;42913;52500;86100;33600;45;3874500;0;0;3874500;2362500;1512000</t>
  </si>
  <si>
    <t>5442-1</t>
  </si>
  <si>
    <t>Iriana Firmansyah</t>
  </si>
  <si>
    <t>5442-1;42915;2017;Iriana Firmansyah;Jalan Ciumbuleuit No. 76;Surabaya;Home Office;E1039;Critical;12 Colored Short Pencils;Office Supplies;Wrap Bag;Regular Air;42916;16350;39000;22650;43;1677000;0.01;16770;1660230;703050;957180</t>
  </si>
  <si>
    <t>5444-1</t>
  </si>
  <si>
    <t>Tugiman Santoso</t>
  </si>
  <si>
    <t>5444-1;42915;2017;Tugiman Santoso;Gg. Cihampelas No. 423;Surabaya;Corporate;E1030;Not Specified;Alto Perma 2700 Stacking Storage Drawers;Office Supplies;Small Box;Regular Air;42916;133800;446100;312300;25;11152500;0;0;11152500;3345000;7807500</t>
  </si>
  <si>
    <t>5445-1</t>
  </si>
  <si>
    <t>Iriana Permadi</t>
  </si>
  <si>
    <t>Smiths Colored Bar Computer Paper</t>
  </si>
  <si>
    <t>5445-1;42915;2017;Iriana Permadi;Jl. Rumah Sakit No. 738;Jakarta;Small Business;E1028;Not Specified;Smiths Colored Bar Computer Paper;Office Supplies;Small Box;Regular Air;42916;329550;531600;202050;21;11163600;0;0;11163600;6920550;4243050</t>
  </si>
  <si>
    <t>5446-1</t>
  </si>
  <si>
    <t>Rizki Purnawati</t>
  </si>
  <si>
    <t>Gang Monginsidi No. 138</t>
  </si>
  <si>
    <t>5446-1;42917;2017;Rizki Purnawati;Gang Monginsidi No. 138;Jakarta;Small Business;E1029;Critical;Artisan Poly Binder Pockets;Office Supplies;Small Box;Regular Air;42919;33900;53700;19800;39;2094300;0;0;2094300;1322100;772200</t>
  </si>
  <si>
    <t>5448-1</t>
  </si>
  <si>
    <t>Panca Saptono</t>
  </si>
  <si>
    <t>5448-1;42919;2017;Panca Saptono;Gg. Ronggowarsito No. 033;Surabaya;Home Office;E1038;Low;Artisan 481 Labels;Office Supplies;Small Box;Regular Air;42924;29100;46200;17100;5;231000;0.06;13860;217140;145500;71640</t>
  </si>
  <si>
    <t>5449-1</t>
  </si>
  <si>
    <t>5449-1;42926;2017;Imam Pertiwi;Gang Yos Sudarso No. 13;Surabaya;Small Business;E1039;High;Brown Kraft Recycled Envelopes;Office Supplies;Small Box;Regular Air;42926;165600;254700;89100;31;7895700;0.03;236871;7658829;5133600;2525229</t>
  </si>
  <si>
    <t>5450-1</t>
  </si>
  <si>
    <t>Keisha Prayoga</t>
  </si>
  <si>
    <t>5450-1;42927;2017;Keisha Prayoga;Gang Rawamangun No. 02;Surabaya;Consumer;E1038;Not Specified;Angle-D Binders with Locking Rings, Label Holders;Office Supplies;Small Box;Regular Air;42928;67950;109500;41550;18;1971000;0.05;98550;1872450;1223100;649350</t>
  </si>
  <si>
    <t>5451-1</t>
  </si>
  <si>
    <t>Dwi Yuniar</t>
  </si>
  <si>
    <t>5451-1;42929;2017;Dwi Yuniar;Jalan Pasteur No. 217;Surabaya;Home Office;E1031;Not Specified;DrawIt Colored Pencils;Office Supplies;Wrap Bag;Regular Air;42929;65550;136650;71100;1;136650;0.1;13665;122985;65550;57435</t>
  </si>
  <si>
    <t>5453-1</t>
  </si>
  <si>
    <t>5453-1;42930;2017;Tantri Anggraini;Gang H.J Maemunah No. 6;Surabaya;Consumer;E1037;Critical;Steady 52201 APSCO Electric Pencil Sharpener;Office Supplies;Small Pack;Regular Air;42931;252000;614550;362550;44;27040200;0.08;2163216;24876984;11088000;13788984</t>
  </si>
  <si>
    <t>5455-1</t>
  </si>
  <si>
    <t>Alto Perma 3000 Stacking Storage Drawers</t>
  </si>
  <si>
    <t>5455-1;42931;2017;Padma Nugroho;Gg. Monginsidi No. 3;Jakarta;Corporate;E1029;Medium;Alto Perma 3000 Stacking Storage Drawers;Office Supplies;Small Box;Regular Air;42933;106950;314700;207750;39;12273300;0.04;490932;11782368;4171050;7611318</t>
  </si>
  <si>
    <t>5456-1</t>
  </si>
  <si>
    <t>Nurul Samosir</t>
  </si>
  <si>
    <t>Jalan Pasirkoja No. 329</t>
  </si>
  <si>
    <t>5456-1;42931;2017;Nurul Samosir;Jalan Pasirkoja No. 329;Surabaya;Consumer;E1040;Critical;Barrel Sharpener;Office Supplies;Small Pack;Regular Air;42933;21900;53550;31650;41;2195550;0.03;65866.5;2129683.5;897900;1231783.5</t>
  </si>
  <si>
    <t>5457-1</t>
  </si>
  <si>
    <t>Gang R.E Martadinata No. 35</t>
  </si>
  <si>
    <t>OIC Bulk Pack Metal Binder Clips</t>
  </si>
  <si>
    <t>5457-1;42932;2017;Bagus Pranowo;Gang R.E Martadinata No. 35;Surabaya;Consumer;E1041;Medium;OIC Bulk Pack Metal Binder Clips;Office Supplies;Wrap Bag;Regular Air;42934;31950;52350;20400;46;2408100;0.01;24081;2384019;1469700;914319</t>
  </si>
  <si>
    <t>5458-1</t>
  </si>
  <si>
    <t>5458-1;42933;2017;Martani Sudiati;Jl. BKR No. 46;Jakarta;Small Business;E1028;Not Specified;Artisan 48 Labels;Office Supplies;Small Box;Regular Air;42934;57600;94500;36900;18;1701000;0.1;170100;1530900;1036800;494100</t>
  </si>
  <si>
    <t>5460-1</t>
  </si>
  <si>
    <t>Taswir Budiman</t>
  </si>
  <si>
    <t>Artisan Hi-Liter Comfort Grip Fluorescent Highlighter, Yellow Ink</t>
  </si>
  <si>
    <t>5460-1;42935;2017;Taswir Budiman;Jalan Pasirkoja No. 329;Surabaya;Corporate;E1040;Low;Artisan Hi-Liter Comfort Grip Fluorescent Highlighter, Yellow Ink;Office Supplies;Wrap Bag;Regular Air;42940;15750;29250;13500;31;906750;0.02;18135;888615;488250;400365</t>
  </si>
  <si>
    <t>5461-1</t>
  </si>
  <si>
    <t>Asirwanda Rahimah</t>
  </si>
  <si>
    <t>5461-1;42936;2017;Asirwanda Rahimah;Gg. M.H Thamrin No. 784;Jakarta;Corporate;E1029;Critical;Bagged Rubber Bands;Office Supplies;Wrap Bag;Regular Air;42936;3600;18900;15300;35;661500;0.09;59535;601965;126000;475965</t>
  </si>
  <si>
    <t>5463-1</t>
  </si>
  <si>
    <t>Emerson Stylus 1520 Color Inkjet Printer</t>
  </si>
  <si>
    <t>5463-1;42936;2017;Nadine Waskita;Gang Rawamangun No. 02;Surabaya;Home Office;E1038;Not Specified;Emerson Stylus 1520 Color Inkjet Printer;Technology;Jumbo Drum;Delivery Truck;42936;4734150;7514550;2780400;31;232951050;0.06;13977063;218973987;146758650;72215337</t>
  </si>
  <si>
    <t>5465-1</t>
  </si>
  <si>
    <t>Nilam Prastuti</t>
  </si>
  <si>
    <t>5465-1;42936;2017;Nilam Prastuti;Gang Asia Afrika No. 96;Surabaya;Corporate;E1036;Medium;HFX LaserJet 3310 Copier;Technology;Large Box;Regular Air;42938;5669850;8999850;3330000;30;269995500;0.09;24299595;245695905;170095500;75600405</t>
  </si>
  <si>
    <t>5467-1</t>
  </si>
  <si>
    <t>Bagas Putra</t>
  </si>
  <si>
    <t>5467-1;42940;2017;Bagas Putra;Jl. Sadang Serang No. 015;Surabaya;Small Business;E1036;Medium;12 Colored Short Pencils;Office Supplies;Wrap Bag;Regular Air;42941;16350;39000;22650;2;78000;0.03;2340;75660;32700;42960</t>
  </si>
  <si>
    <t>5469-1</t>
  </si>
  <si>
    <t>Oskar Permadi</t>
  </si>
  <si>
    <t>5469-1;42944;2017;Oskar Permadi;Jl. Dipenogoro No. 422;Surabaya;Corporate;E1032;High;TechSavi Internet Navigator Keyboard;Technology;Small Box;Regular Air;42945;97650;464700;367050;36;16729200;0;0;16729200;3515400;13213800</t>
  </si>
  <si>
    <t>5470-1</t>
  </si>
  <si>
    <t>Gamani Maryati</t>
  </si>
  <si>
    <t>5470-1;42946;2017;Gamani Maryati;Jl. Rumah Sakit No. 738;Jakarta;Consumer;E1028;High;Alto Parchment Paper, Assorted Colors;Office Supplies;Small Box;Regular Air;42948;68850;109200;40350;11;1201200;0.07;84084;1117116;757350;359766</t>
  </si>
  <si>
    <t>5471-1</t>
  </si>
  <si>
    <t>Rahmi Prabowo</t>
  </si>
  <si>
    <t>5471-1;42946;2017;Rahmi Prabowo;Gg. Joyoboyo No. 8;Jakarta;Home Office;E1028;Medium;Apex Box Cutter Scissors;Office Supplies;Small Pack;Regular Air;42947;62850;153450;90600;22;3375900;0.07;236313;3139587;1382700;1756887</t>
  </si>
  <si>
    <t>5473-1</t>
  </si>
  <si>
    <t>Galiono Wibowo</t>
  </si>
  <si>
    <t>Jl. Ciwastra No. 2</t>
  </si>
  <si>
    <t>5473-1;42946;2017;Galiono Wibowo;Jl. Ciwastra No. 2;Surabaya;Small Business;E1035;Critical;Apex Elite Stainless Steel Scissors;Office Supplies;Small Pack;Express Air;42947;51300;125100;73800;16;2001600;0.04;80064;1921536;820800;1100736</t>
  </si>
  <si>
    <t>5475-1</t>
  </si>
  <si>
    <t>Viktor Sihombing</t>
  </si>
  <si>
    <t>Gang Ahmad Yani No. 6</t>
  </si>
  <si>
    <t>24 Capacity Maxi Data Binder Racks, Pearl</t>
  </si>
  <si>
    <t>5475-1;42961;2017;Viktor Sihombing;Gang Ahmad Yani No. 6;Surabaya;Consumer;E1038;Low;24 Capacity Maxi Data Binder Racks, Pearl;Office Supplies;Small Box;Regular Air;42963;1263300;3158250;1894950;32;101064000;0.1;10106400;90957600;40425600;50532000</t>
  </si>
  <si>
    <t>5476-1</t>
  </si>
  <si>
    <t>Lega Anggriawan</t>
  </si>
  <si>
    <t>5476-1;42961;2017;Lega Anggriawan;Jalan Kutai No. 503;Surabaya;Corporate;E1039;Not Specified;Alto Perma 3000 Stacking Storage Drawers;Office Supplies;Small Box;Express Air;42962;106950;314700;207750;14;4405800;0.1;440580;3965220;1497300;2467920</t>
  </si>
  <si>
    <t>5477-1</t>
  </si>
  <si>
    <t>Cengkal Lazuardi</t>
  </si>
  <si>
    <t>5477-1;42961;2017;Cengkal Lazuardi;Gang R.E Martadinata No. 969;Surabaya;Home Office;E1036;Critical;OIC Colored Binder Clips, Assorted Sizes;Office Supplies;Wrap Bag;Regular Air;42962;34350;53700;19350;15;805500;0.05;40275;765225;515250;249975</t>
  </si>
  <si>
    <t>5478-1</t>
  </si>
  <si>
    <t>5478-1;42962;2017;Tiara Halim;Jl. BKR No. 46;Jakarta;Home Office;E1028;Low;Steady Liquid Accent Tank-Style Highlighters;Office Supplies;Wrap Bag;Regular Air;42966;19650;42600;22950;48;2044800;0.1;204480;1840320;943200;897120</t>
  </si>
  <si>
    <t>5479-1</t>
  </si>
  <si>
    <t>Raina Laksita</t>
  </si>
  <si>
    <t>5479-1;42965;2017;Raina Laksita;Gang Jakarta No. 938;Surabaya;Home Office;E1036;Not Specified;Artisan Poly Binder Pockets;Office Supplies;Small Box;Regular Air;42967;33900;53700;19800;25;1342500;0;0;1342500;847500;495000</t>
  </si>
  <si>
    <t>5479-2</t>
  </si>
  <si>
    <t>Assorted Color Push Pins</t>
  </si>
  <si>
    <t>5479-2;42965;2017;Raina Laksita;Gang Jakarta No. 938;Surabaya;Home Office;E1036;Not Specified;Assorted Color Push Pins;Office Supplies;Wrap Bag;Regular Air;42967;13050;27150;14100;45;1221750;0.08;97740;1124010;587250;536760</t>
  </si>
  <si>
    <t>5483-1</t>
  </si>
  <si>
    <t>Jamil Mustofa</t>
  </si>
  <si>
    <t>Jalan Cikutra Barat No. 96</t>
  </si>
  <si>
    <t>5483-1;42967;2017;Jamil Mustofa;Jalan Cikutra Barat No. 96;Bandung;Corporate;E1033;Low;Binder Clips by OIC;Office Supplies;Wrap Bag;Regular Air;42972;13950;22200;8250;33;732600;0.07;51282;681318;460350;220968</t>
  </si>
  <si>
    <t>5485-1</t>
  </si>
  <si>
    <t>Nyana Suryatmi</t>
  </si>
  <si>
    <t>5485-1;42967;2017;Nyana Suryatmi;Gg. Pacuan Kuda No. 49;Surabaya;Corporate;E1037;Low;Economy Binders;Office Supplies;Small Box;Regular Air;42971;19950;31200;11250;40;1248000;0;0;1248000;798000;450000</t>
  </si>
  <si>
    <t>5487-1</t>
  </si>
  <si>
    <t>Natalia Palastri</t>
  </si>
  <si>
    <t>5487-1;42968;2017;Natalia Palastri;Gg. Joyoboyo No. 8;Jakarta;Corporate;E1028;Critical;3Max Polarizing Task Lamp with Clamp Arm, Light Gray;Furniture;Large Box;Regular Air;42969;842400;2054700;1212300;44;90406800;0.08;7232544;83174256;37065600;46108656</t>
  </si>
  <si>
    <t>5489-1</t>
  </si>
  <si>
    <t>5489-1;42970;2017;Luhung Padmasari;Jl. Pelajar Pejuang No. 25;Bandung;Corporate;E1036;Medium;Lumi Crayons;Office Supplies;Wrap Bag;Regular Air;42971;78300;147750;69450;20;2955000;0.06;177300;2777700;1566000;1211700</t>
  </si>
  <si>
    <t>5491-1</t>
  </si>
  <si>
    <t>Alto 3-Hole Punch</t>
  </si>
  <si>
    <t>5491-1;42972;2017;Siska Utami;Gang Otto Iskandardinata No. 167;Surabaya;Home Office;E1037;Not Specified;Alto 3-Hole Punch;Office Supplies;Small Box;Regular Air;42973;41400;65700;24300;29;1905300;0.08;152424;1752876;1200600;552276</t>
  </si>
  <si>
    <t>5493-1</t>
  </si>
  <si>
    <t>5493-1;42974;2017;Oman Sihombing;Jl. Raya Ujungberung No. 121;Bandung;Consumer;E1032;Medium;Artisan 481 Labels;Office Supplies;Small Box;Regular Air;42975;29100;46200;17100;9;415800;0.01;4158;411642;261900;149742</t>
  </si>
  <si>
    <t>5494-1</t>
  </si>
  <si>
    <t>5494-1;42976;2017;Yuni Wastuti;Jl. S. Parman No. 91;Surabaya;Small Business;E1034;Not Specified;Apex Straight Scissors;Office Supplies;Small Pack;Regular Air;42977;77850;194700;116850;20;3894000;0.04;155760;3738240;1557000;2181240</t>
  </si>
  <si>
    <t>5496-1</t>
  </si>
  <si>
    <t>Dwi Utami</t>
  </si>
  <si>
    <t>5496-1;42978;2017;Dwi Utami;Gang Monginsidi No. 138;Jakarta;Consumer;E1029;Medium;Aluminum Document Frame;Furniture;Small Pack;Express Air;42979;82500;183300;100800;18;3299400;0.04;131976;3167424;1485000;1682424</t>
  </si>
  <si>
    <t>5497-1</t>
  </si>
  <si>
    <t>Jamal Hidayanto</t>
  </si>
  <si>
    <t>5497-1;42978;2017;Jamal Hidayanto;Jalan PHH. Mustofa No. 625;Surabaya;Corporate;E1034;Low;Smiths Bulldog Clip;Office Supplies;Wrap Bag;Express Air;42983;34650;56700;22050;15;850500;0.03;25515;824985;519750;305235</t>
  </si>
  <si>
    <t>5498-1</t>
  </si>
  <si>
    <t>Rahmi Prakasa</t>
  </si>
  <si>
    <t>Jalan Sadang Serang No. 54</t>
  </si>
  <si>
    <t>5498-1;42984;2017;Rahmi Prakasa;Jalan Sadang Serang No. 54;Surabaya;Small Business;E1041;Low;Cando PC940 Copier;Technology;Jumbo Drum;Delivery Truck;42988;4184850;6749850;2565000;47;317242950;0.1;31724295;285518655;196687950;88830705</t>
  </si>
  <si>
    <t>5500-1</t>
  </si>
  <si>
    <t>Eman Widodo</t>
  </si>
  <si>
    <t>5500-1;42988;2017;Eman Widodo;Jl. Sadang Serang No. 015;Surabaya;Corporate;E1036;Low;Adesso Programmable 142-Key Keyboard;Technology;Small Box;Regular Air;42992;480300;2287200;1806900;49;112072800;0.03;3362184;108710616;23534700;85175916</t>
  </si>
  <si>
    <t>5502-1</t>
  </si>
  <si>
    <t>Gambira Prasasta</t>
  </si>
  <si>
    <t>Gang Yos Sudarso No. 78</t>
  </si>
  <si>
    <t>5502-1;42988;2017;Gambira Prasasta;Gang Yos Sudarso No. 78;Surabaya;Corporate;E1033;High;Artisan Flip-Chart Easel Binder, Black;Office Supplies;Small Box;Regular Air;42988;208200;335700;127500;26;8728200;0.07;610974;8117226;5413200;2704026</t>
  </si>
  <si>
    <t>5504-1</t>
  </si>
  <si>
    <t>Lanang Wijayanti</t>
  </si>
  <si>
    <t>5504-1;42988;2017;Lanang Wijayanti;Jalan Astana Anyar No. 41;Jakarta;Corporate;E1028;Medium;Smiths SlimLine Pencil Sharpener;Office Supplies;Small Pack;Regular Air;42988;71850;179550;107700;46;8259300;0.07;578151;7681149;3305100;4376049</t>
  </si>
  <si>
    <t>5505-1</t>
  </si>
  <si>
    <t>Galuh Zulaika</t>
  </si>
  <si>
    <t>Jalan Otto Iskandardinata No. 1</t>
  </si>
  <si>
    <t>5505-1;42992;2017;Galuh Zulaika;Jalan Otto Iskandardinata No. 1;Jakarta;Corporate;E1029;Critical;1726 Digital Answering Machine;Technology;Medium Box;Regular Air;42994;132300;314850;182550;10;3148500;0;0;3148500;1323000;1825500</t>
  </si>
  <si>
    <t>5506-1</t>
  </si>
  <si>
    <t>Creator Anti Dust Chalk, 12/Pack</t>
  </si>
  <si>
    <t>5506-1;42993;2017;Luis Siregar;Gg. Ronggowarsito No. 033;Surabaya;Corporate;E1038;Not Specified;Creator Anti Dust Chalk, 12/Pack;Office Supplies;Wrap Bag;Regular Air;42994;16350;27300;10950;40;1092000;0.1;109200;982800;654000;328800</t>
  </si>
  <si>
    <t>5507-1</t>
  </si>
  <si>
    <t>Harimurti Wulandari</t>
  </si>
  <si>
    <t>Jalan Kendalsari No. 1</t>
  </si>
  <si>
    <t>5507-1;42993;2017;Harimurti Wulandari;Jalan Kendalsari No. 1;Bandung;Small Business;E1036;High;Steady Major Accent Highlighters;Office Supplies;Wrap Bag;Regular Air;42995;56250;106200;49950;45;4779000;0.06;286740;4492260;2531250;1961010</t>
  </si>
  <si>
    <t>5508-1</t>
  </si>
  <si>
    <t>5508-1;42994;2017;Putri Maryadi;Gg. HOS. Cokroaminoto No. 1;Surabaya;Consumer;E1041;High;Deluxe Rollaway Locking File with Drawer;Office Supplies;Small Box;Regular Air;42995;2682450;6238200;3555750;43;268242600;0.07;18776982;249465618;115345350;134120268</t>
  </si>
  <si>
    <t>5510-1</t>
  </si>
  <si>
    <t>Mila Napitupulu</t>
  </si>
  <si>
    <t>5510-1;42994;2017;Mila Napitupulu;Gg. Pacuan Kuda No. 49;Surabaya;Small Business;E1037;Not Specified;UGen Ultra Professional Cordless Optical Suite;Technology;Small Box;Regular Air;42995;2347500;4514550;2167050;6;27087300;0.04;1083492;26003808;14085000;11918808</t>
  </si>
  <si>
    <t>5512-1</t>
  </si>
  <si>
    <t>Eka Sitorus</t>
  </si>
  <si>
    <t>5512-1;42995;2017;Eka Sitorus;Jalan Rumah Sakit No. 287;Surabaya;Corporate;E1032;Medium;Xit Blank Computer Paper;Office Supplies;Small Box;Regular Air;42997;185850;299700;113850;10;2997000;0.1;299700;2697300;1858500;838800</t>
  </si>
  <si>
    <t>5513-1</t>
  </si>
  <si>
    <t>Ade Novitasari</t>
  </si>
  <si>
    <t>Jl. Cihampelas No. 4</t>
  </si>
  <si>
    <t>5513-1;42997;2017;Ade Novitasari;Jl. Cihampelas No. 4;Surabaya;Consumer;E1038;Medium;Cando PC940 Copier;Technology;Jumbo Drum;Delivery Truck;42998;4184850;6749850;2565000;5;33749250;0.01;337492.5;33411757.5;20924250;12487507.5</t>
  </si>
  <si>
    <t>5514-1</t>
  </si>
  <si>
    <t>Wardi Nasyidah</t>
  </si>
  <si>
    <t>5514-1;42998;2017;Wardi Nasyidah;Jalan R.E Martadinata No. 6;Jakarta;Corporate;E1029;Not Specified;Artisan Poly Binder Pockets;Office Supplies;Small Box;Express Air;43000;33900;53700;19800;44;2362800;0.06;141768;2221032;1491600;729432</t>
  </si>
  <si>
    <t>5516-1</t>
  </si>
  <si>
    <t>5516-1;42999;2017;Limar Laksmiwati;Gang Sadang Serang No. 74;Bandung;Small Business;E1039;High;3Max Polarizing Light Filter Sleeves;Furniture;Small Pack;Regular Air;42999;170700;279750;109050;18;5035500;0.1;503550;4531950;3072600;1459350</t>
  </si>
  <si>
    <t>5518-1</t>
  </si>
  <si>
    <t>Gatot Siregar</t>
  </si>
  <si>
    <t>5518-1;43003;2017;Gatot Siregar;Gg. Kapten Muslihat No. 5;Surabaya;Corporate;E1034;Low;Smiths Colored Interoffice Envelopes;Office Supplies;Small Box;Express Air;43012;297450;464700;167250;46;21376200;0.04;855048;20521152;13682700;6838452</t>
  </si>
  <si>
    <t>5520-1</t>
  </si>
  <si>
    <t>5520-1;43006;2017;Karsana Halim;Jalan Jayawijaya No. 5;Surabaya;Home Office;E1033;Low;Smiths Standard Envelopes;Office Supplies;Small Box;Regular Air;43011;52800;85200;32400;32;2726400;0.1;272640;2453760;1689600;764160</t>
  </si>
  <si>
    <t>5521-1</t>
  </si>
  <si>
    <t>5521-1;43007;2017;Ami Utami;Jl. S. Parman No. 91;Surabaya;Home Office;E1034;Medium;Smiths General Use 3-Ring Binders;Office Supplies;Small Box;Regular Air;43008;17700;28200;10500;19;535800;0.07;37506;498294;336300;161994</t>
  </si>
  <si>
    <t>5523-1</t>
  </si>
  <si>
    <t>Dwi Suartini</t>
  </si>
  <si>
    <t>Gg. Tubagus Ismail No. 864</t>
  </si>
  <si>
    <t>5523-1;43008;2017;Dwi Suartini;Gg. Tubagus Ismail No. 864;Bandung;Corporate;E1032;High;Message Book, One Form per Page;Office Supplies;Wrap Bag;Regular Air;43008;36150;55650;19500;39;2170350;0.06;130221;2040129;1409850;630279</t>
  </si>
  <si>
    <t>5525-1</t>
  </si>
  <si>
    <t>Adams "While You Were Out" Message Pads</t>
  </si>
  <si>
    <t>5525-1;43008;2017;Unggul Zulaika;Jl. Jend. Sudirman No. 0;Surabaya;Small Business;E1030;Critical;Adams "While You Were Out" Message Pads;Office Supplies;Wrap Bag;Regular Air;43008;28200;47100;18900;32;1507200;0.03;45216;1461984;902400;559584</t>
  </si>
  <si>
    <t>5526-1</t>
  </si>
  <si>
    <t>Cahyono Novitasari</t>
  </si>
  <si>
    <t>5526-1;43009;2017;Cahyono Novitasari;Gang Soekarno Hatta No. 2;Jakarta;Consumer;E1029;Medium;DrawIt Colored Pencils, 48-Color Set;Office Supplies;Wrap Bag;Regular Air;43011;323400;548250;224850;48;26316000;0.07;1842120;24473880;15523200;8950680</t>
  </si>
  <si>
    <t>5527-1</t>
  </si>
  <si>
    <t>Puspa Maryati</t>
  </si>
  <si>
    <t>5527-1;43009;2017;Puspa Maryati;Gang Yos Sudarso No. 13;Surabaya;Consumer;E1039;Not Specified;Laser DVD-RAM discs;Technology;Small Pack;Regular Air;43011;302700;531150;228450;21;11154150;0.01;111541.5;11042608.5;6356700;4685908.5</t>
  </si>
  <si>
    <t>5529-1</t>
  </si>
  <si>
    <t>5529-1;43009;2017;Rangga Hutasoit;Jl. S. Parman No. 91;Surabaya;Home Office;E1034;High;Multimedia Mailers;Office Supplies;Small Box;Regular Air;43011;1490850;2443950;953100;16;39103200;0.1;3910320;35192880;23853600;11339280</t>
  </si>
  <si>
    <t>5531-1</t>
  </si>
  <si>
    <t>Cawisadi Wijaya</t>
  </si>
  <si>
    <t>5531-1;43012;2017;Cawisadi Wijaya;Gang Ahmad Yani No. 6;Surabaya;Corporate;E1038;Not Specified;3Max Polarizing Task Lamp with Clamp Arm, Light Gray;Furniture;Large Box;Express Air;43014;842400;2054700;1212300;17;34929900;0;0;34929900;14320800;20609100</t>
  </si>
  <si>
    <t>5533-1</t>
  </si>
  <si>
    <t>Elma Samosir</t>
  </si>
  <si>
    <t>Gang Raya Setiabudhi No. 870</t>
  </si>
  <si>
    <t>5533-1;43012;2017;Elma Samosir;Gang Raya Setiabudhi No. 870;Jakarta;Consumer;E1029;Medium;Artisan 478 Labels;Office Supplies;Small Box;Express Air;43014;47100;73650;26550;24;1767600;0.01;17676;1749924;1130400;619524</t>
  </si>
  <si>
    <t>5534-1</t>
  </si>
  <si>
    <t>Maman Wulandari</t>
  </si>
  <si>
    <t>Jl. Pasir Koja No. 64</t>
  </si>
  <si>
    <t>Artisan 474 Labels</t>
  </si>
  <si>
    <t>5534-1;43013;2017;Maman Wulandari;Jl. Pasir Koja No. 64;Surabaya;Home Office;E1032;Medium;Artisan 474 Labels;Office Supplies;Small Box;Regular Air;43013;27600;43200;15600;8;345600;0.07;24192;321408;220800;100608</t>
  </si>
  <si>
    <t>5536-1</t>
  </si>
  <si>
    <t>5536-1;43015;2017;Ibun Haryanto;Jalan Kutai No. 503;Surabaya;Small Business;E1039;Not Specified;Steady 52201 APSCO Electric Pencil Sharpener;Office Supplies;Small Pack;Regular Air;43015;252000;614550;362550;47;28883850;0.06;1733031;27150819;11844000;15306819</t>
  </si>
  <si>
    <t>5537-1</t>
  </si>
  <si>
    <t>Prasetya Wahyuni</t>
  </si>
  <si>
    <t>5537-1;43017;2017;Prasetya Wahyuni;Jl. Ciwastra No. 543;Jakarta;Small Business;E1029;High;Barrel Sharpener;Office Supplies;Small Pack;Regular Air;43018;21900;53550;31650;46;2463300;0.01;24633;2438667;1007400;1431267</t>
  </si>
  <si>
    <t>5539-1</t>
  </si>
  <si>
    <t>Elma Susanti</t>
  </si>
  <si>
    <t>5539-1;43019;2017;Elma Susanti;Gg. HOS. Cokroaminoto No. 72;Surabaya;Home Office;E1034;Not Specified;Angle-D Binders with Locking Rings, Label Holders;Office Supplies;Small Box;Regular Air;43020;67950;109500;41550;50;5475000;0.02;109500;5365500;3397500;1968000</t>
  </si>
  <si>
    <t>5539-2</t>
  </si>
  <si>
    <t>Smiths Paper Clips</t>
  </si>
  <si>
    <t>5539-2;43019;2017;Elma Susanti;Gg. HOS. Cokroaminoto No. 72;Surabaya;Home Office;E1034;Not Specified;Smiths Paper Clips;Office Supplies;Wrap Bag;Regular Air;43020;22950;37050;14100;43;1593150;0.02;31863;1561287;986850;574437</t>
  </si>
  <si>
    <t>5541-1</t>
  </si>
  <si>
    <t>Tiara Lazuardi</t>
  </si>
  <si>
    <t>5541-1;43019;2017;Tiara Lazuardi;Jalan Ciwastra No. 383;Surabaya;Corporate;E1032;Medium;Artisan 479 Labels;Office Supplies;Small Box;Regular Air;43019;23850;39150;15300;44;1722600;0.09;155034;1567566;1049400;518166</t>
  </si>
  <si>
    <t>5544-1</t>
  </si>
  <si>
    <t>TechSavi Cordless Access Keyboard</t>
  </si>
  <si>
    <t>5544-1;43019;2017;Narji Wastuti;Gg. Joyoboyo No. 026;Jakarta;Corporate;E1028;Not Specified;TechSavi Cordless Access Keyboard;Technology;Small Box;Regular Air;43020;220500;449850;229350;20;8997000;0;0;8997000;4410000;4587000</t>
  </si>
  <si>
    <t>5546-1</t>
  </si>
  <si>
    <t>Upik Siregar</t>
  </si>
  <si>
    <t>Gang Medokan Ayu No. 764</t>
  </si>
  <si>
    <t>5546-1;43020;2017;Upik Siregar;Gang Medokan Ayu No. 764;Surabaya;Corporate;E1038;Medium;Alto Perma 2700 Stacking Storage Drawers;Office Supplies;Small Box;Regular Air;43023;133800;446100;312300;4;1784400;0.05;89220;1695180;535200;1159980</t>
  </si>
  <si>
    <t>5547-1</t>
  </si>
  <si>
    <t>Taufik Najmudin</t>
  </si>
  <si>
    <t>5547-1;43024;2017;Taufik Najmudin;Jalan R.E Martadinata No. 6;Jakarta;Consumer;E1029;High;Alto Memo Cubes;Office Supplies;Wrap Bag;Regular Air;43026;49800;77700;27900;43;3341100;0.03;100233;3240867;2141400;1099467</t>
  </si>
  <si>
    <t>5548-1</t>
  </si>
  <si>
    <t>Kardi Narpati</t>
  </si>
  <si>
    <t>Artisan File Folder Labels</t>
  </si>
  <si>
    <t>5548-1;43025;2017;Kardi Narpati;Jalan Pasteur No. 217;Surabaya;Consumer;E1031;Critical;Artisan File Folder Labels;Office Supplies;Small Box;Regular Air;43028;27600;43200;15600;47;2030400;0.03;60912;1969488;1297200;672288</t>
  </si>
  <si>
    <t>5549-1</t>
  </si>
  <si>
    <t>5549-1;43031;2017;Kunthara Prasetya;Jalan Astana Anyar No. 41;Jakarta;Consumer;E1028;High;TechSavi Access Keyboard;Technology;Small Box;Regular Air;43033;124650;239700;115050;40;9588000;0.03;287640;9300360;4986000;4314360</t>
  </si>
  <si>
    <t>5551-1</t>
  </si>
  <si>
    <t>Gabriella Napitupulu</t>
  </si>
  <si>
    <t>Artisan Round Ring Poly Binders</t>
  </si>
  <si>
    <t>5551-1;43032;2017;Gabriella Napitupulu;Jl. HOS. Cokroaminoto No. 1;Surabaya;Consumer;E1039;Medium;Artisan Round Ring Poly Binders;Office Supplies;Small Box;Regular Air;43034;27300;42600;15300;19;809400;0;0;809400;518700;290700</t>
  </si>
  <si>
    <t>5552-1</t>
  </si>
  <si>
    <t>Kania Budiyanto</t>
  </si>
  <si>
    <t>5552-1;43035;2017;Kania Budiyanto;Gg. Siliwangi No. 26;Jakarta;Corporate;E1029;Not Specified;Laser Neon Mac Format Diskettes, 10/Pack;Technology;Small Pack;Regular Air;43037;28050;121800;93750;4;487200;0.07;34104;453096;112200;340896</t>
  </si>
  <si>
    <t>5554-1</t>
  </si>
  <si>
    <t>5554-1;43037;2017;Oman Sihombing;Jl. Raya Ujungberung No. 121;Bandung;Small Business;E1032;High;Alto 3-Hole Punch;Office Supplies;Small Box;Regular Air;43038;41400;65700;24300;18;1182600;0.03;35478;1147122;745200;401922</t>
  </si>
  <si>
    <t>5556-1</t>
  </si>
  <si>
    <t>Gada Gunawan</t>
  </si>
  <si>
    <t>5556-1;43038;2017;Gada Gunawan;Gang Sadang Serang No. 74;Surabaya;Corporate;E1030;Medium;Artisan 474 Labels;Office Supplies;Small Box;Regular Air;43039;27600;43200;15600;10;432000;0.01;4320;427680;276000;151680</t>
  </si>
  <si>
    <t>5558-1</t>
  </si>
  <si>
    <t>Siska Maryadi</t>
  </si>
  <si>
    <t>Gg. BKR No. 882</t>
  </si>
  <si>
    <t>Colored Push Pins</t>
  </si>
  <si>
    <t>5558-1;43038;2017;Siska Maryadi;Gg. BKR No. 882;Bandung;Consumer;E1032;Low;Colored Push Pins;Office Supplies;Wrap Bag;Regular Air;43040;13800;27150;13350;8;217200;0.05;10860;206340;110400;95940</t>
  </si>
  <si>
    <t>5558-2</t>
  </si>
  <si>
    <t>Steady Colorific Eraseable Coloring Pencils, 12 Count</t>
  </si>
  <si>
    <t>5558-2;43038;2017;Siska Maryadi;Gg. BKR No. 882;Bandung;Consumer;E1032;Low;Steady Colorific Eraseable Coloring Pencils, 12 Count;Office Supplies;Wrap Bag;Regular Air;43045;28500;49200;20700;41;2017200;0.05;100860;1916340;1168500;747840</t>
  </si>
  <si>
    <t>5560-1</t>
  </si>
  <si>
    <t>Mustofa Tarihoran</t>
  </si>
  <si>
    <t>5560-1;43042;2017;Mustofa Tarihoran;Gg. Cihampelas No. 423;Surabaya;Consumer;E1030;Low;Economy Binders;Office Supplies;Small Box;Regular Air;43044;19950;31200;11250;20;624000;0.04;24960;599040;399000;200040</t>
  </si>
  <si>
    <t>5562-1</t>
  </si>
  <si>
    <t>Paris Palastri</t>
  </si>
  <si>
    <t>5562-1;43044;2017;Paris Palastri;Jalan Pasirkoja No. 329;Surabaya;Small Business;E1040;Critical;Smiths Metal Binder Clips;Office Supplies;Wrap Bag;Express Air;43046;24000;39300;15300;25;982500;0.09;88425;894075;600000;294075</t>
  </si>
  <si>
    <t>5564-1</t>
  </si>
  <si>
    <t>Bakiono Wahyuni</t>
  </si>
  <si>
    <t>5564-1;43045;2017;Bakiono Wahyuni;Jl. Rumah Sakit No. 738;Jakarta;Home Office;E1028;Low;Self-Adhesive Removable Labels;Office Supplies;Small Box;Regular Air;43047;29700;47250;17550;46;2173500;0.1;217350;1956150;1366200;589950</t>
  </si>
  <si>
    <t>5566-1</t>
  </si>
  <si>
    <t>Emas Kurniawan</t>
  </si>
  <si>
    <t>5566-1;43046;2017;Emas Kurniawan;Gg. Surapati No. 50;Surabaya;Home Office;E1033;Low;HFX LaserJet 3310 Copier;Technology;Large Box;Regular Air;43055;5669850;8999850;3330000;25;224996250;0.07;15749737.5;209246512.5;141746250;67500262.5</t>
  </si>
  <si>
    <t>5566-2</t>
  </si>
  <si>
    <t>5566-2;43046;2017;Emas Kurniawan;Gg. Surapati No. 50;Surabaya;Home Office;E1033;Low;Smiths Metal Binder Clips;Office Supplies;Wrap Bag;Regular Air;43053;24000;39300;15300;10;393000;0.08;31440;361560;240000;121560</t>
  </si>
  <si>
    <t>5569-1</t>
  </si>
  <si>
    <t>Bakti Simbolon</t>
  </si>
  <si>
    <t>Jl. R.E Martadinata No. 18</t>
  </si>
  <si>
    <t>5569-1;43048;2017;Bakti Simbolon;Jl. R.E Martadinata No. 18;Surabaya;Corporate;E1039;Medium;1726 Digital Answering Machine;Technology;Medium Box;Regular Air;43050;132300;314850;182550;9;2833650;0.08;226692;2606958;1190700;1416258</t>
  </si>
  <si>
    <t>5570-1</t>
  </si>
  <si>
    <t>Gatot Wibisono</t>
  </si>
  <si>
    <t>5570-1;43050;2017;Gatot Wibisono;Gg. Otto Iskandardinata No. 6;Jakarta;Small Business;E1028;High;Artisan File Folder Labels;Office Supplies;Small Box;Regular Air;43051;27600;43200;15600;11;475200;0.02;9504;465696;303600;162096</t>
  </si>
  <si>
    <t>5572-1</t>
  </si>
  <si>
    <t>Abyasa Yulianti</t>
  </si>
  <si>
    <t>5572-1;43050;2017;Abyasa Yulianti;Jalan Ciwastra No. 383;Surabaya;Small Business;E1032;High;Artisan Flip-Chart Easel Binder, Black;Office Supplies;Small Box;Regular Air;43052;208200;335700;127500;34;11413800;0.01;114138;11299662;7078800;4220862</t>
  </si>
  <si>
    <t>5574-1</t>
  </si>
  <si>
    <t>Jumadi Sitompul</t>
  </si>
  <si>
    <t>5574-1;43050;2017;Jumadi Sitompul;Gg. M.H Thamrin No. 784;Jakarta;Corporate;E1029;Medium;Security-Tint Envelopes;Office Supplies;Small Box;Regular Air;43052;73350;114600;41250;7;802200;0.06;48132;754068;513450;240618</t>
  </si>
  <si>
    <t>5576-1</t>
  </si>
  <si>
    <t>Cahyadi Wulandari</t>
  </si>
  <si>
    <t>5576-1;43054;2017;Cahyadi Wulandari;Gang Cikapayang No. 055;Surabaya;Corporate;E1040;Medium;Binder Posts;Office Supplies;Small Box;Regular Air;43055;52500;86100;33600;7;602700;0.04;24108;578592;367500;211092</t>
  </si>
  <si>
    <t>5578-1</t>
  </si>
  <si>
    <t>Garang Kuswoyo</t>
  </si>
  <si>
    <t>5578-1;43056;2017;Garang Kuswoyo;Jl. Antapani Lama No. 705;Jakarta;Consumer;E1028;High;12 Colored Short Pencils;Office Supplies;Wrap Bag;Regular Air;43058;16350;39000;22650;43;1677000;0.06;100620;1576380;703050;873330</t>
  </si>
  <si>
    <t>5579-1</t>
  </si>
  <si>
    <t>Irwan Wahyuni</t>
  </si>
  <si>
    <t>Jl. Moch. Toha No. 1</t>
  </si>
  <si>
    <t>5579-1;43057;2017;Irwan Wahyuni;Jl. Moch. Toha No. 1;Surabaya;Corporate;E1041;Low;Artisan Hanging File Binders;Office Supplies;Small Box;Regular Air;43057;54750;89700;34950;32;2870400;0.1;287040;2583360;1752000;831360</t>
  </si>
  <si>
    <t>5581-1</t>
  </si>
  <si>
    <t>Gantar Kuswoyo</t>
  </si>
  <si>
    <t>5581-1;43058;2017;Gantar Kuswoyo;Jalan Jend. A. Yani No. 48;Surabaya;Small Business;E1036;Critical;Alto Memo Cubes;Office Supplies;Wrap Bag;Regular Air;43060;49800;77700;27900;17;1320900;0.02;26418;1294482;846600;447882</t>
  </si>
  <si>
    <t>5583-1</t>
  </si>
  <si>
    <t>Luis Hasanah</t>
  </si>
  <si>
    <t>5583-1;43062;2017;Luis Hasanah;Gang Jayawijaya No. 91;Surabaya;Corporate;E1037;Critical;Bagged Rubber Bands;Office Supplies;Wrap Bag;Regular Air;43063;3600;18900;15300;2;37800;0.06;2268;35532;7200;28332</t>
  </si>
  <si>
    <t>5584-1</t>
  </si>
  <si>
    <t>5584-1;43062;2017;Ibrani Widiastuti;Jalan R.E Martadinata No. 6;Jakarta;Small Business;E1029;Critical;DrawIt Colored Pencils, 48-Color Set;Office Supplies;Wrap Bag;Regular Air;43065;323400;548250;224850;24;13158000;0.07;921060;12236940;7761600;4475340</t>
  </si>
  <si>
    <t>5586-1</t>
  </si>
  <si>
    <t>Talia Maryadi</t>
  </si>
  <si>
    <t>5586-1;43062;2017;Talia Maryadi;Jalan R.E Martadinata No. 6;Jakarta;Corporate;E1029;Medium;Steady Major Accent Highlighters;Office Supplies;Wrap Bag;Regular Air;43064;56250;106200;49950;47;4991400;0.1;499140;4492260;2643750;1848510</t>
  </si>
  <si>
    <t>5588-1</t>
  </si>
  <si>
    <t>Gambira Kusmawati</t>
  </si>
  <si>
    <t>5588-1;43062;2017;Gambira Kusmawati;Jl. Antapani Lama No. 705;Jakarta;Consumer;E1028;High;Wirebound Voice Message Log Book;Office Supplies;Wrap Bag;Express Air;43064;43500;71400;27900;11;785400;0.08;62832;722568;478500;244068</t>
  </si>
  <si>
    <t>5589-1</t>
  </si>
  <si>
    <t>5589-1;43063;2017;Gara Aryani;Gang R.E Martadinata No. 969;Surabaya;Home Office;E1036;Low;Beekin 105-Key Black Keyboard;Technology;Small Box;Regular Air;43070;95850;299700;203850;5;1498500;0.09;134865;1363635;479250;884385</t>
  </si>
  <si>
    <t>5591-1</t>
  </si>
  <si>
    <t>Bagus Astuti</t>
  </si>
  <si>
    <t>Smiths File Caddy</t>
  </si>
  <si>
    <t>5591-1;43073;2017;Bagus Astuti;Jalan Lembong No. 9;Surabaya;Home Office;E1032;Not Specified;Smiths File Caddy;Office Supplies;Small Box;Regular Air;43074;60450;140700;80250;17;2391900;0.09;215271;2176629;1027650;1148979</t>
  </si>
  <si>
    <t>5593-1</t>
  </si>
  <si>
    <t>5593-1;43076;2017;Wardi Nasyidah;Jalan R.E Martadinata No. 6;Jakarta;Corporate;E1029;High;Aluminum Document Frame;Furniture;Small Pack;Regular Air;43078;82500;183300;100800;37;6782100;0.09;610389;6171711;3052500;3119211</t>
  </si>
  <si>
    <t>5594-1</t>
  </si>
  <si>
    <t>Gada Hardiansyah</t>
  </si>
  <si>
    <t>5594-1;43076;2017;Gada Hardiansyah;Jl. W.R. Supratman No. 473;Surabaya;Home Office;E1036;High;PastelOcean Color Pencil Set;Office Supplies;Wrap Bag;Regular Air;43078;166650;297600;130950;28;8332800;0.06;499968;7832832;4666200;3166632</t>
  </si>
  <si>
    <t>5596-1</t>
  </si>
  <si>
    <t>5596-1;43077;2017;Karta Purnawati;Jl. Sukabumi No. 44;Bandung;Corporate;E1036;Medium;TechSavi Access Keyboard;Technology;Small Box;Regular Air;43077;151050;239700;88650;46;11026200;0.02;220524;10805676;6948300;3857376</t>
  </si>
  <si>
    <t>5597-1</t>
  </si>
  <si>
    <t>Salwa Wulandari</t>
  </si>
  <si>
    <t>5597-1;43078;2017;Salwa Wulandari;Gg. Jakarta No. 646;Jakarta;Home Office;E1029;Not Specified;Smiths Metal Binder Clips;Office Supplies;Wrap Bag;Express Air;43079;24000;39300;15300;45;1768500;0.01;17685;1750815;1080000;670815</t>
  </si>
  <si>
    <t>5599-1</t>
  </si>
  <si>
    <t>Aswani Winarno</t>
  </si>
  <si>
    <t>5599-1;43079;2017;Aswani Winarno;Jl. K.H. Wahid Hasyim No. 4;Jakarta;Corporate;E1028;High;Cando PC940 Copier;Technology;Jumbo Drum;Delivery Truck;43079;4184850;6749850;2565000;15;101247750;0.04;4049910;97197840;62772750;34425090</t>
  </si>
  <si>
    <t>5599-2</t>
  </si>
  <si>
    <t>5599-2;43079;2017;Aswani Winarno;Jl. K.H. Wahid Hasyim No. 4;Jakarta;Corporate;E1028;High;EcoTones Memo Sheets;Office Supplies;Wrap Bag;Regular Air;43080;37800;60000;22200;14;840000;0.06;50400;789600;529200;260400</t>
  </si>
  <si>
    <t>5603-1</t>
  </si>
  <si>
    <t>5603-1;43079;2017;Chandra Firmansyah;Jalan Kutai No. 503;Surabaya;Consumer;E1039;Low;TechSavi Internet Navigator Keyboard;Technology;Small Box;Regular Air;43083;97650;464700;367050;37;17193900;0.03;515817;16678083;3613050;13065033</t>
  </si>
  <si>
    <t>5604-1</t>
  </si>
  <si>
    <t>5604-1;43084;2017;Cengkal Lazuardi;Gang R.E Martadinata No. 969;Surabaya;Home Office;E1036;Low;TechSavi Access Keyboard;Technology;Small Box;Regular Air;43086;151050;239700;88650;29;6951300;0.04;278052;6673248;4380450;2292798</t>
  </si>
  <si>
    <t>5605-1</t>
  </si>
  <si>
    <t>Arsipatra Halimah</t>
  </si>
  <si>
    <t>5605-1;43085;2017;Arsipatra Halimah;Gang Otto Iskandardinata No. 167;Surabaya;Small Business;E1037;Medium;Artisan Hi-Liter GlideStik Fluorescent Highlighter, Yellow Ink;Office Supplies;Wrap Bag;Regular Air;43087;28800;48900;20100;31;1515900;0;0;1515900;892800;623100</t>
  </si>
  <si>
    <t>5606-1</t>
  </si>
  <si>
    <t>Diah Prakasa</t>
  </si>
  <si>
    <t>Jl. Pasir Koja No. 2</t>
  </si>
  <si>
    <t>5606-1;43085;2017;Diah Prakasa;Jl. Pasir Koja No. 2;Bandung;Corporate;E1033;Low;Artisan Hi-Liter Smear-Safe Highlighters;Office Supplies;Wrap Bag;Regular Air;43092;44700;87600;42900;22;1927200;0.1;192720;1734480;983400;751080</t>
  </si>
  <si>
    <t>5607-1</t>
  </si>
  <si>
    <t>5607-1;43086;2017;Limar Usamah;Jl. S. Parman No. 38;Surabaya;Corporate;E1033;Not Specified;Apex Preferred Stainless Steel Scissors;Office Supplies;Small Pack;Regular Air;43087;37500;85200;47700;23;1959600;0.01;19596;1940004;862500;1077504</t>
  </si>
  <si>
    <t>5609-1</t>
  </si>
  <si>
    <t>5609-1;43089;2017;Enteng Simbolon;Gg. Raya Ujungberung No. 54;Bandung;Home Office;E1039;Not Specified;Smiths General Use 3-Ring Binders;Office Supplies;Small Box;Regular Air;43089;17700;28200;10500;47;1325400;0.06;79524;1245876;831900;413976</t>
  </si>
  <si>
    <t>5609-2</t>
  </si>
  <si>
    <t>5609-2;43089;2017;Enteng Simbolon;Gg. Raya Ujungberung No. 54;Bandung;Home Office;E1039;Not Specified;Steady Liquid Accent Tank-Style Highlighters;Office Supplies;Wrap Bag;Regular Air;43091;19650;42600;22950;39;1661400;0.08;132912;1528488;766350;762138</t>
  </si>
  <si>
    <t>5612-1</t>
  </si>
  <si>
    <t>5612-1;43092;2017;Yuliana Rahmawati;Gang Kebonjati No. 827;Bandung;Corporate;E1033;Not Specified;3Max Polarizing Light Filter Sleeves;Furniture;Small Pack;Regular Air;43094;170700;279750;109050;7;1958250;0.01;19582.5;1938667.5;1194900;743767.5</t>
  </si>
  <si>
    <t>5613-1</t>
  </si>
  <si>
    <t>5613-1;43093;2017;Bakiono Wahyuni;Jl. Rumah Sakit No. 738;Jakarta;Home Office;E1028;Critical;Binder Clips by OIC;Office Supplies;Wrap Bag;Regular Air;43095;13950;22200;8250;15;333000;0.03;9990;323010;209250;113760</t>
  </si>
  <si>
    <t>5615-1</t>
  </si>
  <si>
    <t>Hasim Salahudin</t>
  </si>
  <si>
    <t>5615-1;43094;2017;Hasim Salahudin;Jl. Pasir Koja No. 059;Surabaya;Corporate;E1032;Critical;Creator Anti Dust Chalk, 12/Pack;Office Supplies;Wrap Bag;Regular Air;43095;16350;27300;10950;36;982800;0.09;88452;894348;588600;305748</t>
  </si>
  <si>
    <t>5616-1</t>
  </si>
  <si>
    <t>Saka Wijaya</t>
  </si>
  <si>
    <t>5616-1;43094;2017;Saka Wijaya;Jl. Jend. Sudirman No. 0;Surabaya;Consumer;E1030;Low;Multi-Use Personal File Cart and Caster Set, Three Stacking Bins;Office Supplies;Small Box;Regular Air;43101;224250;521400;297150;34;17727600;0.03;531828;17195772;7624500;9571272</t>
  </si>
  <si>
    <t>5618-1</t>
  </si>
  <si>
    <t>5618-1;43095;2017;Labuh Permata;Jalan Jend. A. Yani No. 48;Surabaya;Small Business;E1036;Low;Angle-D Binders with Locking Rings, Label Holders;Office Supplies;Small Box;Regular Air;43099;67950;109500;41550;26;2847000;0.03;85410;2761590;1766700;994890</t>
  </si>
  <si>
    <t>5619-1</t>
  </si>
  <si>
    <t>Dadap Zulkarnain</t>
  </si>
  <si>
    <t>Gang W.R. Supratman No. 8</t>
  </si>
  <si>
    <t>5619-1;43099;2017;Dadap Zulkarnain;Gang W.R. Supratman No. 8;Surabaya;Corporate;E1031;Critical;Artisan Poly Binder Pockets;Office Supplies;Small Box;Regular Air;43100;33900;53700;19800;19;1020300;0;0;1020300;644100;376200</t>
  </si>
  <si>
    <t>5621-1</t>
  </si>
  <si>
    <t>Luhung Nuraini</t>
  </si>
  <si>
    <t>5621-1;43103;2018;Luhung Nuraini;Gang Monginsidi No. 138;Jakarta;Consumer;E1029;Medium;600 Series Non-Flip;Technology;Small Box;Regular Air;43105;296700;689850;393150;23;15866550;0.1;1586655;14279895;6824100;7455795</t>
  </si>
  <si>
    <t>5621-2</t>
  </si>
  <si>
    <t>5621-2;43103;2018;Luhung Nuraini;Gang Monginsidi No. 138;Jakarta;Consumer;E1029;Medium;Binder Clips by OIC;Office Supplies;Wrap Bag;Regular Air;43104;13950;22200;8250;33;732600;0.06;43956;688644;460350;228294</t>
  </si>
  <si>
    <t>5625-1</t>
  </si>
  <si>
    <t>Dian Haryanti</t>
  </si>
  <si>
    <t>5625-1;43105;2018;Dian Haryanti;Jl. Ciwastra No. 543;Jakarta;Corporate;E1029;High;DrawIt Colored Pencils;Office Supplies;Wrap Bag;Express Air;43107;65550;136650;71100;48;6559200;0.06;393552;6165648;3146400;3019248</t>
  </si>
  <si>
    <t>5627-1</t>
  </si>
  <si>
    <t>Latika Siregar</t>
  </si>
  <si>
    <t>5627-1;43109;2018;Latika Siregar;Jalan S. Parman No. 88;Bandung;Corporate;E1036;Low;Office Shears by Apex;Office Supplies;Small Pack;Regular Air;43114;14100;31200;17100;36;1123200;0.01;11232;1111968;507600;604368</t>
  </si>
  <si>
    <t>5629-1</t>
  </si>
  <si>
    <t>Jaiman Marbun</t>
  </si>
  <si>
    <t>5629-1;43110;2018;Jaiman Marbun;Gg. Kapten Muslihat No. 5;Surabaya;Corporate;E1034;High;Smiths Paper Clips;Office Supplies;Wrap Bag;Regular Air;43111;22950;37050;14100;49;1815450;0.03;54463.5;1760986.5;1124550;636436.5</t>
  </si>
  <si>
    <t>5630-1</t>
  </si>
  <si>
    <t>Cawuk Pradipta</t>
  </si>
  <si>
    <t>5630-1;43110;2018;Cawuk Pradipta;Gang Jakarta No. 938;Surabaya;Home Office;E1036;High;Steady Liquid Accent Highlighters;Office Supplies;Wrap Bag;Regular Air;43111;52050;100200;48150;16;1603200;0.1;160320;1442880;832800;610080</t>
  </si>
  <si>
    <t>5631-1</t>
  </si>
  <si>
    <t>Jl. Indragiri No. 43</t>
  </si>
  <si>
    <t>5631-1;43111;2018;Harimurti Wulandari;Jl. Indragiri No. 43;Bandung;Small Business;E1036;Low;OIC Thumb-Tacks;Office Supplies;Wrap Bag;Regular Air;43111;10650;17100;6450;8;136800;0;0;136800;85200;51600</t>
  </si>
  <si>
    <t>5633-1</t>
  </si>
  <si>
    <t>5633-1;43113;2018;Wawan Riyanti;Jl. Antapani Lama No. 705;Jakarta;Home Office;E1028;High;Adesso Programmable 142-Key Keyboard;Technology;Small Box;Regular Air;43115;594600;2287200;1692600;48;109785600;0.04;4391424;105394176;28540800;76853376</t>
  </si>
  <si>
    <t>5635-1</t>
  </si>
  <si>
    <t>Rama Firgantoro</t>
  </si>
  <si>
    <t>5635-1;43113;2018;Rama Firgantoro;Jalan Ciwastra No. 383;Surabaya;Corporate;E1032;Not Specified;PastelOcean Color Pencil Set;Office Supplies;Wrap Bag;Express Air;43114;166650;297600;130950;15;4464000;0;0;4464000;2499750;1964250</t>
  </si>
  <si>
    <t>5637-1</t>
  </si>
  <si>
    <t>Anom Hasanah</t>
  </si>
  <si>
    <t>Jalan Gardujati No. 6</t>
  </si>
  <si>
    <t>5637-1;43114;2018;Anom Hasanah;Jalan Gardujati No. 6;Surabaya;Home Office;E1034;High;Artisan 487 Labels;Office Supplies;Small Box;Regular Air;43116;34350;55350;21000;30;1660500;0.09;149445;1511055;1030500;480555</t>
  </si>
  <si>
    <t>5639-1</t>
  </si>
  <si>
    <t>5639-1;43114;2018;Jamil Mustofa;Jalan Cikutra Barat No. 96;Bandung;Corporate;E1033;High;Smiths Colored Bar Computer Paper;Office Supplies;Small Box;Regular Air;43116;329550;531600;202050;29;15416400;0.03;462492;14953908;9556950;5396958</t>
  </si>
  <si>
    <t>5641-1</t>
  </si>
  <si>
    <t>5641-1;43115;2018;Dian Haryanti;Jl. Ciwastra No. 543;Jakarta;Corporate;E1029;Not Specified;OIC Thumb-Tacks;Office Supplies;Wrap Bag;Regular Air;43117;10650;17100;6450;4;68400;0;0;68400;42600;25800</t>
  </si>
  <si>
    <t>5643-1</t>
  </si>
  <si>
    <t>5643-1;43116;2018;Latif Nasyiah;Jalan Ciwastra No. 383;Surabaya;Consumer;E1032;Low;Artisan Non-Stick Binders;Office Supplies;Small Box;Express Air;43123;41100;67350;26250;44;2963400;0.03;88902;2874498;1808400;1066098</t>
  </si>
  <si>
    <t>5644-1</t>
  </si>
  <si>
    <t>5644-1;43116;2018;Zulfa Puspasari;Gang Astana Anyar No. 0;Bandung;Home Office;E1036;Low;Laser DVD-RAM discs;Technology;Small Pack;Regular Air;43118;302700;531150;228450;5;2655750;0;0;2655750;1513500;1142250</t>
  </si>
  <si>
    <t>5645-1</t>
  </si>
  <si>
    <t>5645-1;43118;2018;Kunthara Prasetya;Jalan Astana Anyar No. 41;Jakarta;Consumer;E1028;Critical;Artisan 481 Labels;Office Supplies;Small Box;Regular Air;43119;29100;46200;17100;46;2125200;0.04;85008;2040192;1338600;701592</t>
  </si>
  <si>
    <t>5646-1</t>
  </si>
  <si>
    <t>5646-1;43120;2018;Wani Astuti;Gg. Siliwangi No. 82;Surabaya;Corporate;E1036;High;Aluminum Document Frame;Furniture;Small Pack;Regular Air;43122;82500;183300;100800;1;183300;0.1;18330;164970;82500;82470</t>
  </si>
  <si>
    <t>5647-1</t>
  </si>
  <si>
    <t>Leo Pranowo</t>
  </si>
  <si>
    <t>5647-1;43121;2018;Leo Pranowo;Gg. Suniaraja No. 21;Surabaya;Consumer;E1031;High;Apex Box Cutter Scissors;Office Supplies;Small Pack;Regular Air;43121;62850;153450;90600;37;5677650;0.08;454212;5223438;2325450;2897988</t>
  </si>
  <si>
    <t>5648-1</t>
  </si>
  <si>
    <t>Artisan Reinforcements for Hole-Punch Pages</t>
  </si>
  <si>
    <t>5648-1;43122;2018;Nilam Prastuti;Gang Asia Afrika No. 96;Surabaya;Corporate;E1036;Low;Artisan Reinforcements for Hole-Punch Pages;Office Supplies;Small Box;Regular Air;43129;17850;29700;11850;38;1128600;0.05;56430;1072170;678300;393870</t>
  </si>
  <si>
    <t>5650-1</t>
  </si>
  <si>
    <t>Janet Riyanti</t>
  </si>
  <si>
    <t>5650-1;43123;2018;Janet Riyanti;Jalan Gegerkalong Hilir No. 763;Surabaya;Home Office;E1032;Medium;PastelOcean Color Pencil Set;Office Supplies;Wrap Bag;Regular Air;43123;166650;297600;130950;43;12796800;0.03;383904;12412896;7165950;5246946</t>
  </si>
  <si>
    <t>5651-1</t>
  </si>
  <si>
    <t>Aris Widiastuti</t>
  </si>
  <si>
    <t>5651-1;43127;2018;Aris Widiastuti;Jl. S. Parman No. 91;Surabaya;Home Office;E1034;Low;Ames Color-File Green Diamond Border X-ray Mailers;Office Supplies;Small Box;Express Air;43131;781050;1259700;478650;34;42829800;0.06;2569788;40260012;26555700;13704312</t>
  </si>
  <si>
    <t>5653-1</t>
  </si>
  <si>
    <t>5653-1;43128;2018;Wawan Riyanti;Jl. Antapani Lama No. 705;Jakarta;Home Office;E1028;Critical;EcoTones Memo Sheets;Office Supplies;Wrap Bag;Regular Air;43129;37800;60000;22200;36;2160000;0.01;21600;2138400;1360800;777600</t>
  </si>
  <si>
    <t>5655-1</t>
  </si>
  <si>
    <t>Argono Pertiwi</t>
  </si>
  <si>
    <t>5655-1;43129;2018;Argono Pertiwi;Gg. Monginsidi No. 3;Jakarta;Home Office;E1029;Medium;Apex Straight Scissors;Office Supplies;Small Pack;Regular Air;43129;77850;194700;116850;11;2141700;0.08;171336;1970364;856350;1114014</t>
  </si>
  <si>
    <t>5655-2</t>
  </si>
  <si>
    <t>5655-2;43129;2018;Argono Pertiwi;Gg. Monginsidi No. 3;Jakarta;Home Office;E1029;Medium;EcoTones Memo Sheets;Office Supplies;Wrap Bag;Regular Air;43131;37800;60000;22200;19;1140000;0.01;11400;1128600;718200;410400</t>
  </si>
  <si>
    <t>5658-1</t>
  </si>
  <si>
    <t>5658-1;43130;2018;Wawan Riyanti;Jl. Antapani Lama No. 705;Jakarta;Home Office;E1028;Not Specified;Artisan 48 Labels;Office Supplies;Small Box;Regular Air;43132;57600;94500;36900;8;756000;0.01;7560;748440;460800;287640</t>
  </si>
  <si>
    <t>5659-1</t>
  </si>
  <si>
    <t>Laras Lazuardi</t>
  </si>
  <si>
    <t>Gg. Wonoayu No. 96</t>
  </si>
  <si>
    <t>5659-1;43131;2018;Laras Lazuardi;Gg. Wonoayu No. 96;Jakarta;Corporate;E1028;High;Beekin 6 Outlet Metallic Surge Strip;Office Supplies;Small Box;Express Air;43132;66900;163350;96450;4;653400;0.05;32670;620730;267600;353130</t>
  </si>
  <si>
    <t>5661-1</t>
  </si>
  <si>
    <t>5661-1;43132;2018;Luhung Nuraini;Gang Monginsidi No. 138;Jakarta;Small Business;E1029;Not Specified;TechSavi Access Keyboard;Technology;Small Box;Regular Air;43134;124650;239700;115050;38;9108600;0.1;910860;8197740;4736700;3461040</t>
  </si>
  <si>
    <t>5663-1</t>
  </si>
  <si>
    <t>Prabawa Maryadi</t>
  </si>
  <si>
    <t>Jalan Joyoboyo No. 3</t>
  </si>
  <si>
    <t>Artisan Hi-Liter EverBold Pen Style Fluorescent Highlighters, 4/Pack</t>
  </si>
  <si>
    <t>5663-1;43133;2018;Prabawa Maryadi;Jalan Joyoboyo No. 3;Surabaya;Consumer;E1034;Not Specified;Artisan Hi-Liter EverBold Pen Style Fluorescent Highlighters, 4/Pack;Office Supplies;Wrap Bag;Regular Air;43134;67200;122100;54900;46;5616600;0;0;5616600;3091200;2525400</t>
  </si>
  <si>
    <t>5665-1</t>
  </si>
  <si>
    <t>5665-1;43133;2018;Bakiono Wahyuni;Jl. Rumah Sakit No. 738;Jakarta;Corporate;E1028;Medium;Smiths SlimLine Pencil Sharpener;Office Supplies;Small Pack;Regular Air;43133;71850;179550;107700;8;1436400;0.03;43092;1393308;574800;818508</t>
  </si>
  <si>
    <t>5667-1</t>
  </si>
  <si>
    <t>5667-1;43134;2018;Gamani Maryati;Jl. Rumah Sakit No. 738;Jakarta;Consumer;E1028;High;3Max Organizer Strips;Office Supplies;Small Box;Regular Air;43135;51000;81000;30000;22;1782000;0.1;178200;1603800;1122000;481800</t>
  </si>
  <si>
    <t>5669-1</t>
  </si>
  <si>
    <t>Citra Natsir</t>
  </si>
  <si>
    <t>5669-1;43135;2018;Citra Natsir;Gg. Joyoboyo No. 691;Surabaya;Corporate;E1032;Not Specified;Alto Perma 2700 Stacking Storage Drawers;Office Supplies;Small Box;Regular Air;43137;133800;446100;312300;19;8475900;0.1;847590;7628310;2542200;5086110</t>
  </si>
  <si>
    <t>5670-1</t>
  </si>
  <si>
    <t>Luluh Pratiwi</t>
  </si>
  <si>
    <t>5670-1;43138;2018;Luluh Pratiwi;Jalan Jend. A. Yani No. 48;Surabaya;Home Office;E1036;Medium;Artisan Hanging File Binders;Office Supplies;Small Box;Regular Air;43139;54750;89700;34950;19;1704300;0.01;17043;1687257;1040250;647007</t>
  </si>
  <si>
    <t>5671-1</t>
  </si>
  <si>
    <t>5671-1;43139;2018;Taufik Najmudin;Jalan R.E Martadinata No. 6;Jakarta;Consumer;E1029;Low;Artisan Hi-Liter Pen Style Six-Color Fluorescent Set;Office Supplies;Wrap Bag;Regular Air;43143;32400;57750;25350;10;577500;0.06;34650;542850;324000;218850</t>
  </si>
  <si>
    <t>5672-1</t>
  </si>
  <si>
    <t>TechSavi Cordless Keyboard</t>
  </si>
  <si>
    <t>5672-1;43140;2018;Enteng Simbolon;Gg. Raya Ujungberung No. 54;Bandung;Home Office;E1039;Medium;TechSavi Cordless Keyboard;Technology;Small Box;Regular Air;43141;267600;524850;257250;29;15220650;0.09;1369858.5;13850791.5;7760400;6090391.5</t>
  </si>
  <si>
    <t>5674-1</t>
  </si>
  <si>
    <t>Harjaya Budiyanto</t>
  </si>
  <si>
    <t>5674-1;43141;2018;Harjaya Budiyanto;Jalan PHH. Mustofa No. 625;Surabaya;Corporate;E1034;High;Smiths SlimLine Pencil Sharpener;Office Supplies;Small Pack;Regular Air;43143;71850;179550;107700;23;4129650;0.01;41296.5;4088353.5;1652550;2435803.5</t>
  </si>
  <si>
    <t>5676-1</t>
  </si>
  <si>
    <t>Panca Damanik</t>
  </si>
  <si>
    <t>5676-1;43144;2018;Panca Damanik;Jalan Ciwastra No. 383;Surabaya;Small Business;E1032;Not Specified;Ames Color-File Green Diamond Border X-ray Mailers;Office Supplies;Small Box;Regular Air;43146;781050;1259700;478650;24;30232800;0.05;1511640;28721160;18745200;9975960</t>
  </si>
  <si>
    <t>5677-1</t>
  </si>
  <si>
    <t>Yoga Lestari</t>
  </si>
  <si>
    <t>Jl. Gardujati No. 178</t>
  </si>
  <si>
    <t>5677-1;43145;2018;Yoga Lestari;Jl. Gardujati No. 178;Surabaya;Home Office;E1031;High;Security-Tint Envelopes;Office Supplies;Small Box;Regular Air;43147;73350;114600;41250;12;1375200;0.02;27504;1347696;880200;467496</t>
  </si>
  <si>
    <t>5679-1</t>
  </si>
  <si>
    <t>Kamidin Saptono</t>
  </si>
  <si>
    <t>5679-1;43146;2018;Kamidin Saptono;Gang Monginsidi No. 138;Jakarta;Consumer;E1029;Low;EcoTones Memo Sheets;Office Supplies;Wrap Bag;Regular Air;43150;37800;60000;22200;32;1920000;0.09;172800;1747200;1209600;537600</t>
  </si>
  <si>
    <t>5680-1</t>
  </si>
  <si>
    <t>Maimunah Safitri</t>
  </si>
  <si>
    <t>5680-1;43146;2018;Maimunah Safitri;Gang W.R. Supratman No. 8;Surabaya;Consumer;E1040;Medium;TechSavi Internet Navigator Keyboard;Technology;Small Box;Regular Air;43147;97650;464700;367050;12;5576400;0;0;5576400;1171800;4404600</t>
  </si>
  <si>
    <t>5681-1</t>
  </si>
  <si>
    <t>5681-1;43150;2018;Jamil Mustofa;Jalan Cikutra Barat No. 96;Bandung;Corporate;E1033;Medium;HFX LaserJet 3310 Copier;Technology;Large Box;Express Air;43152;5669850;8999850;3330000;41;368993850;0.07;25829569.5;343164280.5;232463850;110700430.5</t>
  </si>
  <si>
    <t>5682-1</t>
  </si>
  <si>
    <t>Virman Prayoga</t>
  </si>
  <si>
    <t>Gang Jend. A. Yani No. 7</t>
  </si>
  <si>
    <t>5682-1;43153;2018;Virman Prayoga;Gang Jend. A. Yani No. 7;Surabaya;Home Office;E1030;High;HFX LaserJet 3310 Copier;Technology;Large Box;Regular Air;43155;5669850;8999850;3330000;20;179997000;0.07;12599790;167397210;113397000;54000210</t>
  </si>
  <si>
    <t>5684-1</t>
  </si>
  <si>
    <t>Gantar Permata</t>
  </si>
  <si>
    <t>Smiths Pushpins</t>
  </si>
  <si>
    <t>5684-1;43154;2018;Gantar Permata;Jl. Antapani Lama No. 705;Jakarta;Home Office;E1028;Critical;Smiths Pushpins;Office Supplies;Wrap Bag;Regular Air;43155;14100;28200;14100;36;1015200;0.1;101520;913680;507600;406080</t>
  </si>
  <si>
    <t>5685-1</t>
  </si>
  <si>
    <t>5685-1;43159;2018;Siska Maryadi;Gg. BKR No. 882;Bandung;Consumer;E1032;Not Specified;300 Series Non-Flip;Technology;Small Box;Regular Air;43161;936000;2339850;1403850;6;14039100;0.02;280782;13758318;5616000;8142318</t>
  </si>
  <si>
    <t>5686-1</t>
  </si>
  <si>
    <t>Rini Marbun</t>
  </si>
  <si>
    <t>5686-1;43159;2018;Rini Marbun;Jl. Moch. Toha No. 1;Surabaya;Consumer;E1041;Low;Beekin 6 Outlet Metallic Surge Strip;Office Supplies;Small Box;Regular Air;43164;66900;163350;96450;8;1306800;0.09;117612;1189188;535200;653988</t>
  </si>
  <si>
    <t>5687-1</t>
  </si>
  <si>
    <t>5687-1;43160;2018;Gina Rajata;Gang Gedebage Selatan No. 424;Surabaya;Corporate;E1033;High;Binder Clips by OIC;Office Supplies;Wrap Bag;Regular Air;43162;13950;22200;8250;28;621600;0.04;24864;596736;390600;206136</t>
  </si>
  <si>
    <t>5689-1</t>
  </si>
  <si>
    <t>5689-1;43161;2018;Rama Firgantoro;Jalan Ciwastra No. 383;Surabaya;Corporate;E1032;Critical;Steady Liquid Accent Tank-Style Highlighters;Office Supplies;Wrap Bag;Regular Air;43163;19650;42600;22950;12;511200;0.1;51120;460080;235800;224280</t>
  </si>
  <si>
    <t>5690-1</t>
  </si>
  <si>
    <t>5690-1;43162;2018;Harjaya Budiyanto;Jalan PHH. Mustofa No. 625;Surabaya;Corporate;E1034;Medium;Economy Rollaway Files;Office Supplies;Small Box;Express Air;43164;1015950;2478000;1462050;46;113988000;0.02;2279760;111708240;46733700;64974540</t>
  </si>
  <si>
    <t>5692-1</t>
  </si>
  <si>
    <t>5692-1;43164;2018;Ismail Uwais;Gg. Siliwangi No. 82;Surabaya;Home Office;E1036;Medium;Adesso Programmable 142-Key Keyboard;Technology;Small Box;Regular Air;43166;480300;2287200;1806900;29;66328800;0.09;5969592;60359208;13928700;46430508</t>
  </si>
  <si>
    <t>5693-1</t>
  </si>
  <si>
    <t>Mumpuni Haryanto</t>
  </si>
  <si>
    <t>Gg. Moch. Toha No. 63</t>
  </si>
  <si>
    <t>5693-1;43165;2018;Mumpuni Haryanto;Gg. Moch. Toha No. 63;Surabaya;Home Office;E1030;High;Artisan Flip-Chart Easel Binder, Black;Office Supplies;Small Box;Regular Air;43165;208200;335700;127500;10;3357000;0.01;33570;3323430;2082000;1241430</t>
  </si>
  <si>
    <t>5695-1</t>
  </si>
  <si>
    <t>5695-1;43165;2018;Cawuk Fujiati;Jl. S. Parman No. 38;Surabaya;Consumer;E1033;Critical;Steady Liquid Accent Tank-Style Highlighters;Office Supplies;Wrap Bag;Regular Air;43167;19650;42600;22950;39;1661400;0.05;83070;1578330;766350;811980</t>
  </si>
  <si>
    <t>5696-1</t>
  </si>
  <si>
    <t>Anastasia Rahimah</t>
  </si>
  <si>
    <t>Jl. Kutisari Selatan No. 078</t>
  </si>
  <si>
    <t>5696-1;43166;2018;Anastasia Rahimah;Jl. Kutisari Selatan No. 078;Surabaya;Small Business;E1038;Critical;Alto Perma 2700 Stacking Storage Drawers;Office Supplies;Small Box;Express Air;43169;133800;446100;312300;34;15167400;0.09;1365066;13802334;4549200;9253134</t>
  </si>
  <si>
    <t>5698-1</t>
  </si>
  <si>
    <t>5698-1;43166;2018;Wulan Mustofa;Jalan R.E Martadinata No. 6;Jakarta;Consumer;E1029;Low;Cando PC940 Copier;Technology;Jumbo Drum;Delivery Truck;43170;4184850;6749850;2565000;34;229494900;0.02;4589898;224905002;142284900;82620102</t>
  </si>
  <si>
    <t>5699-1</t>
  </si>
  <si>
    <t>Raina Manullang</t>
  </si>
  <si>
    <t>5699-1;43169;2018;Raina Manullang;Jalan Jend. A. Yani No. 48;Surabaya;Corporate;E1036;High;TechSavi Access Keyboard;Technology;Small Box;Regular Air;43171;124650;239700;115050;5;1198500;0.08;95880;1102620;623250;479370</t>
  </si>
  <si>
    <t>5701-1</t>
  </si>
  <si>
    <t>Yulia Mahendra</t>
  </si>
  <si>
    <t>5701-1;43173;2018;Yulia Mahendra;Gg. HOS. Cokroaminoto No. 72;Surabaya;Home Office;E1034;High;Alto Memo Cubes;Office Supplies;Wrap Bag;Express Air;43175;49800;77700;27900;9;699300;0.09;62937;636363;448200;188163</t>
  </si>
  <si>
    <t>5702-1</t>
  </si>
  <si>
    <t>5702-1;43174;2018;Jamil Mustofa;Jalan Cikutra Barat No. 96;Bandung;Corporate;E1033;Low;Fluorescent Highlighters by DrawIt;Office Supplies;Wrap Bag;Express Air;43178;29250;59700;30450;4;238800;0.02;4776;234024;117000;117024</t>
  </si>
  <si>
    <t>5703-1</t>
  </si>
  <si>
    <t>5703-1;43174;2018;Martani Sudiati;Jl. BKR No. 46;Jakarta;Small Business;E1028;Low;Steady 52201 APSCO Electric Pencil Sharpener;Office Supplies;Small Pack;Regular Air;43181;252000;614550;362550;47;28883850;0.04;1155354;27728496;11844000;15884496</t>
  </si>
  <si>
    <t>5705-1</t>
  </si>
  <si>
    <t>Darmaji Rajasa</t>
  </si>
  <si>
    <t>5705-1;43177;2018;Darmaji Rajasa;Jl. Rumah Sakit No. 738;Jakarta;Home Office;E1028;Medium;Multi-Use Personal File Cart and Caster Set, Three Stacking Bins;Office Supplies;Small Box;Regular Air;43178;224250;521400;297150;8;4171200;0.07;291984;3879216;1794000;2085216</t>
  </si>
  <si>
    <t>5706-1</t>
  </si>
  <si>
    <t>5706-1;43178;2018;Asmadi Simanjuntak;Gg. HOS. Cokroaminoto No. 1;Surabaya;Corporate;E1041;Medium;Colored Envelopes;Office Supplies;Small Box;Express Air;43179;33750;55350;21600;41;2269350;0.08;181548;2087802;1383750;704052</t>
  </si>
  <si>
    <t>5708-1</t>
  </si>
  <si>
    <t>Lantar Gunawan</t>
  </si>
  <si>
    <t>5708-1;43179;2018;Lantar Gunawan;Jl. W.R. Supratman No. 473;Surabaya;Consumer;E1036;Not Specified;Artisan Round Ring Poly Binders;Office Supplies;Small Box;Express Air;43181;27300;42600;15300;21;894600;0.01;8946;885654;573300;312354</t>
  </si>
  <si>
    <t>5710-1</t>
  </si>
  <si>
    <t>Adhiarja Wahyudin</t>
  </si>
  <si>
    <t>5710-1;43181;2018;Adhiarja Wahyudin;Gg. Ronggowarsito No. 033;Surabaya;Small Business;E1038;High;Deluxe Rollaway Locking File with Drawer;Office Supplies;Small Box;Regular Air;43183;2682450;6238200;3555750;4;24952800;0.03;748584;24204216;10729800;13474416</t>
  </si>
  <si>
    <t>5711-1</t>
  </si>
  <si>
    <t>Arta Rahmawati</t>
  </si>
  <si>
    <t>5711-1;43182;2018;Arta Rahmawati;Jalan Lembong No. 9;Surabaya;Consumer;E1032;Medium;Xit Blank Computer Paper;Office Supplies;Small Box;Regular Air;43184;185850;299700;113850;48;14385600;0.01;143856;14241744;8920800;5320944</t>
  </si>
  <si>
    <t>5712-1</t>
  </si>
  <si>
    <t>5712-1;43183;2018;Dadap Zulkarnain;Gang W.R. Supratman No. 8;Surabaya;Corporate;E1031;Not Specified;Apex Box Cutter Scissors;Office Supplies;Small Pack;Regular Air;43184;62850;153450;90600;46;7058700;0.01;70587;6988113;2891100;4097013</t>
  </si>
  <si>
    <t>5713-1</t>
  </si>
  <si>
    <t>Taufan Gunawan</t>
  </si>
  <si>
    <t>5713-1;43183;2018;Taufan Gunawan;Jl. S. Parman No. 38;Surabaya;Corporate;E1033;Low;Laser Neon Mac Format Diskettes, 10/Pack;Technology;Small Pack;Regular Air;43185;28050;121800;93750;11;1339800;0.06;80388;1259412;308550;950862</t>
  </si>
  <si>
    <t>5715-1</t>
  </si>
  <si>
    <t>5715-1;43186;2018;Asirwanda Rahimah;Gg. M.H Thamrin No. 784;Jakarta;Corporate;E1029;High;Alto Parchment Paper, Assorted Colors;Office Supplies;Small Box;Regular Air;43188;68850;109200;40350;36;3931200;0.05;196560;3734640;2478600;1256040</t>
  </si>
  <si>
    <t>5717-1</t>
  </si>
  <si>
    <t>Cengkir Pradana</t>
  </si>
  <si>
    <t>5717-1;43189;2018;Cengkir Pradana;Jalan Gardujati No. 513;Surabaya;Corporate;E1036;Medium;Self-Adhesive Ring Binder Labels;Office Supplies;Small Box;Regular Air;43191;32700;52800;20100;23;1214400;0.07;85008;1129392;752100;377292</t>
  </si>
  <si>
    <t>5718-1</t>
  </si>
  <si>
    <t>Ira Prasetyo</t>
  </si>
  <si>
    <t>5718-1;43195;2018;Ira Prasetyo;Jalan Jend. A. Yani No. 48;Surabaya;Corporate;E1036;Medium;Colored Push Pins;Office Supplies;Wrap Bag;Regular Air;43196;13800;27150;13350;48;1303200;0.1;130320;1172880;662400;510480</t>
  </si>
  <si>
    <t>5719-1</t>
  </si>
  <si>
    <t>5719-1;43198;2018;Viktor Sihombing;Gang Ahmad Yani No. 6;Surabaya;Consumer;E1038;Medium;Cando PC940 Copier;Technology;Large Box;Regular Air;43200;3240000;6749850;3509850;10;67498500;0.01;674985;66823515;32400000;34423515</t>
  </si>
  <si>
    <t>5720-1</t>
  </si>
  <si>
    <t>5720-1;43199;2018;Galuh Zulaika;Jalan Otto Iskandardinata No. 1;Jakarta;Consumer;E1029;High;Smiths Metal Binder Clips;Office Supplies;Wrap Bag;Regular Air;43202;24000;39300;15300;37;1454100;0.01;14541;1439559;888000;551559</t>
  </si>
  <si>
    <t>5721-1</t>
  </si>
  <si>
    <t>Ajimin Andriani</t>
  </si>
  <si>
    <t>5721-1;43199;2018;Ajimin Andriani;Gang Otto Iskandardinata No. 167;Surabaya;Small Business;E1037;High;Smiths Standard Envelopes;Office Supplies;Small Box;Regular Air;43202;52800;85200;32400;42;3578400;0.05;178920;3399480;2217600;1181880</t>
  </si>
  <si>
    <t>5722-1</t>
  </si>
  <si>
    <t>Aswani Rajata</t>
  </si>
  <si>
    <t>Gg. Rumah Sakit No. 617</t>
  </si>
  <si>
    <t>5722-1;43200;2018;Aswani Rajata;Gg. Rumah Sakit No. 617;Surabaya;Small Business;E1038;Critical;Artisan 479 Labels;Office Supplies;Small Box;Express Air;43201;23850;39150;15300;37;1448550;0.09;130369.5;1318180.5;882450;435730.5</t>
  </si>
  <si>
    <t>5724-1</t>
  </si>
  <si>
    <t>Oliva Melani</t>
  </si>
  <si>
    <t>5724-1;43200;2018;Oliva Melani;Gang Cikapayang No. 055;Surabaya;Small Business;E1040;High;Multi-Use Personal File Cart and Caster Set, Three Stacking Bins;Office Supplies;Small Box;Regular Air;43200;224250;521400;297150;10;5214000;0.03;156420;5057580;2242500;2815080</t>
  </si>
  <si>
    <t>5724-2</t>
  </si>
  <si>
    <t>5724-2;43200;2018;Oliva Melani;Gang Cikapayang No. 055;Surabaya;Small Business;E1040;High;Smiths Bulldog Clip;Office Supplies;Wrap Bag;Regular Air;43202;34650;56700;22050;41;2324700;0.02;46494;2278206;1420650;857556</t>
  </si>
  <si>
    <t>5728-1</t>
  </si>
  <si>
    <t>Tiara Megantara</t>
  </si>
  <si>
    <t>5728-1;43201;2018;Tiara Megantara;Jalan Ciwastra No. 383;Surabaya;Consumer;E1032;High;Alto Perma 3000 Stacking Storage Drawers;Office Supplies;Small Box;Regular Air;43203;106950;314700;207750;47;14790900;0.01;147909;14642991;5026650;9616341</t>
  </si>
  <si>
    <t>5730-1</t>
  </si>
  <si>
    <t>Daliono Yolanda</t>
  </si>
  <si>
    <t>5730-1;43201;2018;Daliono Yolanda;Jalan Jend. A. Yani No. 48;Surabaya;Corporate;E1036;Not Specified;Desktop 3-Pocket Hot File;Office Supplies;Small Box;Regular Air;43201;332700;811500;478800;5;4057500;0.04;162300;3895200;1663500;2231700</t>
  </si>
  <si>
    <t>5731-1</t>
  </si>
  <si>
    <t>Prayitna Pangestu</t>
  </si>
  <si>
    <t>Gang Ciwastra No. 43</t>
  </si>
  <si>
    <t>5731-1;43203;2018;Prayitna Pangestu;Gang Ciwastra No. 43;Surabaya;Small Business;E1040;Not Specified;Artisan Round Ring Poly Binders;Office Supplies;Small Box;Regular Air;43204;27300;42600;15300;27;1150200;0.03;34506;1115694;737100;378594</t>
  </si>
  <si>
    <t>5732-1</t>
  </si>
  <si>
    <t>Jati Laksmiwati</t>
  </si>
  <si>
    <t>Apex Design Stainless Steel Bent Scissors</t>
  </si>
  <si>
    <t>5732-1;43205;2018;Jati Laksmiwati;Gg. Monginsidi No. 3;Jakarta;Small Business;E1029;Not Specified;Apex Design Stainless Steel Bent Scissors;Office Supplies;Small Pack;Regular Air;43207;43050;102600;59550;35;3591000;0.01;35910;3555090;1506750;2048340</t>
  </si>
  <si>
    <t>5734-1</t>
  </si>
  <si>
    <t>Julia Situmorang</t>
  </si>
  <si>
    <t>5734-1;43206;2018;Julia Situmorang;Gang Asia Afrika No. 96;Surabaya;Corporate;E1036;Low;600 Series Non-Flip;Technology;Small Box;Regular Air;43208;296700;689850;393150;50;34492500;0;0;34492500;14835000;19657500</t>
  </si>
  <si>
    <t>5736-1</t>
  </si>
  <si>
    <t>Opung Saptono</t>
  </si>
  <si>
    <t>Col-Erase Pencils with Erasers</t>
  </si>
  <si>
    <t>5736-1;43206;2018;Opung Saptono;Jl. Medokan Ayu No. 7;Surabaya;Home Office;E1038;Medium;Col-Erase Pencils with Erasers;Office Supplies;Wrap Bag;Regular Air;43208;40200;91200;51000;30;2736000;0.04;109440;2626560;1206000;1420560</t>
  </si>
  <si>
    <t>5737-1</t>
  </si>
  <si>
    <t>5737-1;43211;2018;Laras Lazuardi;Gg. Wonoayu No. 96;Jakarta;Corporate;E1028;Medium;Artisan Printable Repositionable Plastic Tabs;Office Supplies;Small Box;Regular Air;43213;79950;129000;49050;48;6192000;0.02;123840;6068160;3837600;2230560</t>
  </si>
  <si>
    <t>5738-1</t>
  </si>
  <si>
    <t>5738-1;43211;2018;Ikin Januar;Jl. Gardujati No. 82;Surabaya;Consumer;E1037;Not Specified;Beekin 6 Outlet Metallic Surge Strip;Office Supplies;Small Box;Express Air;43213;66900;163350;96450;37;6043950;0;0;6043950;2475300;3568650</t>
  </si>
  <si>
    <t>5740-1</t>
  </si>
  <si>
    <t>Caket Rahimah</t>
  </si>
  <si>
    <t>5740-1;43213;2018;Caket Rahimah;Gg. Otto Iskandardinata No. 6;Jakarta;Consumer;E1028;High;Assorted Color Push Pins;Office Supplies;Wrap Bag;Regular Air;43215;13050;27150;14100;9;244350;0.09;21991.5;222358.5;117450;104908.5</t>
  </si>
  <si>
    <t>5741-1</t>
  </si>
  <si>
    <t>Kania Tampubolon</t>
  </si>
  <si>
    <t>5741-1;43214;2018;Kania Tampubolon;Gg. Jakarta No. 646;Jakarta;Home Office;E1029;Medium;Artisan Flip-Chart Easel Binder, Black;Office Supplies;Small Box;Regular Air;43216;208200;335700;127500;50;16785000;0.07;1174950;15610050;10410000;5200050</t>
  </si>
  <si>
    <t>5742-1</t>
  </si>
  <si>
    <t>5742-1;43214;2018;Gamani Laksmiwati;Jl. Antapani Lama No. 705;Jakarta;Consumer;E1028;Low;Steady Liquid Accent Tank-Style Highlighters;Office Supplies;Wrap Bag;Regular Air;43214;19650;42600;22950;21;894600;0;0;894600;412650;481950</t>
  </si>
  <si>
    <t>5743-1</t>
  </si>
  <si>
    <t>Farhunnisa Yulianti</t>
  </si>
  <si>
    <t>5743-1;43215;2018;Farhunnisa Yulianti;Jl. K.H. Wahid Hasyim No. 4;Jakarta;Corporate;E1028;Not Specified;Laser DVD-RAM discs;Technology;Small Pack;Regular Air;43216;302700;531150;228450;1;531150;0;0;531150;302700;228450</t>
  </si>
  <si>
    <t>5745-1</t>
  </si>
  <si>
    <t>5745-1;43215;2018;Iriana Firmansyah;Jalan Ciumbuleuit No. 76;Surabaya;Home Office;E1039;Not Specified;Steady EarthWrite Recycled Pencils, Medium Soft, #2;Office Supplies;Wrap Bag;Regular Air;43217;13500;31500;18000;23;724500;0.06;43470;681030;310500;370530</t>
  </si>
  <si>
    <t>5747-1</t>
  </si>
  <si>
    <t>Kajen Zulkarnain</t>
  </si>
  <si>
    <t>5747-1;43216;2018;Kajen Zulkarnain;Gang Cikapayang No. 055;Surabaya;Corporate;E1040;Not Specified;Smiths Standard Envelopes;Office Supplies;Small Box;Regular Air;43218;52800;85200;32400;18;1533600;0.06;92016;1441584;950400;491184</t>
  </si>
  <si>
    <t>5749-1</t>
  </si>
  <si>
    <t>5749-1;43216;2018;Kasiran Firgantoro;Jalan Gardujati No. 513;Surabaya;Consumer;E1036;Critical;Wirebound Voice Message Log Book;Office Supplies;Wrap Bag;Regular Air;43217;43500;71400;27900;42;2998800;0.07;209916;2788884;1827000;961884</t>
  </si>
  <si>
    <t>5750-1</t>
  </si>
  <si>
    <t>5750-1;43217;2018;Ganep Uwais;Gg. Stasiun Wonokromo No. 0;Jakarta;Consumer;E1028;High;Apex Design Stainless Steel Bent Scissors;Office Supplies;Small Pack;Regular Air;43218;43050;102600;59550;26;2667600;0.08;213408;2454192;1119300;1334892</t>
  </si>
  <si>
    <t>5752-1</t>
  </si>
  <si>
    <t>5752-1;43217;2018;Kania Tampubolon;Gg. Jakarta No. 646;Jakarta;Home Office;E1029;Not Specified;Steady EarthWrite Recycled Pencils, Medium Soft, #2;Office Supplies;Wrap Bag;Regular Air;43219;13500;31500;18000;34;1071000;0.02;21420;1049580;459000;590580</t>
  </si>
  <si>
    <t>5754-1</t>
  </si>
  <si>
    <t>5754-1;43218;2018;Michelle Oktaviani;Jl. Jend. Sudirman No. 0;Surabaya;Corporate;E1030;Critical;Artisan Flip-Chart Easel Binder, Black;Office Supplies;Small Box;Regular Air;43219;208200;335700;127500;39;13092300;0.07;916461;12175839;8119800;4056039</t>
  </si>
  <si>
    <t>5755-1</t>
  </si>
  <si>
    <t>Gamani Mulyani</t>
  </si>
  <si>
    <t>5755-1;43219;2018;Gamani Mulyani;Gg. Monginsidi No. 3;Jakarta;Corporate;E1029;Critical;Artisan 474 Labels;Office Supplies;Small Box;Regular Air;43221;27600;43200;15600;27;1166400;0.06;69984;1096416;745200;351216</t>
  </si>
  <si>
    <t>5757-1</t>
  </si>
  <si>
    <t>5757-1;43220;2018;Bakiono Wahyuni;Jl. Rumah Sakit No. 738;Jakarta;Corporate;E1028;High;Emerson Stylus 1520 Color Inkjet Printer;Technology;Jumbo Drum;Delivery Truck;43221;4734150;7514550;2780400;37;278038350;0;0;278038350;175163550;102874800</t>
  </si>
  <si>
    <t>5760-1</t>
  </si>
  <si>
    <t>Karna Pertiwi</t>
  </si>
  <si>
    <t>5760-1;43221;2018;Karna Pertiwi;Gg. Surapati No. 50;Surabaya;Home Office;E1033;Medium;Multimedia Mailers;Office Supplies;Small Box;Express Air;43223;1490850;2443950;953100;48;117309600;0.04;4692384;112617216;71560800;41056416</t>
  </si>
  <si>
    <t>5762-1</t>
  </si>
  <si>
    <t>5762-1;43224;2018;Najib Pratama;Gang Cikapayang No. 055;Surabaya;Consumer;E1040;Not Specified;Artisan Hi-Liter EverBold Pen Style Fluorescent Highlighters, 4/Pack;Office Supplies;Wrap Bag;Regular Air;43225;67200;122100;54900;23;2808300;0.07;196581;2611719;1545600;1066119</t>
  </si>
  <si>
    <t>5762-2</t>
  </si>
  <si>
    <t>5762-2;43224;2018;Najib Pratama;Gang Cikapayang No. 055;Surabaya;Consumer;E1040;Not Specified;Smiths General Use 3-Ring Binders;Office Supplies;Small Box;Regular Air;43225;17700;28200;10500;33;930600;0.05;46530;884070;584100;299970</t>
  </si>
  <si>
    <t>5766-1</t>
  </si>
  <si>
    <t>Yuni Nugroho</t>
  </si>
  <si>
    <t>5766-1;43225;2018;Yuni Nugroho;Gang Otto Iskandardinata No. 167;Surabaya;Small Business;E1037;High;Colored Envelopes;Office Supplies;Small Box;Regular Air;43227;33750;55350;21600;13;719550;0.05;35977.5;683572.5;438750;244822.5</t>
  </si>
  <si>
    <t>5768-1</t>
  </si>
  <si>
    <t>5768-1;43226;2018;Dwi Suartini;Gg. Tubagus Ismail No. 864;Bandung;Corporate;E1032;Critical;1726 Digital Answering Machine;Technology;Medium Box;Regular Air;43227;132300;314850;182550;3;944550;0.01;9445.5;935104.5;396900;538204.5</t>
  </si>
  <si>
    <t>5768-2</t>
  </si>
  <si>
    <t>5768-2;43226;2018;Dwi Suartini;Gg. Tubagus Ismail No. 864;Bandung;Corporate;E1032;Critical;Artisan Flip-Chart Easel Binder, Black;Office Supplies;Small Box;Express Air;43226;208200;335700;127500;42;14099400;0.07;986958;13112442;8744400;4368042</t>
  </si>
  <si>
    <t>5768-2;43226;2018;Dwi Suartini;Gg. Tubagus Ismail No. 864;Bandung;Corporate;E1032;Critical;Beekin 105-Key Black Keyboard;Technology;Small Box;Regular Air;43228;95850;299700;203850;45;13486500;0.06;809190;12677310;4313250;8364060</t>
  </si>
  <si>
    <t>5773-1</t>
  </si>
  <si>
    <t>5773-1;43227;2018;Siska Halim;Jl. HOS. Cokroaminoto No. 1;Surabaya;Consumer;E1039;Not Specified;Message Book, One Form per Page;Office Supplies;Wrap Bag;Regular Air;43229;36150;55650;19500;14;779100;0.09;70119;708981;506100;202881</t>
  </si>
  <si>
    <t>5775-1</t>
  </si>
  <si>
    <t>5775-1;43230;2018;Bajragin Saputra;Jalan Ciwastra No. 383;Surabaya;Consumer;E1032;Not Specified;OIC Thumb-Tacks;Office Supplies;Wrap Bag;Regular Air;43232;10650;17100;6450;42;718200;0.06;43092;675108;447300;227808</t>
  </si>
  <si>
    <t>5777-1</t>
  </si>
  <si>
    <t>5777-1;43232;2018;Kairav Winarno;Gg. Suniaraja No. 21;Surabaya;Small Business;E1031;Medium;Artisan 487 Labels;Office Supplies;Small Box;Regular Air;43233;34350;55350;21000;4;221400;0.01;2214;219186;137400;81786</t>
  </si>
  <si>
    <t>5778-1</t>
  </si>
  <si>
    <t>5778-1;43234;2018;Ani Anggraini;Jalan Kapten Muslihat No. 168;Surabaya;Corporate;E1031;Not Specified;Adesso Programmable 142-Key Keyboard;Technology;Small Box;Regular Air;43235;480300;2287200;1806900;21;48031200;0.03;1440936;46590264;10086300;36503964</t>
  </si>
  <si>
    <t>5779-1</t>
  </si>
  <si>
    <t>5779-1;43235;2018;Tugiman Santoso;Gg. Cihampelas No. 423;Surabaya;Corporate;E1030;High;Cando PC940 Copier;Technology;Jumbo Drum;Delivery Truck;43237;4184850;6749850;2565000;25;168746250;0.01;1687462.5;167058787.5;104621250;62437537.5</t>
  </si>
  <si>
    <t>5781-1</t>
  </si>
  <si>
    <t>Bakidin Firmansyah</t>
  </si>
  <si>
    <t>5781-1;43236;2018;Bakidin Firmansyah;Jl. Jend. Sudirman No. 0;Surabaya;Home Office;E1030;High;3Max Polarizing Task Lamp with Clamp Arm, Light Gray;Furniture;Large Box;Regular Air;43238;842400;2054700;1212300;2;4109400;0.08;328752;3780648;1684800;2095848</t>
  </si>
  <si>
    <t>5782-1</t>
  </si>
  <si>
    <t>5782-1;43236;2018;Siska Maryadi;Gg. BKR No. 882;Bandung;Consumer;E1032;Critical;Binding Machine Supplies;Office Supplies;Small Box;Regular Air;43238;275700;437550;161850;43;18814650;0.05;940732.5;17873917.5;11855100;6018817.5</t>
  </si>
  <si>
    <t>5784-1</t>
  </si>
  <si>
    <t>Rendy Andriani</t>
  </si>
  <si>
    <t>5784-1;43238;2018;Rendy Andriani;Gang Monginsidi No. 432;Surabaya;Small Business;E1035;High;1726 Digital Answering Machine;Technology;Medium Box;Regular Air;43241;132300;314850;182550;23;7241550;0.1;724155;6517395;3042900;3474495</t>
  </si>
  <si>
    <t>5786-1</t>
  </si>
  <si>
    <t>Olga Gunawan</t>
  </si>
  <si>
    <t>5786-1;43238;2018;Olga Gunawan;Gg. Moch. Toha No. 0;Surabaya;Home Office;E1035;Medium;Artisan Hi-Liter Fluorescent Desk Style Markers;Office Supplies;Wrap Bag;Express Air;43238;26400;50700;24300;5;253500;0.08;20280;233220;132000;101220</t>
  </si>
  <si>
    <t>5787-1</t>
  </si>
  <si>
    <t>Purwa Nasyidah</t>
  </si>
  <si>
    <t>5787-1;43238;2018;Purwa Nasyidah;Jalan Raya Ujungberung No. 5;Surabaya;Corporate;E1037;Low;Smiths SlimLine Pencil Sharpener;Office Supplies;Small Pack;Regular Air;43265;71850;179550;107700;17;3052350;0.03;91570.5;2960779.5;1221450;1739329.5</t>
  </si>
  <si>
    <t>5788-1</t>
  </si>
  <si>
    <t>5788-1;43239;2018;Gara Aryani;Gang R.E Martadinata No. 969;Surabaya;Home Office;E1036;Medium;DrawIt Colored Pencils, 48-Color Set;Office Supplies;Wrap Bag;Regular Air;43241;323400;548250;224850;34;18640500;0.03;559215;18081285;10995600;7085685</t>
  </si>
  <si>
    <t>5790-1</t>
  </si>
  <si>
    <t>Calista Ardianto</t>
  </si>
  <si>
    <t>5790-1;43239;2018;Calista Ardianto;Jalan Kutai No. 503;Surabaya;Small Business;E1039;Critical;Smiths Bulldog Clip;Office Supplies;Wrap Bag;Regular Air;43241;34650;56700;22050;34;1927800;0.03;57834;1869966;1178100;691866</t>
  </si>
  <si>
    <t>5791-1</t>
  </si>
  <si>
    <t>Nasim Purwanti</t>
  </si>
  <si>
    <t>5791-1;43242;2018;Nasim Purwanti;Jl. Cihampelas No. 4;Surabaya;Small Business;E1038;Medium;TechSavi Cordless Elite Duo;Technology;Small Box;Regular Air;43253;908850;1514700;605850;13;19691100;0.04;787644;18903456;11815050;7088406</t>
  </si>
  <si>
    <t>5793-1</t>
  </si>
  <si>
    <t>Gambira Suryono</t>
  </si>
  <si>
    <t>5793-1;43243;2018;Gambira Suryono;Jl. Antapani Lama No. 705;Jakarta;Small Business;E1028;Medium;Multimedia Mailers;Office Supplies;Small Box;Regular Air;43245;1490850;2443950;953100;39;95314050;0.03;2859421.5;92454628.5;58143150;34311478.5</t>
  </si>
  <si>
    <t>5795-1</t>
  </si>
  <si>
    <t>5795-1;43244;2018;Arta Rahmawati;Jalan Lembong No. 9;Surabaya;Consumer;E1032;Low;Alto Memo Cubes;Office Supplies;Wrap Bag;Express Air;43251;49800;77700;27900;11;854700;0.06;51282;803418;547800;255618</t>
  </si>
  <si>
    <t>5797-1</t>
  </si>
  <si>
    <t>5797-1;43247;2018;Nyana Suryatmi;Gg. Pacuan Kuda No. 49;Surabaya;Corporate;E1037;Low;Apex Straight Scissors;Office Supplies;Small Pack;Regular Air;43247;77850;194700;116850;50;9735000;0.08;778800;8956200;3892500;5063700</t>
  </si>
  <si>
    <t>5799-1</t>
  </si>
  <si>
    <t>5799-1;43247;2018;Bagus Astuti;Jalan Lembong No. 9;Surabaya;Home Office;E1032;Not Specified;UGen Ultra Professional Cordless Optical Suite;Technology;Small Box;Regular Air;43248;2347500;4514550;2167050;41;185096550;0.1;18509655;166586895;96247500;70339395</t>
  </si>
  <si>
    <t>5800-1</t>
  </si>
  <si>
    <t>Cawisono Mardhiyah</t>
  </si>
  <si>
    <t>5800-1;43249;2018;Cawisono Mardhiyah;Gang Ahmad Yani No. 6;Surabaya;Consumer;E1038;Medium;Alto Parchment Paper, Assorted Colors;Office Supplies;Small Box;Express Air;43250;68850;109200;40350;5;546000;0.05;27300;518700;344250;174450</t>
  </si>
  <si>
    <t>5801-1</t>
  </si>
  <si>
    <t>5801-1;43250;2018;Bahuwarna Winarsih;Jl. Pasir Koja No. 08;Bandung;Home Office;E1041;Medium;Artisan Reinforcements for Hole-Punch Pages;Office Supplies;Small Box;Regular Air;43251;17850;29700;11850;3;89100;0.05;4455;84645;53550;31095</t>
  </si>
  <si>
    <t>5802-1</t>
  </si>
  <si>
    <t>5802-1;43252;2018;Eluh Usamah;Jalan Ciumbuleuit No. 76;Surabaya;Corporate;E1039;Medium;Smiths SlimLine Pencil Sharpener;Office Supplies;Small Pack;Regular Air;43254;71850;179550;107700;30;5386500;0.08;430920;4955580;2155500;2800080</t>
  </si>
  <si>
    <t>5803-1</t>
  </si>
  <si>
    <t>Jayeng Wastuti</t>
  </si>
  <si>
    <t>5803-1;43253;2018;Jayeng Wastuti;Jalan Kutai No. 503;Surabaya;Corporate;E1039;High;Artisan Durable Binders;Office Supplies;Small Box;Regular Air;43255;27600;43200;15600;22;950400;0.1;95040;855360;607200;248160</t>
  </si>
  <si>
    <t>5804-1</t>
  </si>
  <si>
    <t>5804-1;43253;2018;Bakiadi Hassanah;Jalan Gedebage Selatan No. 048;Jakarta;Home Office;E1029;High;Artisan Durable Poly Binders;Office Supplies;Small Box;Regular Air;43256;50550;82950;32400;12;995400;0.06;59724;935676;606600;329076</t>
  </si>
  <si>
    <t>5804-2</t>
  </si>
  <si>
    <t>5804-2;43253;2018;Bakiadi Hassanah;Jalan Gedebage Selatan No. 048;Jakarta;Home Office;E1029;High;Artisan Hi-Liter Pen Style Six-Color Fluorescent Set;Office Supplies;Wrap Bag;Regular Air;43254;32400;57750;25350;12;693000;0.1;69300;623700;388800;234900</t>
  </si>
  <si>
    <t>5805-1</t>
  </si>
  <si>
    <t>Juli Waluyo</t>
  </si>
  <si>
    <t>Gg. Stasiun Wonokromo No. 324</t>
  </si>
  <si>
    <t>5805-1;43258;2018;Juli Waluyo;Gg. Stasiun Wonokromo No. 324;Surabaya;Home Office;E1034;Critical;Security-Tint Envelopes;Office Supplies;Small Box;Regular Air;43261;73350;114600;41250;32;3667200;0.06;220032;3447168;2347200;1099968</t>
  </si>
  <si>
    <t>5806-1</t>
  </si>
  <si>
    <t>5806-1;43259;2018;Olga Usamah;Jalan S. Parman No. 88;Bandung;Corporate;E1036;Medium;Assorted Color Push Pins;Office Supplies;Wrap Bag;Regular Air;43260;13050;27150;14100;41;1113150;0.03;33394.5;1079755.5;535050;544705.5</t>
  </si>
  <si>
    <t>5807-1</t>
  </si>
  <si>
    <t>Lembah Rajasa</t>
  </si>
  <si>
    <t>Jalan Raya Setiabudhi No. 595</t>
  </si>
  <si>
    <t>5807-1;43259;2018;Lembah Rajasa;Jalan Raya Setiabudhi No. 595;Jakarta;Small Business;E1029;Critical;Artisan 487 Labels;Office Supplies;Small Box;Regular Air;43259;34350;55350;21000;12;664200;0.02;13284;650916;412200;238716</t>
  </si>
  <si>
    <t>5809-1</t>
  </si>
  <si>
    <t>Nilam Dabukke</t>
  </si>
  <si>
    <t>5809-1;43262;2018;Nilam Dabukke;Gg. Dr. Djunjunan No. 33;Surabaya;Consumer;E1032;High;Artisan 474 Labels;Office Supplies;Small Box;Express Air;43263;27600;43200;15600;9;388800;0;0;388800;248400;140400</t>
  </si>
  <si>
    <t>5811-1</t>
  </si>
  <si>
    <t>Mahmud Tarihoran</t>
  </si>
  <si>
    <t>5811-1;43264;2018;Mahmud Tarihoran;Gang H.J Maemunah No. 6;Surabaya;Consumer;E1038;Low;TechSavi Access Keyboard;Technology;Small Box;Regular Air;43264;151050;239700;88650;26;6232200;0.01;62322;6169878;3927300;2242578</t>
  </si>
  <si>
    <t>5813-1</t>
  </si>
  <si>
    <t>Rahmat Handayani</t>
  </si>
  <si>
    <t>Artisan Hole Reinforcements</t>
  </si>
  <si>
    <t>5813-1;43265;2018;Rahmat Handayani;Gang Asia Afrika No. 72;Surabaya;Corporate;E1037;Medium;Artisan Hole Reinforcements;Office Supplies;Small Box;Express Air;43266;59850;93450;33600;4;373800;0.1;37380;336420;239400;97020</t>
  </si>
  <si>
    <t>5814-1</t>
  </si>
  <si>
    <t>Najwa Usamah</t>
  </si>
  <si>
    <t>5814-1;43265;2018;Najwa Usamah;Gg. Joyoboyo No. 8;Jakarta;Consumer;E1028;Critical;Steady Colorific Colored Pencils, 12/Box;Office Supplies;Wrap Bag;Regular Air;43267;19500;43200;23700;43;1857600;0.1;185760;1671840;838500;833340</t>
  </si>
  <si>
    <t>5815-1</t>
  </si>
  <si>
    <t>Danuja Prayoga</t>
  </si>
  <si>
    <t>5815-1;43266;2018;Danuja Prayoga;Gg. Pacuan Kuda No. 49;Surabaya;Home Office;E1037;High;Lumi Crayons;Office Supplies;Wrap Bag;Regular Air;43267;78300;147750;69450;41;6057750;0.05;302887.5;5754862.5;3210300;2544562.5</t>
  </si>
  <si>
    <t>5816-1</t>
  </si>
  <si>
    <t>Warsita Nurdiyanti</t>
  </si>
  <si>
    <t>5816-1;43267;2018;Warsita Nurdiyanti;Gang Medokan Ayu No. 764;Surabaya;Corporate;E1038;High;Artisan Hi-Liter Pen Style Six-Color Fluorescent Set;Office Supplies;Wrap Bag;Regular Air;43269;32400;57750;25350;4;231000;0.09;20790;210210;129600;80610</t>
  </si>
  <si>
    <t>5818-1</t>
  </si>
  <si>
    <t>5818-1;43269;2018;Luwar Yuniar;Jalan R.E Martadinata No. 6;Jakarta;Small Business;E1029;High;Artisan Printable Repositionable Plastic Tabs;Office Supplies;Small Box;Regular Air;43270;79950;129000;49050;2;258000;0.05;12900;245100;159900;85200</t>
  </si>
  <si>
    <t>5819-1</t>
  </si>
  <si>
    <t>Paiman Uwais</t>
  </si>
  <si>
    <t>Gang Gedebage Selatan No. 1</t>
  </si>
  <si>
    <t>5819-1;43274;2018;Paiman Uwais;Gang Gedebage Selatan No. 1;Surabaya;Small Business;E1036;High;Steady Major Accent Highlighters;Office Supplies;Wrap Bag;Regular Air;43275;56250;106200;49950;12;1274400;0.1;127440;1146960;675000;471960</t>
  </si>
  <si>
    <t>5821-1</t>
  </si>
  <si>
    <t>Mahdi Rajata</t>
  </si>
  <si>
    <t>5821-1;43275;2018;Mahdi Rajata;Jl. Pasir Koja No. 059;Surabaya;Home Office;E1032;Critical;Artisan 481 Labels;Office Supplies;Small Box;Regular Air;43276;29100;46200;17100;4;184800;0.03;5544;179256;116400;62856</t>
  </si>
  <si>
    <t>5822-1</t>
  </si>
  <si>
    <t>5822-1;43278;2018;Nasim Purwanti;Jl. Cihampelas No. 4;Surabaya;Consumer;E1038;High;Self-Adhesive Ring Binder Labels;Office Supplies;Small Box;Regular Air;43280;32700;52800;20100;49;2587200;0.08;206976;2380224;1602300;777924</t>
  </si>
  <si>
    <t>5824-1</t>
  </si>
  <si>
    <t>Nilam Latupono</t>
  </si>
  <si>
    <t>5824-1;43279;2018;Nilam Latupono;Jalan Jamika No. 4;Surabaya;Home Office;E1033;Not Specified;Emerson Stylus 1520 Color Inkjet Printer;Technology;Jumbo Drum;Delivery Truck;43280;4734150;7514550;2780400;3;22543650;0.06;1352619;21191031;14202450;6988581</t>
  </si>
  <si>
    <t>5826-1</t>
  </si>
  <si>
    <t>Yoga Damanik</t>
  </si>
  <si>
    <t>5826-1;43279;2018;Yoga Damanik;Jalan R.E Martadinata No. 6;Jakarta;Small Business;E1029;High;Multi-Use Personal File Cart and Caster Set, Three Stacking Bins;Office Supplies;Small Box;Regular Air;43279;224250;521400;297150;43;22420200;0;0;22420200;9642750;12777450</t>
  </si>
  <si>
    <t>5829-1</t>
  </si>
  <si>
    <t>Lukita Lestari</t>
  </si>
  <si>
    <t>5829-1;43280;2018;Lukita Lestari;Jalan R.E Martadinata No. 6;Jakarta;Consumer;E1029;Medium;Xit Blank Computer Paper;Office Supplies;Small Box;Regular Air;43280;185850;299700;113850;32;9590400;0.05;479520;9110880;5947200;3163680</t>
  </si>
  <si>
    <t>5831-1</t>
  </si>
  <si>
    <t>Cakrajiya Sihombing</t>
  </si>
  <si>
    <t>5831-1;43281;2018;Cakrajiya Sihombing;Gang Otto Iskandardinata No. 167;Surabaya;Corporate;E1037;Critical;Apex Design Stainless Steel Bent Scissors;Office Supplies;Small Pack;Regular Air;43284;43050;102600;59550;35;3591000;0.02;71820;3519180;1506750;2012430</t>
  </si>
  <si>
    <t>5832-1</t>
  </si>
  <si>
    <t>Putu Suwarno</t>
  </si>
  <si>
    <t>5832-1;43283;2018;Putu Suwarno;Jalan R.E Martadinata No. 6;Jakarta;Small Business;E1029;Critical;Alto Keyboard-In-A-Box;Technology;Small Box;Express Air;43284;96000;436500;340500;50;21825000;0.09;1964250;19860750;4800000;15060750</t>
  </si>
  <si>
    <t>5833-1</t>
  </si>
  <si>
    <t>5833-1;43284;2018;Cengkal Prastuti;Gang Setiabudhi No. 1;Bandung;Small Business;E1036;Low;Aluminum Document Frame;Furniture;Small Pack;Regular Air;43291;82500;183300;100800;5;916500;0.04;36660;879840;412500;467340</t>
  </si>
  <si>
    <t>5834-1</t>
  </si>
  <si>
    <t>5834-1;43284;2018;Ajiman Mandasari;Jl. Rumah Sakit No. 738;Jakarta;Small Business;E1028;Critical;Steady Major Accent Highlighters;Office Supplies;Wrap Bag;Regular Air;43285;56250;106200;49950;31;3292200;0.01;32922;3259278;1743750;1515528</t>
  </si>
  <si>
    <t>5835-1</t>
  </si>
  <si>
    <t>Hilda Sihotang</t>
  </si>
  <si>
    <t>5835-1;43285;2018;Hilda Sihotang;Jl. S. Parman No. 38;Surabaya;Home Office;E1033;High;Alto Parchment Paper, Assorted Colors;Office Supplies;Small Box;Express Air;43286;68850;109200;40350;40;4368000;0.04;174720;4193280;2754000;1439280</t>
  </si>
  <si>
    <t>5837-1</t>
  </si>
  <si>
    <t>Kezia Astuti</t>
  </si>
  <si>
    <t>Jl. Rumah Sakit No. 65</t>
  </si>
  <si>
    <t>5837-1;43287;2018;Kezia Astuti;Jl. Rumah Sakit No. 65;Surabaya;Corporate;E1030;Medium;Artisan Durable Poly Binders;Office Supplies;Small Box;Regular Air;43289;50550;82950;32400;23;1907850;0.1;190785;1717065;1162650;554415</t>
  </si>
  <si>
    <t>5838-1</t>
  </si>
  <si>
    <t>Ilyas Najmudin</t>
  </si>
  <si>
    <t>5838-1;43287;2018;Ilyas Najmudin;Gg. Otto Iskandardinata No. 6;Jakarta;Corporate;E1028;Critical;Smiths Standard Envelopes;Office Supplies;Small Box;Regular Air;43288;52800;85200;32400;8;681600;0.02;13632;667968;422400;245568</t>
  </si>
  <si>
    <t>5840-1</t>
  </si>
  <si>
    <t>5840-1;43288;2018;Darmaji Rajasa;Jl. Rumah Sakit No. 738;Jakarta;Home Office;E1028;Not Specified;1726 Digital Answering Machine;Technology;Medium Box;Regular Air;43290;132300;314850;182550;45;14168250;0.03;425047.5;13743202.5;5953500;7789702.5</t>
  </si>
  <si>
    <t>5841-1</t>
  </si>
  <si>
    <t>5841-1;43288;2018;Cakrajiya Sihombing;Gang Otto Iskandardinata No. 167;Surabaya;Corporate;E1037;Not Specified;Pizazz Drawing Pencil Set;Office Supplies;Wrap Bag;Express Air;43290;22950;41700;18750;34;1417800;0;0;1417800;780300;637500</t>
  </si>
  <si>
    <t>5842-1</t>
  </si>
  <si>
    <t>5842-1;43293;2018;Asirwanda Rahimah;Gg. M.H Thamrin No. 784;Jakarta;Small Business;E1029;Medium;UGen Ultra Cordless Optical Suite;Technology;Small Box;Regular Air;43295;817800;1514550;696750;13;19689150;0.06;1181349;18507801;10631400;7876401</t>
  </si>
  <si>
    <t>5843-1</t>
  </si>
  <si>
    <t>Najwa Najmudin</t>
  </si>
  <si>
    <t>5843-1;43298;2018;Najwa Najmudin;Gang Kebonjati No. 827;Bandung;Home Office;E1033;Medium;Cando S750 Color Inkjet Printer;Technology;Jumbo Drum;Delivery Truck;43299;1125000;1814550;689550;38;68952900;0.09;6205761;62747139;42750000;19997139</t>
  </si>
  <si>
    <t>5845-1</t>
  </si>
  <si>
    <t>5845-1;43298;2018;Rizki Purnawati;Gang Monginsidi No. 138;Jakarta;Small Business;E1029;High;Unpadded Memo Slips;Office Supplies;Wrap Bag;Regular Air;43299;38850;59700;20850;2;119400;0.04;4776;114624;77700;36924</t>
  </si>
  <si>
    <t>5847-1</t>
  </si>
  <si>
    <t>5847-1;43302;2018;Hendri Fujiati;Jl. Raya Ujungberung No. 86;Bandung;Home Office;E1041;Critical;Artisan Durable Poly Binders;Office Supplies;Small Box;Regular Air;43303;50550;82950;32400;9;746550;0.09;67189.5;679360.5;454950;224410.5</t>
  </si>
  <si>
    <t>5848-1</t>
  </si>
  <si>
    <t>Danuja Rajasa</t>
  </si>
  <si>
    <t>5848-1;43302;2018;Danuja Rajasa;Jl. Pasir Koja No. 64;Surabaya;Small Business;E1032;Not Specified;Wirebound Message Book, 4 per Page;Office Supplies;Wrap Bag;Regular Air;43303;52200;81450;29250;13;1058850;0.02;21177;1037673;678600;359073</t>
  </si>
  <si>
    <t>5850-1</t>
  </si>
  <si>
    <t>Hafshah Utami</t>
  </si>
  <si>
    <t>Alto Six-Outlet Power Strip, 4 Cord Length</t>
  </si>
  <si>
    <t>5850-1;43304;2018;Hafshah Utami;Jl. HOS. Cokroaminoto No. 1;Surabaya;Consumer;E1039;High;Alto Six-Outlet Power Strip, 4 Cord Length;Office Supplies;Small Box;Regular Air;43307;52950;129300;76350;50;6465000;0.07;452550;6012450;2647500;3364950</t>
  </si>
  <si>
    <t>5852-1</t>
  </si>
  <si>
    <t>Anggabaya Palastri</t>
  </si>
  <si>
    <t>5852-1;43304;2018;Anggabaya Palastri;Gang Cikapayang No. 055;Surabaya;Corporate;E1040;Critical;Pizazz Drawing Pencil Set;Office Supplies;Wrap Bag;Regular Air;43305;22950;41700;18750;19;792300;0.06;47538;744762;436050;308712</t>
  </si>
  <si>
    <t>5854-1</t>
  </si>
  <si>
    <t>5854-1;43305;2018;Limar Laksmiwati;Gang Gedebage Selatan No. 1;Bandung;Small Business;E1039;Medium;TechSavi Access Keyboard;Technology;Small Box;Regular Air;43306;151050;239700;88650;40;9588000;0.01;95880;9492120;6042000;3450120</t>
  </si>
  <si>
    <t>5856-1</t>
  </si>
  <si>
    <t>Marwata Fujiati</t>
  </si>
  <si>
    <t>Gang Dipatiukur No. 24</t>
  </si>
  <si>
    <t>5856-1;43307;2018;Marwata Fujiati;Gang Dipatiukur No. 24;Surabaya;Corporate;E1034;High;Artisan Hi-Liter Pen Style Six-Color Fluorescent Set;Office Supplies;Wrap Bag;Regular Air;43308;32400;57750;25350;42;2425500;0.01;24255;2401245;1360800;1040445</t>
  </si>
  <si>
    <t>5857-1</t>
  </si>
  <si>
    <t>5857-1;43312;2018;Bakiono Wahyuni;Jl. Rumah Sakit No. 738;Jakarta;Corporate;E1028;Medium;Artisan Durable Poly Binders;Office Supplies;Small Box;Regular Air;43313;50550;82950;32400;30;2488500;0.01;24885;2463615;1516500;947115</t>
  </si>
  <si>
    <t>5859-1</t>
  </si>
  <si>
    <t>5859-1;43312;2018;Galuh Zulaika;Jalan Otto Iskandardinata No. 1;Jakarta;Corporate;E1029;Medium;Artisan Durable Poly Binders;Office Supplies;Small Box;Regular Air;43313;50550;82950;32400;27;2239650;0.04;89586;2150064;1364850;785214</t>
  </si>
  <si>
    <t>5861-1</t>
  </si>
  <si>
    <t>Jayadi Safitri</t>
  </si>
  <si>
    <t>Gg. Setiabudhi No. 32</t>
  </si>
  <si>
    <t>5861-1;43312;2018;Jayadi Safitri;Gg. Setiabudhi No. 32;Surabaya;Small Business;E1040;Medium;Binder Posts;Office Supplies;Small Box;Regular Air;43312;52500;86100;33600;23;1980300;0.06;118818;1861482;1207500;653982</t>
  </si>
  <si>
    <t>5863-1</t>
  </si>
  <si>
    <t>5863-1;43313;2018;Cengkal Prastuti;Gang Setiabudhi No. 1;Bandung;Corporate;E1036;Not Specified;Beekin 105-Key Black Keyboard;Technology;Small Box;Express Air;43313;95850;299700;203850;6;1798200;0.08;143856;1654344;575100;1079244</t>
  </si>
  <si>
    <t>5865-1</t>
  </si>
  <si>
    <t>Ratna Sitorus</t>
  </si>
  <si>
    <t>5865-1;43314;2018;Ratna Sitorus;Gang Sadang Serang No. 74;Surabaya;Corporate;E1039;High;Artisan Hi-Liter Smear-Safe Highlighters;Office Supplies;Wrap Bag;Express Air;43316;44700;87600;42900;12;1051200;0.02;21024;1030176;536400;493776</t>
  </si>
  <si>
    <t>5867-1</t>
  </si>
  <si>
    <t>5867-1;43317;2018;Yuni Wastuti;Jl. S. Parman No. 91;Surabaya;Small Business;E1034;High;HFX LaserJet 3310 Copier;Technology;Large Box;Regular Air;43317;5669850;8999850;3330000;50;449992500;0.09;40499325;409493175;283492500;126000675</t>
  </si>
  <si>
    <t>5868-1</t>
  </si>
  <si>
    <t>5868-1;43318;2018;Wani Astuti;Gg. Siliwangi No. 82;Surabaya;Corporate;E1036;Low;Artisan Hi-Liter Fluorescent Desk Style Markers;Office Supplies;Wrap Bag;Regular Air;43318;26400;50700;24300;31;1571700;0.04;62868;1508832;818400;690432</t>
  </si>
  <si>
    <t>5869-1</t>
  </si>
  <si>
    <t>Galar Nasyidah</t>
  </si>
  <si>
    <t>5869-1;43319;2018;Galar Nasyidah;Gg. Monginsidi No. 3;Jakarta;Small Business;E1029;Critical;Bagged Rubber Bands;Office Supplies;Wrap Bag;Regular Air;43320;3600;18900;15300;35;661500;0.1;66150;595350;126000;469350</t>
  </si>
  <si>
    <t>5869-2</t>
  </si>
  <si>
    <t>5869-2;43319;2018;Galar Nasyidah;Gg. Monginsidi No. 3;Jakarta;Small Business;E1029;Critical;DrawIt Pizazz Watercolor Pencils, 10-Color Set with Brush;Office Supplies;Wrap Bag;Regular Air;43321;35850;63900;28050;8;511200;0.1;51120;460080;286800;173280</t>
  </si>
  <si>
    <t>5870-1</t>
  </si>
  <si>
    <t>Lembah Saragih</t>
  </si>
  <si>
    <t>5870-1;43319;2018;Lembah Saragih;Gg. Monginsidi No. 3;Jakarta;Small Business;E1029;Critical;Cando PC940 Copier;Technology;Large Box;Regular Air;43321;3240000;6749850;3509850;2;13499700;0.08;1079976;12419724;6480000;5939724</t>
  </si>
  <si>
    <t>5871-1</t>
  </si>
  <si>
    <t>5871-1;43320;2018;Daliman Pranowo;Gg. Merdeka No. 97;Bandung;Corporate;E1039;Critical;1726 Digital Answering Machine;Technology;Medium Box;Regular Air;43320;132300;314850;182550;19;5982150;0.01;59821.5;5922328.5;2513700;3408628.5</t>
  </si>
  <si>
    <t>5872-1</t>
  </si>
  <si>
    <t>Dacin Setiawan</t>
  </si>
  <si>
    <t>5872-1;43320;2018;Dacin Setiawan;Jl. K.H. Wahid Hasyim No. 4;Jakarta;Home Office;E1028;Critical;Artisan Flip-Chart Easel Binder, Black;Office Supplies;Small Box;Regular Air;43322;208200;335700;127500;6;2014200;0;0;2014200;1249200;765000</t>
  </si>
  <si>
    <t>5873-1</t>
  </si>
  <si>
    <t>Balijan Setiawan</t>
  </si>
  <si>
    <t>5873-1;43322;2018;Balijan Setiawan;Gg. M.H Thamrin No. 784;Jakarta;Home Office;E1029;Low;Artisan Hanging File Binders;Office Supplies;Small Box;Express Air;43324;54750;89700;34950;50;4485000;0.09;403650;4081350;2737500;1343850</t>
  </si>
  <si>
    <t>5875-1</t>
  </si>
  <si>
    <t>Amelia Kuswoyo</t>
  </si>
  <si>
    <t>5875-1;43322;2018;Amelia Kuswoyo;Gg. Jakarta No. 646;Jakarta;Corporate;E1029;Not Specified;Emerson Stylus 1520 Color Inkjet Printer;Technology;Jumbo Drum;Delivery Truck;43325;4734150;7514550;2780400;44;330640200;0.09;29757618;300882582;208302600;92579982</t>
  </si>
  <si>
    <t>5877-1</t>
  </si>
  <si>
    <t>Satya Nurdiyanti</t>
  </si>
  <si>
    <t>5877-1;43323;2018;Satya Nurdiyanti;Jalan S. Parman No. 88;Bandung;Corporate;E1036;Low;Artisan 474 Labels;Office Supplies;Small Box;Regular Air;43328;27600;43200;15600;29;1252800;0.03;37584;1215216;800400;414816</t>
  </si>
  <si>
    <t>5879-1</t>
  </si>
  <si>
    <t>5879-1;43324;2018;Kuncara Hasanah;Jl. Rumah Sakit No. 738;Jakarta;Consumer;E1028;High;Artisan Poly Binder Pockets;Office Supplies;Small Box;Regular Air;43326;33900;53700;19800;7;375900;0.09;33831;342069;237300;104769</t>
  </si>
  <si>
    <t>5881-1</t>
  </si>
  <si>
    <t>5881-1;43325;2018;Febi Pangestu;Gang Sentot Alibasa No. 38;Surabaya;Small Business;E1033;Not Specified;Smiths File Caddy;Office Supplies;Small Box;Regular Air;43326;60450;140700;80250;31;4361700;0.08;348936;4012764;1873950;2138814</t>
  </si>
  <si>
    <t>5882-1</t>
  </si>
  <si>
    <t>Bakda Firmansyah</t>
  </si>
  <si>
    <t>5882-1;43326;2018;Bakda Firmansyah;Gg. Rumah Sakit No. 617;Surabaya;Home Office;E1038;Critical;Apex Elite Stainless Steel Scissors;Office Supplies;Small Pack;Regular Air;43327;51300;125100;73800;21;2627100;0.03;78813;2548287;1077300;1470987</t>
  </si>
  <si>
    <t>5884-1</t>
  </si>
  <si>
    <t>5884-1;43327;2018;Usman Prabowo;Jl. K.H. Wahid Hasyim No. 4;Jakarta;Corporate;E1029;Critical;TechSavi Access Keyboard;Technology;Small Box;Regular Air;43329;151050;239700;88650;26;6232200;0.03;186966;6045234;3927300;2117934</t>
  </si>
  <si>
    <t>5885-1</t>
  </si>
  <si>
    <t>Mursita Yuniar</t>
  </si>
  <si>
    <t>5885-1;43328;2018;Mursita Yuniar;Jalan Gardujati No. 6;Surabaya;Corporate;E1034;High;24 Capacity Maxi Data Binder Racks, Pearl;Office Supplies;Small Box;Regular Air;43329;1263300;3158250;1894950;18;56848500;0.05;2842425;54006075;22739400;31266675</t>
  </si>
  <si>
    <t>5886-1</t>
  </si>
  <si>
    <t>Liman Siregar</t>
  </si>
  <si>
    <t>5886-1;43330;2018;Liman Siregar;Jalan R.E Martadinata No. 6;Jakarta;Home Office;E1029;Low;Artisan Flip-Chart Easel Binder, Black;Office Supplies;Small Box;Regular Air;43332;208200;335700;127500;45;15106500;0.05;755325;14351175;9369000;4982175</t>
  </si>
  <si>
    <t>5887-1</t>
  </si>
  <si>
    <t>5887-1;43334;2018;Daliman Pranowo;Gg. Merdeka No. 97;Bandung;Corporate;E1039;Not Specified;UGen Ultra Cordless Optical Suite;Technology;Small Box;Regular Air;43335;817800;1514550;696750;15;22718250;0.1;2271825;20446425;12267000;8179425</t>
  </si>
  <si>
    <t>5888-1</t>
  </si>
  <si>
    <t>5888-1;43335;2018;Prayogo Rajata;Gg. Jamika No. 6;Surabaya;Corporate;E1036;Medium;Apex Box Cutter Scissors;Office Supplies;Small Pack;Regular Air;43337;62850;153450;90600;46;7058700;0.05;352935;6705765;2891100;3814665</t>
  </si>
  <si>
    <t>5888-2</t>
  </si>
  <si>
    <t>5888-2;43335;2018;Prayogo Rajata;Gg. Jamika No. 6;Surabaya;Corporate;E1036;Medium;Artisan Hanging File Binders;Office Supplies;Small Box;Regular Air;43337;54750;89700;34950;4;358800;0.07;25116;333684;219000;114684</t>
  </si>
  <si>
    <t>5891-1</t>
  </si>
  <si>
    <t>5891-1;43336;2018;Rafi Anggriawan;Gg. Stasiun Wonokromo No. 0;Jakarta;Corporate;E1028;High;Adams "While You Were Out" Message Pads;Office Supplies;Wrap Bag;Regular Air;43338;28200;47100;18900;50;2355000;0;0;2355000;1410000;945000</t>
  </si>
  <si>
    <t>5893-1</t>
  </si>
  <si>
    <t>Kairav Mandasari</t>
  </si>
  <si>
    <t>5893-1;43338;2018;Kairav Mandasari;Jalan Sukabumi No. 509;Surabaya;Corporate;E1030;Medium;Bagged Rubber Bands;Office Supplies;Wrap Bag;Express Air;43338;3600;18900;15300;35;661500;0.06;39690;621810;126000;495810</t>
  </si>
  <si>
    <t>5894-1</t>
  </si>
  <si>
    <t>Ozy Pratama</t>
  </si>
  <si>
    <t>5894-1;43338;2018;Ozy Pratama;Gg. Surapati No. 471;Surabaya;Home Office;E1038;High;Deluxe Rollaway Locking File with Drawer;Office Supplies;Small Box;Regular Air;43340;2682450;6238200;3555750;11;68620200;0.06;4117212;64502988;29506950;34996038</t>
  </si>
  <si>
    <t>5896-1</t>
  </si>
  <si>
    <t>Cahyo Widodo</t>
  </si>
  <si>
    <t>Gang Lembong No. 1</t>
  </si>
  <si>
    <t>5896-1;43339;2018;Cahyo Widodo;Gang Lembong No. 1;Surabaya;Home Office;E1034;High;Apex Straight Scissors;Office Supplies;Small Pack;Regular Air;43341;77850;194700;116850;23;4478100;0.01;44781;4433319;1790550;2642769</t>
  </si>
  <si>
    <t>5898-1</t>
  </si>
  <si>
    <t>5898-1;43341;2018;Maman Wulandari;Jl. Pasir Koja No. 64;Surabaya;Home Office;E1032;Not Specified;Xit Blank Computer Paper;Office Supplies;Small Box;Regular Air;43344;185850;299700;113850;33;9890100;0.09;890109;8999991;6133050;2866941</t>
  </si>
  <si>
    <t>5899-1</t>
  </si>
  <si>
    <t>5899-1;43342;2018;Respati Puspita;Gang Pelajar Pejuang No. 95;Bandung;Corporate;E1033;Not Specified;TypeRight Side-Opening Peel &amp; Seel Expanding Envelopes;Office Supplies;Small Box;Regular Air;43344;814350;1357200;542850;11;14929200;0.04;597168;14332032;8957850;5374182</t>
  </si>
  <si>
    <t>5900-1</t>
  </si>
  <si>
    <t>5900-1;43342;2018;Putu Suwarno;Jalan R.E Martadinata No. 6;Jakarta;Small Business;E1029;Not Specified;Artisan Reinforcements for Hole-Punch Pages;Office Supplies;Small Box;Regular Air;43342;17850;29700;11850;29;861300;0.09;77517;783783;517650;266133</t>
  </si>
  <si>
    <t>5902-1</t>
  </si>
  <si>
    <t>Unggul Megantara</t>
  </si>
  <si>
    <t>5902-1;43342;2018;Unggul Megantara;Gang Otto Iskandardinata No. 167;Surabaya;Corporate;E1037;Low;Laser DVD-RAM discs;Technology;Small Pack;Regular Air;43349;302700;531150;228450;1;531150;0.1;53115;478035;302700;175335</t>
  </si>
  <si>
    <t>5904-1</t>
  </si>
  <si>
    <t>5904-1;43343;2018;Widya Sihotang;Gang R.E Martadinata No. 969;Surabaya;Corporate;E1036;Critical;Artisan Durable Binders;Office Supplies;Small Box;Regular Air;43344;27600;43200;15600;16;691200;0.05;34560;656640;441600;215040</t>
  </si>
  <si>
    <t>5906-1</t>
  </si>
  <si>
    <t>5906-1;43344;2018;Asirwanda Rahimah;Gg. M.H Thamrin No. 784;Jakarta;Corporate;E1029;High;Artisan Durable Binders;Office Supplies;Small Box;Regular Air;43347;27600;43200;15600;26;1123200;0.08;89856;1033344;717600;315744</t>
  </si>
  <si>
    <t>5907-1</t>
  </si>
  <si>
    <t>5907-1;43344;2018;Sidiq Sirait;Jl. Surapati No. 996;Jakarta;Home Office;E1029;Critical;Laser DVD-RAM discs;Technology;Small Pack;Regular Air;43346;302700;531150;228450;49;26026350;0.02;520527;25505823;14832300;10673523</t>
  </si>
  <si>
    <t>5908-1</t>
  </si>
  <si>
    <t>Lanjar Tampubolon</t>
  </si>
  <si>
    <t>5908-1;43344;2018;Lanjar Tampubolon;Gg. Suniaraja No. 21;Surabaya;Small Business;E1031;Critical;UGen RF Keyboard;Technology;Small Box;Regular Air;43345;1223850;2399850;1176000;19;45597150;0.1;4559715;41037435;23253150;17784285</t>
  </si>
  <si>
    <t>5909-1</t>
  </si>
  <si>
    <t>5909-1;43346;2018;Daliman Pranowo;Gg. Merdeka No. 97;Bandung;Corporate;E1039;Critical;Smiths Bulldog Clip;Office Supplies;Wrap Bag;Regular Air;43348;34650;56700;22050;19;1077300;0.03;32319;1044981;658350;386631</t>
  </si>
  <si>
    <t>5911-1</t>
  </si>
  <si>
    <t>5911-1;43348;2018;Raina Manullang;Jalan Jend. A. Yani No. 48;Surabaya;Corporate;E1036;Medium;Steady EarthWrite Recycled Pencils, Medium Soft, #2;Office Supplies;Wrap Bag;Regular Air;43349;13500;31500;18000;17;535500;0.09;48195;487305;229500;257805</t>
  </si>
  <si>
    <t>5913-1</t>
  </si>
  <si>
    <t>5913-1;43348;2018;Taufik Najmudin;Jalan R.E Martadinata No. 6;Jakarta;Consumer;E1029;Low;Steady Major Accent Highlighters;Office Supplies;Wrap Bag;Regular Air;43352;56250;106200;49950;49;5203800;0;0;5203800;2756250;2447550</t>
  </si>
  <si>
    <t>5914-1</t>
  </si>
  <si>
    <t>Lintang Prabowo</t>
  </si>
  <si>
    <t>Jl. Suryakencana No. 75</t>
  </si>
  <si>
    <t>5914-1;43350;2018;Lintang Prabowo;Jl. Suryakencana No. 75;Jakarta;Corporate;E1028;Critical;12 Colored Short Pencils;Office Supplies;Wrap Bag;Regular Air;43352;16350;39000;22650;8;312000;0.04;12480;299520;130800;168720</t>
  </si>
  <si>
    <t>5916-1</t>
  </si>
  <si>
    <t>5916-1;43351;2018;Koko Setiawan;Gang Yos Sudarso No. 13;Surabaya;Small Business;E1039;Not Specified;Beekin 105-Key Black Keyboard;Technology;Small Box;Regular Air;43353;95850;299700;203850;7;2097900;0.09;188811;1909089;670950;1238139</t>
  </si>
  <si>
    <t>5917-1</t>
  </si>
  <si>
    <t>5917-1;43352;2018;Elma Agustina;Gg. Waringin No. 112;Surabaya;Corporate;E1034;Not Specified;12 Colored Short Pencils;Office Supplies;Wrap Bag;Express Air;43353;16350;39000;22650;42;1638000;0.05;81900;1556100;686700;869400</t>
  </si>
  <si>
    <t>5919-1</t>
  </si>
  <si>
    <t>5919-1;43353;2018;Amelia Kuswoyo;Gg. Jakarta No. 646;Jakarta;Corporate;E1029;High;Artisan 474 Labels;Office Supplies;Small Box;Regular Air;43355;27600;43200;15600;24;1036800;0.07;72576;964224;662400;301824</t>
  </si>
  <si>
    <t>5921-1</t>
  </si>
  <si>
    <t>Elvin Yuniar</t>
  </si>
  <si>
    <t>5921-1;43355;2018;Elvin Yuniar;Jl. Rumah Sakit No. 738;Jakarta;Corporate;E1028;Not Specified;1726 Digital Answering Machine;Technology;Medium Box;Express Air;43357;132300;314850;182550;18;5667300;0;0;5667300;2381400;3285900</t>
  </si>
  <si>
    <t>5923-1</t>
  </si>
  <si>
    <t>5923-1;43355;2018;Kamidin Saptono;Gang Monginsidi No. 138;Jakarta;Consumer;E1029;Medium;Laser Neon Mac Format Diskettes, 10/Pack;Technology;Small Pack;Regular Air;43356;28050;121800;93750;3;365400;0.03;10962;354438;84150;270288</t>
  </si>
  <si>
    <t>5925-1</t>
  </si>
  <si>
    <t>Titi Kuswandari</t>
  </si>
  <si>
    <t>5925-1;43355;2018;Titi Kuswandari;Jalan Pasteur No. 217;Surabaya;Home Office;E1031;Low;Multi-Use Personal File Cart and Caster Set, Three Stacking Bins;Office Supplies;Small Box;Regular Air;43360;224250;521400;297150;43;22420200;0.08;1793616;20626584;9642750;10983834</t>
  </si>
  <si>
    <t>5927-1</t>
  </si>
  <si>
    <t>5927-1;43356;2018;Dian Haryanti;Jl. Ciwastra No. 543;Jakarta;Corporate;E1029;Low;Apex Box Cutter Scissors;Office Supplies;Small Pack;Regular Air;43361;62850;153450;90600;35;5370750;0.01;53707.5;5317042.5;2199750;3117292.5</t>
  </si>
  <si>
    <t>5928-1</t>
  </si>
  <si>
    <t>Harsaya Salahudin</t>
  </si>
  <si>
    <t>Gg. Dipenogoro No. 947</t>
  </si>
  <si>
    <t>5928-1;43363;2018;Harsaya Salahudin;Gg. Dipenogoro No. 947;Surabaya;Consumer;E1034;Critical;300 Series Non-Flip;Technology;Small Box;Regular Air;43365;936000;2339850;1403850;21;49136850;0.08;3930948;45205902;19656000;25549902</t>
  </si>
  <si>
    <t>5930-1</t>
  </si>
  <si>
    <t>5930-1;43363;2018;Koko Setiawan;Gang Yos Sudarso No. 13;Surabaya;Home Office;E1039;Not Specified;HFX LaserJet 3310 Copier;Technology;Large Box;Regular Air;43364;5669850;8999850;3330000;41;368993850;0.09;33209446.5;335784403.5;232463850;103320553.5</t>
  </si>
  <si>
    <t>5931-1</t>
  </si>
  <si>
    <t>Agus Winarsih</t>
  </si>
  <si>
    <t>5931-1;43365;2018;Agus Winarsih;Gg. Setiabudhi No. 32;Surabaya;Corporate;E1040;Critical;Multimedia Mailers;Office Supplies;Small Box;Regular Air;43367;1490850;2443950;953100;36;87982200;0.09;7918398;80063802;53670600;26393202</t>
  </si>
  <si>
    <t>5932-1</t>
  </si>
  <si>
    <t>5932-1;43365;2018;Hasan Megantara;Jalan Gedebage Selatan No. 048;Jakarta;Corporate;E1029;Low;Smiths Standard Envelopes;Office Supplies;Small Box;Regular Air;43369;52800;85200;32400;8;681600;0.05;34080;647520;422400;225120</t>
  </si>
  <si>
    <t>5933-1</t>
  </si>
  <si>
    <t>Emil Mayasari</t>
  </si>
  <si>
    <t>5933-1;43366;2018;Emil Mayasari;Gang Lembong No. 1;Surabaya;Consumer;E1034;Low;Apex Office Executive Series Stainless Steel Trimmers;Office Supplies;Small Pack;Regular Air;43366;52650;128550;75900;22;2828100;0.1;282810;2545290;1158300;1386990</t>
  </si>
  <si>
    <t>5935-1</t>
  </si>
  <si>
    <t>5935-1;43366;2018;Tiara Megantara;Jalan Ciwastra No. 383;Surabaya;Consumer;E1032;High;Steady Pocket Accent Highlighters;Office Supplies;Wrap Bag;Express Air;43368;13950;24000;10050;24;576000;0.04;23040;552960;334800;218160</t>
  </si>
  <si>
    <t>5937-1</t>
  </si>
  <si>
    <t>5937-1;43368;2018;Rina Simanjuntak;Gg. Suniaraja No. 21;Surabaya;Corporate;E1031;Not Specified;Aluminum Document Frame;Furniture;Small Pack;Regular Air;43371;82500;183300;100800;8;1466400;0.1;146640;1319760;660000;659760</t>
  </si>
  <si>
    <t>5938-1</t>
  </si>
  <si>
    <t>Harto Firgantoro</t>
  </si>
  <si>
    <t>5938-1;43369;2018;Harto Firgantoro;Gang H.J Maemunah No. 6;Jakarta;Home Office;E1029;High;Steady Liquid Accent Tank-Style Highlighters;Office Supplies;Wrap Bag;Regular Air;43370;19650;42600;22950;23;979800;0.06;58788;921012;451950;469062</t>
  </si>
  <si>
    <t>5939-1</t>
  </si>
  <si>
    <t>Karsana Nugroho</t>
  </si>
  <si>
    <t>5939-1;43375;2018;Karsana Nugroho;Jalan R.E Martadinata No. 6;Jakarta;Small Business;E1029;Not Specified;Alto Parchment Paper, Assorted Colors;Office Supplies;Small Box;Regular Air;43377;68850;109200;40350;16;1747200;0.07;122304;1624896;1101600;523296</t>
  </si>
  <si>
    <t>5941-1</t>
  </si>
  <si>
    <t>Hasna Prakasa</t>
  </si>
  <si>
    <t>5941-1;43376;2018;Hasna Prakasa;Jl. Gardujati No. 82;Surabaya;Corporate;E1037;Medium;Colored Envelopes;Office Supplies;Small Box;Regular Air;43378;33750;55350;21600;42;2324700;0.06;139482;2185218;1417500;767718</t>
  </si>
  <si>
    <t>5943-1</t>
  </si>
  <si>
    <t>5943-1;43380;2018;Tantri Hutapea;Jalan PHH. Mustofa No. 625;Surabaya;Home Office;E1034;Medium;12 Colored Short Pencils;Office Supplies;Wrap Bag;Regular Air;43380;16350;39000;22650;26;1014000;0.08;81120;932880;425100;507780</t>
  </si>
  <si>
    <t>5943-2</t>
  </si>
  <si>
    <t>5943-2;43380;2018;Tantri Hutapea;Jalan PHH. Mustofa No. 625;Surabaya;Home Office;E1034;Medium;TechSavi Cordless Navigator Duo;Technology;Small Box;Regular Air;43382;631650;1214700;583050;34;41299800;0.02;825996;40473804;21476100;18997704</t>
  </si>
  <si>
    <t>5944-1</t>
  </si>
  <si>
    <t>Ibun Hutapea</t>
  </si>
  <si>
    <t>5944-1;43380;2018;Ibun Hutapea;Gang Gedebage Selatan No. 92;Surabaya;Consumer;E1036;High;Smiths General Use 3-Ring Binders;Office Supplies;Small Box;Express Air;43381;17700;28200;10500;5;141000;0.08;11280;129720;88500;41220</t>
  </si>
  <si>
    <t>5947-1</t>
  </si>
  <si>
    <t>Ibrani Anggraini</t>
  </si>
  <si>
    <t>5947-1;43382;2018;Ibrani Anggraini;Jalan R.E Martadinata No. 6;Jakarta;Corporate;E1029;Medium;Artisan Hanging File Binders;Office Supplies;Small Box;Regular Air;43384;54750;89700;34950;50;4485000;0.02;89700;4395300;2737500;1657800</t>
  </si>
  <si>
    <t>5949-1</t>
  </si>
  <si>
    <t>Silvia Siregar</t>
  </si>
  <si>
    <t>5949-1;43382;2018;Silvia Siregar;Gang Sadang Serang No. 74;Jakarta;Corporate;E1029;High;Pizazz Drawing Pencil Set;Office Supplies;Wrap Bag;Regular Air;43382;22950;41700;18750;44;1834800;0.07;128436;1706364;1009800;696564</t>
  </si>
  <si>
    <t>5951-1</t>
  </si>
  <si>
    <t>5951-1;43382;2018;Titi Kuswandari;Jalan Pasteur No. 217;Surabaya;Corporate;E1031;Not Specified;Self-Adhesive Ring Binder Labels;Office Supplies;Small Box;Regular Air;43384;32700;52800;20100;1;52800;0.04;2112;50688;32700;17988</t>
  </si>
  <si>
    <t>5952-1</t>
  </si>
  <si>
    <t>5952-1;43383;2018;Akarsana Purwanti;Gang Asia Afrika No. 72;Surabaya;Small Business;E1037;Medium;Artisan Binder Labels;Office Supplies;Small Box;Express Air;43385;36750;58350;21600;32;1867200;0.1;186720;1680480;1176000;504480</t>
  </si>
  <si>
    <t>5955-1</t>
  </si>
  <si>
    <t>Nalar Zulaika</t>
  </si>
  <si>
    <t>5955-1;43383;2018;Nalar Zulaika;Jl. S. Parman No. 91;Surabaya;Corporate;E1034;Not Specified;TechSavi Internet Navigator Keyboard;Technology;Small Box;Regular Air;43384;97650;464700;367050;6;2788200;0.01;27882;2760318;585900;2174418</t>
  </si>
  <si>
    <t>5956-1</t>
  </si>
  <si>
    <t>Artawan Mahendra</t>
  </si>
  <si>
    <t>5956-1;43384;2018;Artawan Mahendra;Gang Dipatiukur No. 24;Surabaya;Home Office;E1034;Low;Artisan 474 Labels;Office Supplies;Small Box;Regular Air;43388;27600;43200;15600;49;2116800;0.01;21168;2095632;1352400;743232</t>
  </si>
  <si>
    <t>5960-1</t>
  </si>
  <si>
    <t>Jayadi Prakasa</t>
  </si>
  <si>
    <t>5960-1;43387;2018;Jayadi Prakasa;Gang Asia Afrika No. 72;Surabaya;Home Office;E1037;Critical;PastelOcean Color Pencil Set;Office Supplies;Wrap Bag;Regular Air;43389;166650;297600;130950;1;297600;0.05;14880;282720;166650;116070</t>
  </si>
  <si>
    <t>5962-1</t>
  </si>
  <si>
    <t>Vega Kurniawan</t>
  </si>
  <si>
    <t>Jalan Dipatiukur No. 56</t>
  </si>
  <si>
    <t>5962-1;43389;2018;Vega Kurniawan;Jalan Dipatiukur No. 56;Surabaya;Corporate;E1036;Not Specified;3Max Polarizing Light Filter Sleeves;Furniture;Small Pack;Regular Air;43389;170700;279750;109050;44;12309000;0.03;369270;11939730;7510800;4428930</t>
  </si>
  <si>
    <t>5964-1</t>
  </si>
  <si>
    <t>5964-1;43389;2018;Lintang Prabowo;Jl. Suryakencana No. 75;Jakarta;Corporate;E1028;High;Artisan Non-Stick Binders;Office Supplies;Small Box;Regular Air;43390;41100;67350;26250;15;1010250;0.05;50512.5;959737.5;616500;343237.5</t>
  </si>
  <si>
    <t>5965-1</t>
  </si>
  <si>
    <t>5965-1;43390;2018;Karya Haryanto;Gg. Siliwangi No. 82;Surabaya;Home Office;E1036;Critical;1726 Digital Answering Machine;Technology;Medium Box;Regular Air;43392;132300;314850;182550;49;15427650;0.06;925659;14501991;6482700;8019291</t>
  </si>
  <si>
    <t>5967-1</t>
  </si>
  <si>
    <t>5967-1;43394;2018;Nilam Latupono;Jalan Jamika No. 4;Surabaya;Home Office;E1033;Not Specified;3Max Polarizing Task Lamp with Clamp Arm, Light Gray;Furniture;Large Box;Regular Air;43395;842400;2054700;1212300;7;14382900;0.02;287658;14095242;5896800;8198442</t>
  </si>
  <si>
    <t>5968-1</t>
  </si>
  <si>
    <t>5968-1;43396;2018;Aswani Rajata;Gg. Rumah Sakit No. 617;Surabaya;Small Business;E1038;Medium;Smiths Pushpins;Office Supplies;Wrap Bag;Regular Air;43398;14100;28200;14100;22;620400;0.07;43428;576972;310200;266772</t>
  </si>
  <si>
    <t>5969-1</t>
  </si>
  <si>
    <t>Ajimin Suartini</t>
  </si>
  <si>
    <t>5969-1;43397;2018;Ajimin Suartini;Gg. Surapati No. 471;Surabaya;Home Office;E1038;Low;Brown Kraft Recycled Envelopes;Office Supplies;Small Box;Regular Air;43399;165600;254700;89100;1;254700;0.03;7641;247059;165600;81459</t>
  </si>
  <si>
    <t>5971-1</t>
  </si>
  <si>
    <t>5971-1;43399;2018;Cakrawala Yuniar;Jalan Jend. A. Yani No. 48;Surabaya;Small Business;E1036;Low;Wirebound Message Book, 4 per Page;Office Supplies;Wrap Bag;Express Air;43404;52200;81450;29250;48;3909600;0.05;195480;3714120;2505600;1208520</t>
  </si>
  <si>
    <t>5973-1</t>
  </si>
  <si>
    <t>Sari Januar</t>
  </si>
  <si>
    <t>5973-1;43400;2018;Sari Januar;Gang Soekarno Hatta No. 2;Surabaya;Consumer;E1032;Low;Lumi Crayons;Office Supplies;Wrap Bag;Regular Air;43404;78300;147750;69450;21;3102750;0.1;310275;2792475;1644300;1148175</t>
  </si>
  <si>
    <t>5974-1</t>
  </si>
  <si>
    <t>5974-1;43401;2018;Asirwanda Rahimah;Gg. M.H Thamrin No. 784;Jakarta;Corporate;E1029;Low;Colored Push Pins;Office Supplies;Wrap Bag;Regular Air;43405;13800;27150;13350;48;1303200;0.02;26064;1277136;662400;614736</t>
  </si>
  <si>
    <t>5976-1</t>
  </si>
  <si>
    <t>Lala Wacana</t>
  </si>
  <si>
    <t>5976-1;43402;2018;Lala Wacana;Jl. Rumah Sakit No. 65;Surabaya;Small Business;E1034;High;Message Book, One Form per Page;Office Supplies;Wrap Bag;Regular Air;43402;36150;55650;19500;13;723450;0.06;43407;680043;469950;210093</t>
  </si>
  <si>
    <t>5977-1</t>
  </si>
  <si>
    <t>5977-1;43403;2018;Olga Marpaung;Gg. Surapati No. 50;Surabaya;Corporate;E1033;High;Apex Preferred Stainless Steel Scissors;Office Supplies;Small Pack;Regular Air;43405;37500;85200;47700;21;1789200;0.07;125244;1663956;787500;876456</t>
  </si>
  <si>
    <t>5978-1</t>
  </si>
  <si>
    <t>5978-1;43403;2018;Pangestu Maulana;Gg. Joyoboyo No. 026;Jakarta;Corporate;E1028;High;Artisan Poly Binder Pockets;Office Supplies;Small Box;Regular Air;43405;33900;53700;19800;43;2309100;0.08;184728;2124372;1457700;666672</t>
  </si>
  <si>
    <t>5980-1</t>
  </si>
  <si>
    <t>5980-1;43404;2018;Cindy Maryati;Gg. Jakarta No. 646;Jakarta;Small Business;E1029;Medium;Binder Posts;Office Supplies;Small Box;Regular Air;43405;52500;86100;33600;41;3530100;0.08;282408;3247692;2152500;1095192</t>
  </si>
  <si>
    <t>5982-1</t>
  </si>
  <si>
    <t>5982-1;43405;2018;Intan Oktaviani;Gang Otto Iskandardinata No. 167;Surabaya;Consumer;E1037;Critical;Apex Forged Steel Scissors with Black Enamel Handles;Office Supplies;Small Pack;Regular Air;43408;61500;139650;78150;26;3630900;0.06;217854;3413046;1599000;1814046</t>
  </si>
  <si>
    <t>5983-1</t>
  </si>
  <si>
    <t>Jatmiko Megantara</t>
  </si>
  <si>
    <t>5983-1;43408;2018;Jatmiko Megantara;Jl. W.R. Supratman No. 473;Surabaya;Home Office;E1036;Low;Adesso Programmable 142-Key Keyboard;Technology;Small Box;Regular Air;43415;480300;2287200;1806900;14;32020800;0.03;960624;31060176;6724200;24335976</t>
  </si>
  <si>
    <t>5984-1</t>
  </si>
  <si>
    <t>Oni Prastuti</t>
  </si>
  <si>
    <t>5984-1;43408;2018;Oni Prastuti;Jalan Jend. A. Yani No. 48;Surabaya;Corporate;E1036;Not Specified;Alto Memo Cubes;Office Supplies;Wrap Bag;Express Air;43409;49800;77700;27900;1;77700;0;0;77700;49800;27900</t>
  </si>
  <si>
    <t>5985-1</t>
  </si>
  <si>
    <t>5985-1;43408;2018;Harja Pratiwi;Gg. Jakarta No. 646;Jakarta;Consumer;E1029;Critical;Smiths General Use 3-Ring Binders;Office Supplies;Small Box;Regular Air;43409;17700;28200;10500;8;225600;0.05;11280;214320;141600;72720</t>
  </si>
  <si>
    <t>5987-1</t>
  </si>
  <si>
    <t>Laila Usamah</t>
  </si>
  <si>
    <t>5987-1;43409;2018;Laila Usamah;Gg. Otto Iskandardinata No. 6;Jakarta;Home Office;E1029;High;Artisan Reinforcements for Hole-Punch Pages;Office Supplies;Small Box;Regular Air;43411;17850;29700;11850;21;623700;0.01;6237;617463;374850;242613</t>
  </si>
  <si>
    <t>5988-1</t>
  </si>
  <si>
    <t>5988-1;43409;2018;Gatot Siregar;Gg. Kapten Muslihat No. 5;Surabaya;Corporate;E1034;High;Pizazz Colored Pencils;Office Supplies;Wrap Bag;Regular Air;43411;26400;44100;17700;35;1543500;0.09;138915;1404585;924000;480585</t>
  </si>
  <si>
    <t>5990-1</t>
  </si>
  <si>
    <t>Carub Hardiansyah</t>
  </si>
  <si>
    <t>5990-1;43410;2018;Carub Hardiansyah;Gang H.J Maemunah No. 6;Jakarta;Home Office;E1028;High;Adams "While You Were Out" Message Pads;Office Supplies;Wrap Bag;Express Air;43411;28200;47100;18900;43;2025300;0.07;141771;1883529;1212600;670929</t>
  </si>
  <si>
    <t>5990-2</t>
  </si>
  <si>
    <t>5990-2;43410;2018;Carub Hardiansyah;Gang H.J Maemunah No. 6;Jakarta;Home Office;E1028;High;Barrel Sharpener;Office Supplies;Small Pack;Regular Air;43412;21900;53550;31650;19;1017450;0.08;81396;936054;416100;519954</t>
  </si>
  <si>
    <t>5993-1</t>
  </si>
  <si>
    <t>5993-1;43410;2018;Dacin Setiawan;Jl. K.H. Wahid Hasyim No. 4;Jakarta;Home Office;E1028;Critical;Self-Adhesive Removable Labels;Office Supplies;Small Box;Regular Air;43413;29700;47250;17550;17;803250;0.05;40162.5;763087.5;504900;258187.5</t>
  </si>
  <si>
    <t>5994-1</t>
  </si>
  <si>
    <t>5994-1;43411;2018;Koko Setiawan;Gang Yos Sudarso No. 13;Surabaya;Consumer;E1039;Medium;Alto Parchment Paper, Assorted Colors;Office Supplies;Small Box;Express Air;43412;68850;109200;40350;20;2184000;0.1;218400;1965600;1377000;588600</t>
  </si>
  <si>
    <t>5996-1</t>
  </si>
  <si>
    <t>5996-1;43411;2018;Anom Hasanah;Jalan Gardujati No. 6;Surabaya;Corporate;E1034;High;Angle-D Binders with Locking Rings, Label Holders;Office Supplies;Small Box;Regular Air;43411;67950;109500;41550;12;1314000;0.03;39420;1274580;815400;459180</t>
  </si>
  <si>
    <t>5997-1</t>
  </si>
  <si>
    <t>5997-1;43412;2018;Jati Laksmiwati;Gg. Monginsidi No. 3;Jakarta;Small Business;E1029;Low;Binder Clips by OIC;Office Supplies;Wrap Bag;Express Air;43416;13950;22200;8250;37;821400;0.04;32856;788544;516150;272394</t>
  </si>
  <si>
    <t>5997-2</t>
  </si>
  <si>
    <t>5997-2;43412;2018;Jati Laksmiwati;Gg. Monginsidi No. 3;Jakarta;Small Business;E1029;Low;PastelOcean Color Pencil Set;Office Supplies;Wrap Bag;Regular Air;43417;166650;297600;130950;28;8332800;0.08;666624;7666176;4666200;2999976</t>
  </si>
  <si>
    <t>6000-1</t>
  </si>
  <si>
    <t>Lanjar Hakim</t>
  </si>
  <si>
    <t>6000-1;43414;2018;Lanjar Hakim;Jalan R.E Martadinata No. 6;Jakarta;Corporate;E1029;High;Pizazz Drawing Pencil Set;Office Supplies;Wrap Bag;Regular Air;43416;22950;41700;18750;38;1584600;0.1;158460;1426140;872100;554040</t>
  </si>
  <si>
    <t>6001-1</t>
  </si>
  <si>
    <t>Kawaya Hastuti</t>
  </si>
  <si>
    <t>Jalan Pasirkoja No. 750</t>
  </si>
  <si>
    <t>6001-1;43414;2018;Kawaya Hastuti;Jalan Pasirkoja No. 750;Surabaya;Home Office;E1039;Not Specified;TypeRight Side-Opening Peel &amp; Seel Expanding Envelopes;Office Supplies;Small Box;Regular Air;43415;814350;1357200;542850;15;20358000;0.01;203580;20154420;12215250;7939170</t>
  </si>
  <si>
    <t>6002-1</t>
  </si>
  <si>
    <t>Arta Lestari</t>
  </si>
  <si>
    <t>6002-1;43415;2018;Arta Lestari;Jl. S. Parman No. 91;Surabaya;Home Office;E1034;High;Artisan 487 Labels;Office Supplies;Small Box;Express Air;43416;34350;55350;21000;48;2656800;0.1;265680;2391120;1648800;742320</t>
  </si>
  <si>
    <t>6003-1</t>
  </si>
  <si>
    <t>6003-1;43415;2018;Karsana Halim;Jalan Jayawijaya No. 5;Surabaya;Home Office;E1033;Medium;TechSavi Cordless Access Keyboard;Technology;Small Box;Express Air;43416;220500;449850;229350;27;12145950;0.05;607297.5;11538652.5;5953500;5585152.5</t>
  </si>
  <si>
    <t>6005-1</t>
  </si>
  <si>
    <t>6005-1;43417;2018;Hari Situmorang;Jalan Gardujati No. 513;Surabaya;Home Office;E1036;Critical;TechSavi Cordless Navigator Duo;Technology;Small Box;Regular Air;43419;631650;1214700;583050;22;26723400;0.1;2672340;24051060;13896300;10154760</t>
  </si>
  <si>
    <t>6006-1</t>
  </si>
  <si>
    <t>Bagus Setiawan</t>
  </si>
  <si>
    <t>Jl. Monginsidi No. 1</t>
  </si>
  <si>
    <t>6006-1;43418;2018;Bagus Setiawan;Jl. Monginsidi No. 1;Surabaya;Home Office;E1031;Not Specified;Cando PC940 Copier;Technology;Large Box;Regular Air;43420;3240000;6749850;3509850;29;195745650;0;0;195745650;93960000;101785650</t>
  </si>
  <si>
    <t>6007-1</t>
  </si>
  <si>
    <t>Kambali Wahyuni</t>
  </si>
  <si>
    <t>6007-1;43418;2018;Kambali Wahyuni;Jl. K.H. Wahid Hasyim No. 4;Jakarta;Consumer;E1029;Not Specified;Xit Blank Computer Paper;Office Supplies;Small Box;Regular Air;43420;185850;299700;113850;44;13186800;0.07;923076;12263724;8177400;4086324</t>
  </si>
  <si>
    <t>6009-1</t>
  </si>
  <si>
    <t>6009-1;43419;2018;Opung Saptono;Jl. Medokan Ayu No. 7;Surabaya;Corporate;E1038;Low;Economy Binders;Office Supplies;Small Box;Regular Air;43424;19950;31200;11250;20;624000;0.1;62400;561600;399000;162600</t>
  </si>
  <si>
    <t>6011-1</t>
  </si>
  <si>
    <t>6011-1;43423;2018;Kezia Astuti;Jl. Rumah Sakit No. 65;Surabaya;Corporate;E1030;Critical;Unpadded Memo Slips;Office Supplies;Wrap Bag;Regular Air;43424;38850;59700;20850;16;955200;0.09;85968;869232;621600;247632</t>
  </si>
  <si>
    <t>6012-1</t>
  </si>
  <si>
    <t>6012-1;43424;2018;Tantri Handayani;Jalan Astana Anyar No. 41;Jakarta;Corporate;E1028;High;Artisan Printable Repositionable Plastic Tabs;Office Supplies;Small Box;Express Air;43425;79950;129000;49050;15;1935000;0.04;77400;1857600;1199250;658350</t>
  </si>
  <si>
    <t>6014-1</t>
  </si>
  <si>
    <t>Ida Waluyo</t>
  </si>
  <si>
    <t>6014-1;43426;2018;Ida Waluyo;Gang Ciwastra No. 43;Surabaya;Small Business;E1040;Not Specified;Alto 3-Hole Punch;Office Supplies;Small Box;Regular Air;43427;41400;65700;24300;24;1576800;0.02;31536;1545264;993600;551664</t>
  </si>
  <si>
    <t>6014-2</t>
  </si>
  <si>
    <t>6014-2;43426;2018;Ida Waluyo;Gang Ciwastra No. 43;Surabaya;Small Business;E1040;Not Specified;Apex Forged Steel Scissors with Black Enamel Handles;Office Supplies;Small Pack;Regular Air;43429;61500;139650;78150;30;4189500;0.03;125685;4063815;1845000;2218815</t>
  </si>
  <si>
    <t>6017-1</t>
  </si>
  <si>
    <t>6017-1;43427;2018;Gabriella Napitupulu;Jl. HOS. Cokroaminoto No. 1;Surabaya;Consumer;E1039;High;HFX LaserJet 3310 Copier;Technology;Large Box;Regular Air;43428;5669850;8999850;3330000;46;413993100;0.07;28979517;385013583;260813100;124200483</t>
  </si>
  <si>
    <t>6019-1</t>
  </si>
  <si>
    <t>6019-1;43427;2018;Prayitna Pangestu;Gang Ciwastra No. 43;Surabaya;Small Business;E1040;High;Pizazz Colored Pencils;Office Supplies;Wrap Bag;Regular Air;43430;26400;44100;17700;39;1719900;0.04;68796;1651104;1029600;621504</t>
  </si>
  <si>
    <t>6021-1</t>
  </si>
  <si>
    <t>Zaenab Aryani</t>
  </si>
  <si>
    <t>6021-1;43427;2018;Zaenab Aryani;Gg. Suniaraja No. 21;Surabaya;Consumer;E1031;High;TechSavi Access Keyboard;Technology;Small Box;Express Air;43428;151050;239700;88650;7;1677900;0.04;67116;1610784;1057350;553434</t>
  </si>
  <si>
    <t>6023-1</t>
  </si>
  <si>
    <t>6023-1;43428;2018;Cahyono Hidayanto;Jl. Gardujati No. 82;Surabaya;Corporate;E1037;Not Specified;TechSavi Internet Navigator Keyboard;Technology;Small Box;Regular Air;43431;97650;464700;367050;8;3717600;0.06;223056;3494544;781200;2713344</t>
  </si>
  <si>
    <t>6025-1</t>
  </si>
  <si>
    <t>Jais Wahyudin</t>
  </si>
  <si>
    <t>6025-1;43430;2018;Jais Wahyudin;Gg. Otto Iskandardinata No. 6;Jakarta;Corporate;E1029;Medium;Steady Major Accent Highlighters;Office Supplies;Wrap Bag;Regular Air;43432;56250;106200;49950;48;5097600;0.03;152928;4944672;2700000;2244672</t>
  </si>
  <si>
    <t>6027-1</t>
  </si>
  <si>
    <t>6027-1;43431;2018;Chandra Firmansyah;Jalan Kutai No. 503;Surabaya;Consumer;E1039;High;Binder Posts;Office Supplies;Small Box;Express Air;43433;52500;86100;33600;32;2755200;0.08;220416;2534784;1680000;854784</t>
  </si>
  <si>
    <t>6029-1</t>
  </si>
  <si>
    <t>6029-1;43437;2018;Bagus Setiawan;Jl. Monginsidi No. 1;Surabaya;Home Office;E1031;Not Specified;Self-Adhesive Ring Binder Labels;Office Supplies;Small Box;Regular Air;43439;32700;52800;20100;38;2006400;0.09;180576;1825824;1242600;583224</t>
  </si>
  <si>
    <t>6030-1</t>
  </si>
  <si>
    <t>6030-1;43438;2018;Ajimin Suartini;Gg. Surapati No. 471;Surabaya;Home Office;E1038;Low;TechSavi Access Keyboard;Technology;Small Box;Regular Air;43443;151050;239700;88650;6;1438200;0.1;143820;1294380;906300;388080</t>
  </si>
  <si>
    <t>6032-1</t>
  </si>
  <si>
    <t>Azalea Anggriawan</t>
  </si>
  <si>
    <t>6032-1;43439;2018;Azalea Anggriawan;Gang Raya Setiabudhi No. 870;Jakarta;Small Business;E1028;Low;Alto Six-Outlet Power Strip, 4 Cord Length;Office Supplies;Small Box;Express Air;43446;52950;129300;76350;8;1034400;0;0;1034400;423600;610800</t>
  </si>
  <si>
    <t>6034-1</t>
  </si>
  <si>
    <t>6034-1;43440;2018;Prasetya Wahyuni;Jl. Ciwastra No. 543;Jakarta;Small Business;E1029;High;24 Capacity Maxi Data Binder Racks, Pearl;Office Supplies;Small Box;Express Air;43441;1263300;3158250;1894950;2;6316500;0.05;315825;6000675;2526600;3474075</t>
  </si>
  <si>
    <t>6036-1</t>
  </si>
  <si>
    <t>Opung Padmasari</t>
  </si>
  <si>
    <t>6036-1;43440;2018;Opung Padmasari;Gang Pacuan Kuda No. 04;Surabaya;Corporate;E1037;Low;Creator Anti Dust Chalk, 12/Pack;Office Supplies;Wrap Bag;Regular Air;43444;16350;27300;10950;42;1146600;0.08;91728;1054872;686700;368172</t>
  </si>
  <si>
    <t>6037-1</t>
  </si>
  <si>
    <t>6037-1;43440;2018;Ilsa Hassanah;Gg. Cihampelas No. 423;Surabaya;Small Business;E1030;Critical;Steady 52201 APSCO Electric Pencil Sharpener;Office Supplies;Small Pack;Regular Air;43442;252000;614550;362550;28;17207400;0.04;688296;16519104;7056000;9463104</t>
  </si>
  <si>
    <t>6038-1</t>
  </si>
  <si>
    <t>6038-1;43442;2018;Bakidin Anggraini;Jl. Rumah Sakit No. 738;Jakarta;Corporate;E1028;Medium;Airmail Envelopes;Office Supplies;Small Box;Regular Air;43444;780600;1258950;478350;3;3776850;0;0;3776850;2341800;1435050</t>
  </si>
  <si>
    <t>6039-1</t>
  </si>
  <si>
    <t>6039-1;43442;2018;Ami Utami;Jl. S. Parman No. 91;Surabaya;Corporate;E1034;Not Specified;Artisan 487 Labels;Office Supplies;Small Box;Regular Air;43443;34350;55350;21000;39;2158650;0.03;64759.5;2093890.5;1339650;754240.5</t>
  </si>
  <si>
    <t>6042-1</t>
  </si>
  <si>
    <t>6042-1;43444;2018;Kairav Winarno;Gg. Suniaraja No. 21;Surabaya;Small Business;E1031;Critical;Artisan 481 Labels;Office Supplies;Small Box;Regular Air;43446;29100;46200;17100;6;277200;0.02;5544;271656;174600;97056</t>
  </si>
  <si>
    <t>6044-1</t>
  </si>
  <si>
    <t>Opan Permata</t>
  </si>
  <si>
    <t>Jalan Kapten Muslihat No. 4</t>
  </si>
  <si>
    <t>6044-1;43446;2018;Opan Permata;Jalan Kapten Muslihat No. 4;Surabaya;Corporate;E1030;Medium;600 Series Flip;Technology;Small Box;Regular Air;43448;619200;1439850;820650;26;37436100;0.02;748722;36687378;16099200;20588178</t>
  </si>
  <si>
    <t>6046-1</t>
  </si>
  <si>
    <t>Ophelia Natsir</t>
  </si>
  <si>
    <t>Jalan Sukajadi No. 09</t>
  </si>
  <si>
    <t>6046-1;43447;2018;Ophelia Natsir;Jalan Sukajadi No. 09;Bandung;Consumer;E1039;Low;3Max Organizer Strips;Office Supplies;Small Box;Regular Air;43447;51000;81000;30000;14;1134000;0.02;22680;1111320;714000;397320</t>
  </si>
  <si>
    <t>6048-1</t>
  </si>
  <si>
    <t>Rusman Adriansyah</t>
  </si>
  <si>
    <t>6048-1;43447;2018;Rusman Adriansyah;Jalan Astana Anyar No. 41;Jakarta;Home Office;E1028;Critical;Beekin 6 Outlet Metallic Surge Strip;Office Supplies;Small Box;Regular Air;43448;66900;163350;96450;50;8167500;0.09;735075;7432425;3345000;4087425</t>
  </si>
  <si>
    <t>6050-1</t>
  </si>
  <si>
    <t>6050-1;43449;2018;Cawuk Pradipta;Gang Jakarta No. 938;Surabaya;Home Office;E1036;Medium;TechSavi Cordless Elite Duo;Technology;Small Box;Regular Air;43452;908850;1514700;605850;9;13632300;0.1;1363230;12269070;8179650;4089420</t>
  </si>
  <si>
    <t>6052-1</t>
  </si>
  <si>
    <t>6052-1;43449;2018;Anom Januar;Gg. Cihampelas No. 423;Surabaya;Corporate;E1030;Medium;UGen Ultra Professional Cordless Optical Suite;Technology;Small Box;Regular Air;43451;2347500;4514550;2167050;20;90291000;0.05;4514550;85776450;46950000;38826450</t>
  </si>
  <si>
    <t>6054-1</t>
  </si>
  <si>
    <t>6054-1;43450;2018;Yance Anggraini;Jl. Erlangga No. 7;Surabaya;Corporate;E1033;Low;Beekin 6 Outlet Metallic Surge Strip;Office Supplies;Small Box;Regular Air;43454;66900;163350;96450;3;490050;0.08;39204;450846;200700;250146</t>
  </si>
  <si>
    <t>6056-1</t>
  </si>
  <si>
    <t>Nardi Simanjuntak</t>
  </si>
  <si>
    <t>6056-1;43451;2018;Nardi Simanjuntak;Jalan R.E Martadinata No. 6;Jakarta;Consumer;E1029;Medium;Cando S750 Color Inkjet Printer;Technology;Jumbo Drum;Delivery Truck;43453;1125000;1814550;689550;46;83469300;0.07;5842851;77626449;51750000;25876449</t>
  </si>
  <si>
    <t>6057-1</t>
  </si>
  <si>
    <t>6057-1;43453;2018;Respati Puspita;Gang Pelajar Pejuang No. 95;Bandung;Corporate;E1033;Critical;TechSavi Cordless Elite Duo;Technology;Small Box;Regular Air;43454;908850;1514700;605850;44;66646800;0.09;5998212;60648588;39989400;20659188</t>
  </si>
  <si>
    <t>6058-1</t>
  </si>
  <si>
    <t>Emas Megantara</t>
  </si>
  <si>
    <t>6058-1;43454;2018;Emas Megantara;Jalan Sukabumi No. 509;Surabaya;Small Business;E1030;High;Smiths SlimLine Pencil Sharpener;Office Supplies;Small Pack;Regular Air;43456;71850;179550;107700;48;8618400;0.02;172368;8446032;3448800;4997232</t>
  </si>
  <si>
    <t>6059-1</t>
  </si>
  <si>
    <t>6059-1;43455;2018;Kamila Sinaga;Gang H.J Maemunah No. 6;Surabaya;Corporate;E1039;High;Alto Memo Cubes;Office Supplies;Wrap Bag;Regular Air;43457;49800;77700;27900;20;1554000;0.06;93240;1460760;996000;464760</t>
  </si>
  <si>
    <t>6061-1</t>
  </si>
  <si>
    <t>6061-1;43455;2018;Cindy Maryati;Gg. Jakarta No. 646;Jakarta;Small Business;E1029;High;Bagged Rubber Bands;Office Supplies;Wrap Bag;Regular Air;43457;3600;18900;15300;31;585900;0.06;35154;550746;111600;439146</t>
  </si>
  <si>
    <t>6063-1</t>
  </si>
  <si>
    <t>6063-1;43457;2018;Cawisadi Wijaya;Gang Ahmad Yani No. 6;Surabaya;Corporate;E1038;Critical;Colored Envelopes;Office Supplies;Small Box;Express Air;43458;33750;55350;21600;23;1273050;0.02;25461;1247589;776250;471339</t>
  </si>
  <si>
    <t>6065-1</t>
  </si>
  <si>
    <t>Kamidin Yolanda</t>
  </si>
  <si>
    <t>6065-1;43458;2018;Kamidin Yolanda;Jalan Pasteur No. 217;Surabaya;Consumer;E1031;Not Specified;Pizazz Colored Pencils;Office Supplies;Wrap Bag;Express Air;43458;26400;44100;17700;47;2072700;0.04;82908;1989792;1240800;748992</t>
  </si>
  <si>
    <t>6066-1</t>
  </si>
  <si>
    <t>6066-1;43459;2018;Ayu Ardianto;Gg. Siliwangi No. 26;Jakarta;Small Business;E1029;Not Specified;Assorted Color Push Pins;Office Supplies;Wrap Bag;Regular Air;43460;13050;27150;14100;6;162900;0.07;11403;151497;78300;73197</t>
  </si>
  <si>
    <t>6067-1</t>
  </si>
  <si>
    <t>Mahmud Tampubolon</t>
  </si>
  <si>
    <t>6067-1;43462;2018;Mahmud Tampubolon;Jl. S. Parman No. 38;Surabaya;Corporate;E1033;Critical;Binder Clips by OIC;Office Supplies;Wrap Bag;Regular Air;43464;13950;22200;8250;1;22200;0.01;222;21978;13950;8028</t>
  </si>
  <si>
    <t>6068-1</t>
  </si>
  <si>
    <t>6068-1;43463;2018;Praba Widodo;Gang Jakarta No. 938;Surabaya;Corporate;E1036;Low;Apex Office Executive Series Stainless Steel Trimmers;Office Supplies;Small Pack;Express Air;43468;52650;128550;75900;49;6298950;0.01;62989.5;6235960.5;2579850;3656110.5</t>
  </si>
  <si>
    <t>6070-1</t>
  </si>
  <si>
    <t>6070-1;43464;2018;Emas Megantara;Jalan Sukabumi No. 509;Surabaya;Small Business;E1030;Not Specified;Smiths Gold Paper Clips;Office Supplies;Wrap Bag;Regular Air;43464;27300;44700;17400;3;134100;0.04;5364;128736;81900;46836</t>
  </si>
  <si>
    <t>6071-1</t>
  </si>
  <si>
    <t>6071-1;43472;2019;Ellis Wahyudin;Gg. Monginsidi No. 3;Jakarta;Home Office;E1029;Not Specified;Artisan Legal 4-Ring Binder;Office Supplies;Small Box;Regular Air;43473;204600;314700;110100;10;3147000;0.06;188820;2958180;2046000;912180</t>
  </si>
  <si>
    <t>6072-1</t>
  </si>
  <si>
    <t>Wirda Novitasari</t>
  </si>
  <si>
    <t>6072-1;43472;2019;Wirda Novitasari;Gang Monginsidi No. 138;Jakarta;Corporate;E1029;Critical;Self-Adhesive Ring Binder Labels;Office Supplies;Small Box;Regular Air;43474;32700;52800;20100;13;686400;0.08;54912;631488;425100;206388</t>
  </si>
  <si>
    <t>6074-1</t>
  </si>
  <si>
    <t>6074-1;43473;2019;Luhung Sudiati;Gang Asia Afrika No. 96;Surabaya;Corporate;E1036;High;3Max Organizer Strips;Office Supplies;Small Box;Regular Air;43475;51000;81000;30000;10;810000;0.04;32400;777600;510000;267600</t>
  </si>
  <si>
    <t>6076-1</t>
  </si>
  <si>
    <t>Daruna Irawan</t>
  </si>
  <si>
    <t>6076-1;43474;2019;Daruna Irawan;Gang Gedebage Selatan No. 1;Surabaya;Small Business;E1036;Not Specified;Xit Blank Computer Paper;Office Supplies;Small Box;Regular Air;43476;185850;299700;113850;20;5994000;0.05;299700;5694300;3717000;1977300</t>
  </si>
  <si>
    <t>6077-1</t>
  </si>
  <si>
    <t>6077-1;43474;2019;Ilyas Najmudin;Gg. Otto Iskandardinata No. 6;Jakarta;Corporate;E1028;Low;Xit Blank Computer Paper;Office Supplies;Small Box;Regular Air;43474;185850;299700;113850;34;10189800;0.06;611388;9578412;6318900;3259512</t>
  </si>
  <si>
    <t>6079-1</t>
  </si>
  <si>
    <t>Karen Kuswandari</t>
  </si>
  <si>
    <t>6079-1;43475;2019;Karen Kuswandari;Jalan Jend. A. Yani No. 48;Surabaya;Home Office;E1036;Not Specified;Steady Major Accent Highlighters;Office Supplies;Wrap Bag;Regular Air;43477;56250;106200;49950;37;3929400;0.08;314352;3615048;2081250;1533798</t>
  </si>
  <si>
    <t>6081-1</t>
  </si>
  <si>
    <t>6081-1;43476;2019;Jati Laksmiwati;Gg. Monginsidi No. 3;Jakarta;Small Business;E1029;Medium;Binder Posts;Office Supplies;Small Box;Express Air;43477;52500;86100;33600;26;2238600;0.03;67158;2171442;1365000;806442</t>
  </si>
  <si>
    <t>6083-1</t>
  </si>
  <si>
    <t>Dimas Marbun</t>
  </si>
  <si>
    <t>6083-1;43478;2019;Dimas Marbun;Gg. Suniaraja No. 21;Surabaya;Corporate;E1031;Low;Artisan Hi-Liter Comfort Grip Fluorescent Highlighter, Yellow Ink;Office Supplies;Wrap Bag;Regular Air;43487;15750;29250;13500;4;117000;0.09;10530;106470;63000;43470</t>
  </si>
  <si>
    <t>6085-1</t>
  </si>
  <si>
    <t>Rahman Prastuti</t>
  </si>
  <si>
    <t>6085-1;43486;2019;Rahman Prastuti;Gang Jakarta No. 938;Surabaya;Consumer;E1036;High;Emerson Stylus 1520 Color Inkjet Printer;Technology;Jumbo Drum;Delivery Truck;43488;4734150;7514550;2780400;25;187863750;0.02;3757275;184106475;118353750;65752725</t>
  </si>
  <si>
    <t>6086-1</t>
  </si>
  <si>
    <t>Endah Budiyanto</t>
  </si>
  <si>
    <t>Gg. Jayawijaya No. 34</t>
  </si>
  <si>
    <t>6086-1;43489;2019;Endah Budiyanto;Gg. Jayawijaya No. 34;Surabaya;Corporate;E1039;High;Smiths General Use 3-Ring Binders;Office Supplies;Small Box;Regular Air;43491;17700;28200;10500;29;817800;0.1;81780;736020;513300;222720</t>
  </si>
  <si>
    <t>6088-1</t>
  </si>
  <si>
    <t>6088-1;43490;2019;Rahmi Prakasa;Jalan Sadang Serang No. 54;Surabaya;Small Business;E1041;Low;Cando PC940 Copier;Technology;Jumbo Drum;Delivery Truck;43492;4184850;6749850;2565000;47;317242950;0.02;6344859;310898091;196687950;114210141</t>
  </si>
  <si>
    <t>6090-1</t>
  </si>
  <si>
    <t>Icha Mandala</t>
  </si>
  <si>
    <t>6090-1;43492;2019;Icha Mandala;Jl. Rumah Sakit No. 65;Jakarta;Small Business;E1029;Critical;3Max Organizer Strips;Office Supplies;Small Box;Regular Air;43493;51000;81000;30000;8;648000;0;0;648000;408000;240000</t>
  </si>
  <si>
    <t>6094-1</t>
  </si>
  <si>
    <t>Ina Nasyidah</t>
  </si>
  <si>
    <t>6094-1;43497;2019;Ina Nasyidah;Jalan Pasteur No. 217;Surabaya;Home Office;E1031;Low;Artisan Reinforcements for Hole-Punch Pages;Office Supplies;Small Box;Regular Air;43501;17850;29700;11850;4;118800;0.08;9504;109296;71400;37896</t>
  </si>
  <si>
    <t>6095-1</t>
  </si>
  <si>
    <t>6095-1;43498;2019;Candrakanta Aryani;Gg. Pacuan Kuda No. 49;Surabaya;Home Office;E1037;Medium;OIC Bulk Pack Metal Binder Clips;Office Supplies;Wrap Bag;Express Air;43500;31950;52350;20400;3;157050;0.01;1570.5;155479.5;95850;59629.5</t>
  </si>
  <si>
    <t>6096-1</t>
  </si>
  <si>
    <t>Keisha Hutasoit</t>
  </si>
  <si>
    <t>6096-1;43498;2019;Keisha Hutasoit;Gang Jend. A. Yani No. 7;Surabaya;Corporate;E1030;High;Smiths General Use 3-Ring Binders;Office Supplies;Small Box;Regular Air;43500;17700;28200;10500;6;169200;0.07;11844;157356;106200;51156</t>
  </si>
  <si>
    <t>6098-1</t>
  </si>
  <si>
    <t>6098-1;43501;2019;Carub Hardiansyah;Gang H.J Maemunah No. 6;Jakarta;Consumer;E1028;Critical;Angle-D Binders with Locking Rings, Label Holders;Office Supplies;Small Box;Regular Air;43503;67950;109500;41550;34;3723000;0.03;111690;3611310;2310300;1301010</t>
  </si>
  <si>
    <t>6099-1</t>
  </si>
  <si>
    <t>Laras Hartati</t>
  </si>
  <si>
    <t>6099-1;43501;2019;Laras Hartati;Jalan Jayawijaya No. 5;Surabaya;Small Business;E1033;High;Colored Envelopes;Office Supplies;Small Box;Regular Air;43503;33750;55350;21600;47;2601450;0;0;2601450;1586250;1015200</t>
  </si>
  <si>
    <t>6100-1</t>
  </si>
  <si>
    <t>6100-1;43505;2019;Narji Wastuti;Gg. Joyoboyo No. 026;Jakarta;Corporate;E1028;Not Specified;HFX 6S Scientific Calculator;Technology;Medium Box;Regular Air;43507;118800;194850;76050;46;8963100;0.01;89631;8873469;5464800;3408669</t>
  </si>
  <si>
    <t>6102-1</t>
  </si>
  <si>
    <t>Dadi Laksita</t>
  </si>
  <si>
    <t>6102-1;43508;2019;Dadi Laksita;Jl. HOS. Cokroaminoto No. 1;Surabaya;Home Office;E1039;High;Deluxe Rollaway Locking File with Drawer;Office Supplies;Small Box;Regular Air;43508;2682450;6238200;3555750;21;131002200;0.09;11790198;119212002;56331450;62880552</t>
  </si>
  <si>
    <t>6103-1</t>
  </si>
  <si>
    <t>Jindra Safitri</t>
  </si>
  <si>
    <t>6103-1;43508;2019;Jindra Safitri;Jl. Kutisari Selatan No. 078;Surabaya;Corporate;E1038;High;UGen Ultra Professional Cordless Optical Suite;Technology;Small Box;Regular Air;43509;2347500;4514550;2167050;23;103834650;0.06;6230079;97604571;53992500;43612071</t>
  </si>
  <si>
    <t>6104-1</t>
  </si>
  <si>
    <t>6104-1;43509;2019;Endah Budiyanto;Gg. Jayawijaya No. 34;Surabaya;Small Business;E1039;Low;DrawIt Pizazz Watercolor Pencils, 10-Color Set with Brush;Office Supplies;Wrap Bag;Regular Air;43511;35850;63900;28050;47;3003300;0.07;210231;2793069;1684950;1108119</t>
  </si>
  <si>
    <t>6104-2</t>
  </si>
  <si>
    <t>6104-2;43509;2019;Endah Budiyanto;Gg. Jayawijaya No. 34;Surabaya;Small Business;E1039;Low;Steady Colorific Colored Pencils, 12/Box;Office Supplies;Wrap Bag;Regular Air;43514;19500;43200;23700;17;734400;0.09;66096;668304;331500;336804</t>
  </si>
  <si>
    <t>6108-1</t>
  </si>
  <si>
    <t>Ayu Wastuti</t>
  </si>
  <si>
    <t>6108-1;43514;2019;Ayu Wastuti;Gg. M.H Thamrin No. 784;Jakarta;Corporate;E1029;High;TechSavi Cordless Access Keyboard;Technology;Small Box;Express Air;43514;220500;449850;229350;20;8997000;0.04;359880;8637120;4410000;4227120</t>
  </si>
  <si>
    <t>6109-1</t>
  </si>
  <si>
    <t>6109-1;43514;2019;Jumadi Suartini;Gang Yos Sudarso No. 13;Surabaya;Small Business;E1039;Low;TypeRight Side-Opening Peel &amp; Seel Expanding Envelopes;Office Supplies;Small Box;Regular Air;43521;814350;1357200;542850;49;66502800;0.05;3325140;63177660;39903150;23274510</t>
  </si>
  <si>
    <t>6110-1</t>
  </si>
  <si>
    <t>6110-1;43515;2019;Amelia Kuswoyo;Gg. Jakarta No. 646;Jakarta;Corporate;E1029;Critical;Steady Liquid Accent Highlighters;Office Supplies;Wrap Bag;Regular Air;43516;52050;100200;48150;12;1202400;0.06;72144;1130256;624600;505656</t>
  </si>
  <si>
    <t>6112-1</t>
  </si>
  <si>
    <t>6112-1;43518;2019;Pangeran Rahimah;Gang Cikapayang No. 055;Surabaya;Corporate;E1040;Low;Binder Clips by OIC;Office Supplies;Wrap Bag;Regular Air;43522;13950;22200;8250;19;421800;0;0;421800;265050;156750</t>
  </si>
  <si>
    <t>6113-1</t>
  </si>
  <si>
    <t>6113-1;43518;2019;Satya Nurdiyanti;Jalan S. Parman No. 88;Bandung;Corporate;E1036;Medium;Smiths File Caddy;Office Supplies;Small Box;Regular Air;43518;60450;140700;80250;24;3376800;0.05;168840;3207960;1450800;1757160</t>
  </si>
  <si>
    <t>6114-1</t>
  </si>
  <si>
    <t>6114-1;43519;2019;Ida Waluyo;Gang Ciwastra No. 43;Surabaya;Home Office;E1040;High;Artisan 479 Labels;Office Supplies;Small Box;Regular Air;43521;23850;39150;15300;40;1566000;0.03;46980;1519020;954000;565020</t>
  </si>
  <si>
    <t>6116-1</t>
  </si>
  <si>
    <t>6116-1;43520;2019;Jati Laksmiwati;Gg. Monginsidi No. 3;Jakarta;Small Business;E1029;Not Specified;Apex Box Cutter Scissors;Office Supplies;Small Pack;Regular Air;43522;62850;153450;90600;46;7058700;0.08;564696;6494004;2891100;3602904</t>
  </si>
  <si>
    <t>6118-1</t>
  </si>
  <si>
    <t>Ibrani Yuniar</t>
  </si>
  <si>
    <t>Jl. Kiaracondong No. 48</t>
  </si>
  <si>
    <t>Smiths Bulk Pack Metal Binder Clips</t>
  </si>
  <si>
    <t>6118-1;43523;2019;Ibrani Yuniar;Jl. Kiaracondong No. 48;Jakarta;Corporate;E1028;Low;Smiths Bulk Pack Metal Binder Clips;Office Supplies;Wrap Bag;Regular Air;43532;59250;91200;31950;41;3739200;0.03;112176;3627024;2429250;1197774</t>
  </si>
  <si>
    <t>6119-1</t>
  </si>
  <si>
    <t>6119-1;43524;2019;Kasiran Firgantoro;Jalan Gardujati No. 513;Surabaya;Consumer;E1036;Critical;Smiths Pen Style Liquid Stix; Assorted (yellow, pink, green, blue, orange), 5/Pack;Office Supplies;Wrap Bag;Regular Air;43525;58200;97050;38850;22;2135100;0.04;85404;2049696;1280400;769296</t>
  </si>
  <si>
    <t>6121-1</t>
  </si>
  <si>
    <t>Betania Thamrin</t>
  </si>
  <si>
    <t>6121-1;43525;2019;Betania Thamrin;Gang Gedebage Selatan No. 92;Surabaya;Small Business;E1032;Critical;Apex Box Cutter Scissors;Office Supplies;Small Pack;Regular Air;43527;62850;153450;90600;16;2455200;0.02;49104;2406096;1005600;1400496</t>
  </si>
  <si>
    <t>6123-1</t>
  </si>
  <si>
    <t>6123-1;43525;2019;Laras Hartati;Jalan Jayawijaya No. 5;Surabaya;Small Business;E1033;Low;Beekin 6 Outlet Metallic Surge Strip;Office Supplies;Small Box;Regular Air;43532;66900;163350;96450;10;1633500;0.1;163350;1470150;669000;801150</t>
  </si>
  <si>
    <t>6124-1</t>
  </si>
  <si>
    <t>6124-1;43528;2019;Arta Lestari;Jl. S. Parman No. 91;Surabaya;Home Office;E1034;High;Artisan 481 Labels;Office Supplies;Small Box;Regular Air;43530;29100;46200;17100;11;508200;0.09;45738;462462;320100;142362</t>
  </si>
  <si>
    <t>6125-1</t>
  </si>
  <si>
    <t>6125-1;43530;2019;Julia Situmorang;Gang Asia Afrika No. 96;Surabaya;Corporate;E1036;Medium;Pizazz Drawing Pencil Set;Office Supplies;Wrap Bag;Regular Air;43531;22950;41700;18750;21;875700;0.06;52542;823158;481950;341208</t>
  </si>
  <si>
    <t>6127-1</t>
  </si>
  <si>
    <t>6127-1;43532;2019;Rafid Rahayu;Jalan Astana Anyar No. 41;Jakarta;Small Business;E1028;Low;Adesso Programmable 142-Key Keyboard;Technology;Small Box;Regular Air;43532;594600;2287200;1692600;17;38882400;0.04;1555296;37327104;10108200;27218904</t>
  </si>
  <si>
    <t>6128-1</t>
  </si>
  <si>
    <t>Karna Sinaga</t>
  </si>
  <si>
    <t>6128-1;43536;2019;Karna Sinaga;Jalan Indragiri No. 077;Surabaya;Small Business;E1030;Critical;Smiths Pen Style Liquid Stix; Assorted (yellow, pink, green, blue, orange), 5/Pack;Office Supplies;Wrap Bag;Regular Air;43538;58200;97050;38850;16;1552800;0.01;15528;1537272;931200;606072</t>
  </si>
  <si>
    <t>6130-1</t>
  </si>
  <si>
    <t>6130-1;43538;2019;Warsita Maryadi;Jl. BKR No. 46;Jakarta;Corporate;E1028;High;Artisan Arch Ring Binders;Office Supplies;Small Box;Regular Air;43539;540300;871500;331200;27;23530500;0.07;1647135;21883365;14588100;7295265</t>
  </si>
  <si>
    <t>6132-1</t>
  </si>
  <si>
    <t>Kemba Sihotang</t>
  </si>
  <si>
    <t>6132-1;43538;2019;Kemba Sihotang;Jl. Dipenogoro No. 447;Surabaya;Corporate;E1039;Not Specified;DrawIt Colored Pencils;Office Supplies;Wrap Bag;Regular Air;43539;65550;136650;71100;30;4099500;0.03;122985;3976515;1966500;2010015</t>
  </si>
  <si>
    <t>6134-1</t>
  </si>
  <si>
    <t>6134-1;43542;2019;Eka Sitorus;Jalan Rumah Sakit No. 287;Surabaya;Small Business;E1032;High;Artisan 474 Labels;Office Supplies;Small Box;Regular Air;43543;27600;43200;15600;28;1209600;0.1;120960;1088640;772800;315840</t>
  </si>
  <si>
    <t>6135-1</t>
  </si>
  <si>
    <t>6135-1;43544;2019;Cakrajiya Sihombing;Gang Otto Iskandardinata No. 167;Surabaya;Corporate;E1037;Low;Pizazz Drawing Pencil Set;Office Supplies;Wrap Bag;Regular Air;43546;17550;41700;24150;39;1626300;0.05;81315;1544985;684450;860535</t>
  </si>
  <si>
    <t>6136-1</t>
  </si>
  <si>
    <t>Novi Hardiansyah</t>
  </si>
  <si>
    <t>6136-1;43544;2019;Novi Hardiansyah;Gg. Suniaraja No. 21;Surabaya;Corporate;E1031;Not Specified;Smiths General Use 3-Ring Binders;Office Supplies;Small Box;Regular Air;43545;17700;28200;10500;20;564000;0.07;39480;524520;354000;170520</t>
  </si>
  <si>
    <t>6138-1</t>
  </si>
  <si>
    <t>6138-1;43546;2019;Karta Purnawati;Jl. Sukabumi No. 44;Bandung;Corporate;E1036;Low;Smiths Metal Binder Clips;Office Supplies;Wrap Bag;Regular Air;43550;24000;39300;15300;26;1021800;0.08;81744;940056;624000;316056</t>
  </si>
  <si>
    <t>6140-1</t>
  </si>
  <si>
    <t>6140-1;43547;2019;Kenes Nababan;Gg. M.H Thamrin No. 784;Jakarta;Corporate;E1029;High;12 Colored Short Pencils;Office Supplies;Wrap Bag;Regular Air;43547;16350;39000;22650;14;546000;0.08;43680;502320;228900;273420</t>
  </si>
  <si>
    <t>6141-1</t>
  </si>
  <si>
    <t>Alliance Rubber Bands</t>
  </si>
  <si>
    <t>6141-1;43547;2019;Ayu Wastuti;Gg. M.H Thamrin No. 784;Jakarta;Home Office;E1029;Medium;Alliance Rubber Bands;Office Supplies;Wrap Bag;Express Air;43548;4800;25200;20400;6;151200;0.05;7560;143640;28800;114840</t>
  </si>
  <si>
    <t>6143-1</t>
  </si>
  <si>
    <t>6143-1;43554;2019;Zulfa Puspasari;Gang Astana Anyar No. 0;Bandung;Home Office;E1036;Critical;Beekin 105-Key Black Keyboard;Technology;Small Box;Express Air;43556;95850;299700;203850;18;5394600;0.04;215784;5178816;1725300;3453516</t>
  </si>
  <si>
    <t>6143-2</t>
  </si>
  <si>
    <t>6143-2;43554;2019;Zulfa Puspasari;Gang Astana Anyar No. 0;Bandung;Home Office;E1036;Critical;Multi-Use Personal File Cart and Caster Set, Three Stacking Bins;Office Supplies;Small Box;Regular Air;43556;224250;521400;297150;46;23984400;0.09;2158596;21825804;10315500;11510304</t>
  </si>
  <si>
    <t>6144-1</t>
  </si>
  <si>
    <t>6144-1;43554;2019;Tiara Megantara;Jalan Ciwastra No. 383;Surabaya;Consumer;E1032;Medium;Multimedia Mailers;Office Supplies;Small Box;Regular Air;43555;1490850;2443950;953100;41;100201950;0.01;1002019.5;99199930.5;61124850;38075080.5</t>
  </si>
  <si>
    <t>6146-1</t>
  </si>
  <si>
    <t>6146-1;43557;2019;Nilam Suwarno;Gg. Joyoboyo No. 026;Jakarta;Home Office;E1028;Not Specified;Alto Memo Cubes;Office Supplies;Wrap Bag;Regular Air;43559;49800;77700;27900;25;1942500;0.1;194250;1748250;1245000;503250</t>
  </si>
  <si>
    <t>6148-1</t>
  </si>
  <si>
    <t>6148-1;43557;2019;Yulia Mahendra;Gg. HOS. Cokroaminoto No. 72;Surabaya;Corporate;E1034;Critical;Beekin 6 Outlet Metallic Surge Strip;Office Supplies;Small Box;Regular Air;43559;66900;163350;96450;30;4900500;0.08;392040;4508460;2007000;2501460</t>
  </si>
  <si>
    <t>6150-1</t>
  </si>
  <si>
    <t>6150-1;43560;2019;Hendri Fujiati;Jl. Raya Ujungberung No. 86;Bandung;Home Office;E1041;Not Specified;600 Series Non-Flip;Technology;Small Box;Regular Air;43562;296700;689850;393150;11;7588350;0.07;531184.5;7057165.5;3263700;3793465.5</t>
  </si>
  <si>
    <t>6151-1</t>
  </si>
  <si>
    <t>6151-1;43562;2019;Raditya Mayasari;Jalan Ciwastra No. 383;Surabaya;Corporate;E1032;Critical;Smiths General Use 3-Ring Binders;Office Supplies;Small Box;Regular Air;43564;17700;28200;10500;39;1099800;0.07;76986;1022814;690300;332514</t>
  </si>
  <si>
    <t>6152-1</t>
  </si>
  <si>
    <t>6152-1;43563;2019;Gada Gunawan;Gang Sadang Serang No. 74;Surabaya;Corporate;E1030;Low;HFX LaserJet 3310 Copier;Technology;Large Box;Regular Air;43570;5669850;8999850;3330000;17;152997450;0.08;12239796;140757654;96387450;44370204</t>
  </si>
  <si>
    <t>6154-1</t>
  </si>
  <si>
    <t>6154-1;43563;2019;Hari Situmorang;Jalan Gardujati No. 513;Surabaya;Corporate;E1036;High;Pizazz Dustless Chalk Sticks;Office Supplies;Wrap Bag;Regular Air;43564;16350;25200;8850;24;604800;0.05;30240;574560;392400;182160</t>
  </si>
  <si>
    <t>6155-1</t>
  </si>
  <si>
    <t>Tedi Hartati</t>
  </si>
  <si>
    <t>6155-1;43566;2019;Tedi Hartati;Gang Raya Setiabudhi No. 870;Jakarta;Home Office;E1028;High;1726 Digital Answering Machine;Technology;Medium Box;Regular Air;43567;132300;314850;182550;30;9445500;0.03;283365;9162135;3969000;5193135</t>
  </si>
  <si>
    <t>6157-1</t>
  </si>
  <si>
    <t>6157-1;43566;2019;Eman Widodo;Jl. Sadang Serang No. 015;Surabaya;Small Business;E1036;Critical;Smiths General Use 3-Ring Binders;Office Supplies;Small Box;Regular Air;43568;17700;28200;10500;1;28200;0.09;2538;25662;17700;7962</t>
  </si>
  <si>
    <t>6158-1</t>
  </si>
  <si>
    <t>6158-1;43566;2019;Ophelia Natsir;Jalan Sukajadi No. 09;Bandung;Corporate;E1039;Low;Steady 52201 APSCO Electric Pencil Sharpener;Office Supplies;Small Pack;Express Air;43573;252000;614550;362550;49;30112950;0.1;3011295;27101655;12348000;14753655</t>
  </si>
  <si>
    <t>6159-1</t>
  </si>
  <si>
    <t>6159-1;43569;2019;Edi Waskita;Jalan Asia Afrika No. 3;Bandung;Home Office;E1033;High;Angle-D Binders with Locking Rings, Label Holders;Office Supplies;Small Box;Regular Air;43570;67950;109500;41550;38;4161000;0.05;208050;3952950;2582100;1370850</t>
  </si>
  <si>
    <t>6159-2</t>
  </si>
  <si>
    <t>6159-2;43569;2019;Edi Waskita;Jalan Asia Afrika No. 3;Bandung;Home Office;E1033;Medium;Artisan 487 Labels;Office Supplies;Small Box;Regular Air;43570;34350;55350;21000;41;2269350;0.01;22693.5;2246656.5;1408350;838306.5</t>
  </si>
  <si>
    <t>6159-2;43569;2019;Edi Waskita;Jalan Asia Afrika No. 3;Bandung;Home Office;E1033;High;DrawIt Colored Pencils;Office Supplies;Wrap Bag;Express Air;43570;65550;136650;71100;21;2869650;0.03;86089.5;2783560.5;1376550;1407010.5</t>
  </si>
  <si>
    <t>6165-1</t>
  </si>
  <si>
    <t>Eja Mulyani</t>
  </si>
  <si>
    <t>Gg. Jakarta No. 86</t>
  </si>
  <si>
    <t>6165-1;43571;2019;Eja Mulyani;Gg. Jakarta No. 86;Surabaya;Corporate;E1040;Not Specified;TechSavi Cordless Access Keyboard;Technology;Small Box;Regular Air;43572;220500;449850;229350;14;6297900;0.04;251916;6045984;3087000;2958984</t>
  </si>
  <si>
    <t>6166-1</t>
  </si>
  <si>
    <t>6166-1;43578;2019;Yulia Mahendra;Gg. HOS. Cokroaminoto No. 72;Surabaya;Home Office;E1034;High;Steady Liquid Accent Highlighters;Office Supplies;Wrap Bag;Regular Air;43580;52050;100200;48150;10;1002000;0.08;80160;921840;520500;401340</t>
  </si>
  <si>
    <t>6167-1</t>
  </si>
  <si>
    <t>6167-1;43581;2019;Opung Saptono;Jl. Medokan Ayu No. 7;Surabaya;Home Office;E1038;High;Artisan Legal 4-Ring Binder;Office Supplies;Small Box;Regular Air;43583;204600;314700;110100;34;10699800;0.07;748986;9950814;6956400;2994414</t>
  </si>
  <si>
    <t>6168-1</t>
  </si>
  <si>
    <t>6168-1;43586;2019;Balamantri Mandasari;Gang Sadang Serang No. 74;Surabaya;Home Office;E1035;High;Laser Neon Mac Format Diskettes, 10/Pack;Technology;Small Pack;Regular Air;43587;28050;121800;93750;47;5724600;0.07;400722;5323878;1318350;4005528</t>
  </si>
  <si>
    <t>6169-1</t>
  </si>
  <si>
    <t>6169-1;43586;2019;Kamidin Yolanda;Jalan Pasteur No. 217;Surabaya;Consumer;E1031;Medium;Laser Neon Mac Format Diskettes, 10/Pack;Technology;Small Pack;Regular Air;43586;28050;121800;93750;36;4384800;0.1;438480;3946320;1009800;2936520</t>
  </si>
  <si>
    <t>6170-1</t>
  </si>
  <si>
    <t>6170-1;43586;2019;Karen Kuswandari;Jalan Jend. A. Yani No. 48;Surabaya;Home Office;E1036;Medium;Smiths SlimLine Pencil Sharpener;Office Supplies;Small Pack;Regular Air;43588;71850;179550;107700;28;5027400;0.03;150822;4876578;2011800;2864778</t>
  </si>
  <si>
    <t>6172-1</t>
  </si>
  <si>
    <t>6172-1;43587;2019;Danuja Prayoga;Gg. Pacuan Kuda No. 49;Surabaya;Home Office;E1037;Not Specified;TechSavi Access Keyboard;Technology;Small Box;Regular Air;43589;124650;239700;115050;4;958800;0.09;86292;872508;498600;373908</t>
  </si>
  <si>
    <t>6174-1</t>
  </si>
  <si>
    <t>6174-1;43588;2019;Diah Sudiati;Jalan Ciwastra No. 383;Surabaya;Corporate;E1032;High;Beekin 6 Outlet Metallic Surge Strip;Office Supplies;Small Box;Regular Air;43588;66900;163350;96450;25;4083750;0.03;122512.5;3961237.5;1672500;2288737.5</t>
  </si>
  <si>
    <t>6175-1</t>
  </si>
  <si>
    <t>Lasmanto Yuliarti</t>
  </si>
  <si>
    <t>6175-1;43588;2019;Lasmanto Yuliarti;Jl. S. Parman No. 91;Surabaya;Consumer;E1034;Critical;Office Shears by Apex;Office Supplies;Small Pack;Regular Air;43588;14100;31200;17100;33;1029600;0.05;51480;978120;465300;512820</t>
  </si>
  <si>
    <t>6176-1</t>
  </si>
  <si>
    <t>Putu Hardiansyah</t>
  </si>
  <si>
    <t>6176-1;43588;2019;Putu Hardiansyah;Jalan Dipatiukur No. 56;Surabaya;Corporate;E1036;Critical;UGen Ultra Professional Cordless Optical Suite;Technology;Small Box;Regular Air;43588;2347500;4514550;2167050;43;194125650;0.08;15530052;178595598;100942500;77653098</t>
  </si>
  <si>
    <t>6177-1</t>
  </si>
  <si>
    <t>Hilda Halim</t>
  </si>
  <si>
    <t>6177-1;43593;2019;Hilda Halim;Gang Cikapayang No. 055;Surabaya;Home Office;E1040;Critical;Apex Straight Scissors;Office Supplies;Small Pack;Regular Air;43594;77850;194700;116850;50;9735000;0.08;778800;8956200;3892500;5063700</t>
  </si>
  <si>
    <t>6179-1</t>
  </si>
  <si>
    <t>6179-1;43595;2019;Luhung Padmasari;Jl. Pelajar Pejuang No. 25;Bandung;Corporate;E1036;High;Message Book, One Form per Page;Office Supplies;Wrap Bag;Express Air;43597;36150;55650;19500;16;890400;0.1;89040;801360;578400;222960</t>
  </si>
  <si>
    <t>6181-1</t>
  </si>
  <si>
    <t>Keisha Budiyanto</t>
  </si>
  <si>
    <t>6181-1;43597;2019;Keisha Budiyanto;Jalan Raya Ujungberung No. 5;Surabaya;Home Office;E1037;Medium;Adesso Programmable 142-Key Keyboard;Technology;Small Box;Regular Air;43598;594600;2287200;1692600;27;61754400;0.1;6175440;55578960;16054200;39524760</t>
  </si>
  <si>
    <t>6183-1</t>
  </si>
  <si>
    <t>Harja Safitri</t>
  </si>
  <si>
    <t>Gang Jakarta No. 158</t>
  </si>
  <si>
    <t>6183-1;43597;2019;Harja Safitri;Gang Jakarta No. 158;Bandung;Home Office;E1039;Critical;Unpadded Memo Slips;Office Supplies;Wrap Bag;Regular Air;43599;38850;59700;20850;41;2447700;0.1;244770;2202930;1592850;610080</t>
  </si>
  <si>
    <t>6184-1</t>
  </si>
  <si>
    <t>6184-1;43598;2019;Ajimin Suartini;Gg. Surapati No. 471;Surabaya;Home Office;E1038;Not Specified;Pizazz Drawing Pencil Set;Office Supplies;Wrap Bag;Regular Air;43600;22950;41700;18750;38;1584600;0;0;1584600;872100;712500</t>
  </si>
  <si>
    <t>6185-1</t>
  </si>
  <si>
    <t>Melinda Hutapea</t>
  </si>
  <si>
    <t>6185-1;43601;2019;Melinda Hutapea;Jalan Gedebage Selatan No. 048;Jakarta;Consumer;E1029;High;Artisan Reinforcements for Hole-Punch Pages;Office Supplies;Small Box;Regular Air;43602;17850;29700;11850;12;356400;0.07;24948;331452;214200;117252</t>
  </si>
  <si>
    <t>6186-1</t>
  </si>
  <si>
    <t>Harjasa Irawan</t>
  </si>
  <si>
    <t>6186-1;43602;2019;Harjasa Irawan;Gg. Cihampelas No. 423;Surabaya;Corporate;E1030;Critical;Cando PC940 Copier;Technology;Jumbo Drum;Delivery Truck;43603;4184850;6749850;2565000;16;107997600;0.09;9719784;98277816;66957600;31320216</t>
  </si>
  <si>
    <t>6187-1</t>
  </si>
  <si>
    <t>6187-1;43603;2019;Baktianto Halim;Jl. Antapani Lama No. 705;Jakarta;Small Business;E1028;Low;Smiths Bulk Pack Metal Binder Clips;Office Supplies;Wrap Bag;Regular Air;43605;59250;91200;31950;42;3830400;0.09;344736;3485664;2488500;997164</t>
  </si>
  <si>
    <t>6189-1</t>
  </si>
  <si>
    <t>Bambang Rajata</t>
  </si>
  <si>
    <t>Gang K.H. Wahid Hasyim No. 1</t>
  </si>
  <si>
    <t>6189-1;43604;2019;Bambang Rajata;Gang K.H. Wahid Hasyim No. 1;Bandung;Small Business;E1032;Not Specified;Steady 52201 APSCO Electric Pencil Sharpener;Office Supplies;Small Pack;Express Air;43605;252000;614550;362550;49;30112950;0.04;1204518;28908432;12348000;16560432</t>
  </si>
  <si>
    <t>6190-1</t>
  </si>
  <si>
    <t>6190-1;43608;2019;Darmaji Rajasa;Jl. Rumah Sakit No. 738;Jakarta;Home Office;E1028;Medium;DrawIt Colored Pencils, 48-Color Set;Office Supplies;Wrap Bag;Regular Air;43609;323400;548250;224850;6;3289500;0.01;32895;3256605;1940400;1316205</t>
  </si>
  <si>
    <t>6191-1</t>
  </si>
  <si>
    <t>6191-1;43609;2019;Saadat Hutapea;Jalan PHH. Mustofa No. 625;Surabaya;Corporate;E1034;Low;Unpadded Memo Slips;Office Supplies;Wrap Bag;Regular Air;43614;38850;59700;20850;50;2985000;0.08;238800;2746200;1942500;803700</t>
  </si>
  <si>
    <t>6193-1</t>
  </si>
  <si>
    <t>6193-1;43610;2019;Saadat Hutapea;Jalan PHH. Mustofa No. 625;Surabaya;Corporate;E1034;Medium;PastelOcean Color Pencil Set;Office Supplies;Wrap Bag;Regular Air;43611;166650;297600;130950;10;2976000;0.05;148800;2827200;1666500;1160700</t>
  </si>
  <si>
    <t>6194-1</t>
  </si>
  <si>
    <t>6194-1;43611;2019;Keisha Prayoga;Gang Rawamangun No. 02;Surabaya;Consumer;E1038;Medium;600 Series Flip;Technology;Small Box;Regular Air;43613;619200;1439850;820650;14;20157900;0.04;806316;19351584;8668800;10682784</t>
  </si>
  <si>
    <t>6196-1</t>
  </si>
  <si>
    <t>6196-1;43611;2019;Ina Nasyidah;Jalan Pasteur No. 217;Surabaya;Home Office;E1031;Low;Multimedia Mailers;Office Supplies;Small Box;Regular Air;43620;1490850;2443950;953100;22;53766900;0.07;3763683;50003217;32798700;17204517</t>
  </si>
  <si>
    <t>6197-1</t>
  </si>
  <si>
    <t>6197-1;43612;2019;Prasetya Wahyuni;Jl. Ciwastra No. 543;Jakarta;Small Business;E1029;Critical;Lumi Crayons;Office Supplies;Wrap Bag;Regular Air;43613;78300;147750;69450;48;7092000;0.09;638280;6453720;3758400;2695320</t>
  </si>
  <si>
    <t>6197-2</t>
  </si>
  <si>
    <t>6197-2;43612;2019;Prasetya Wahyuni;Jl. Ciwastra No. 543;Jakarta;Small Business;E1029;Critical;Pizazz Colored Pencils;Office Supplies;Wrap Bag;Regular Air;43613;26400;44100;17700;18;793800;0.01;7938;785862;475200;310662</t>
  </si>
  <si>
    <t>6201-1</t>
  </si>
  <si>
    <t>6201-1;43613;2019;Saka Wijaya;Jl. Jend. Sudirman No. 0;Surabaya;Consumer;E1030;High;Aluminum Document Frame;Furniture;Small Pack;Regular Air;43614;82500;183300;100800;10;1833000;0.1;183300;1649700;825000;824700</t>
  </si>
  <si>
    <t>6203-1</t>
  </si>
  <si>
    <t>Tri Siregar</t>
  </si>
  <si>
    <t>Gang Merdeka No. 298</t>
  </si>
  <si>
    <t>6203-1;43613;2019;Tri Siregar;Gang Merdeka No. 298;Surabaya;Corporate;E1031;High;Apex Box Cutter Scissors;Office Supplies;Small Pack;Express Air;43616;62850;153450;90600;19;2915550;0.08;233244;2682306;1194150;1488156</t>
  </si>
  <si>
    <t>6204-1</t>
  </si>
  <si>
    <t>6204-1;43613;2019;Kamidin Saptono;Gang Monginsidi No. 138;Jakarta;Consumer;E1029;High;Wirebound Voice Message Log Book;Office Supplies;Wrap Bag;Regular Air;43616;43500;71400;27900;33;2356200;0.06;141372;2214828;1435500;779328</t>
  </si>
  <si>
    <t>6206-1</t>
  </si>
  <si>
    <t>6206-1;43616;2019;Imam Pertiwi;Gang Yos Sudarso No. 13;Surabaya;Small Business;E1039;Not Specified;Angle-D Binders with Locking Rings, Label Holders;Office Supplies;Small Box;Regular Air;43617;67950;109500;41550;36;3942000;0.1;394200;3547800;2446200;1101600</t>
  </si>
  <si>
    <t>6208-1</t>
  </si>
  <si>
    <t>Agnes Yulianti</t>
  </si>
  <si>
    <t>6208-1;43616;2019;Agnes Yulianti;Jalan Cikapayang No. 311;Surabaya;Corporate;E1031;Low;Unpadded Memo Slips;Office Supplies;Wrap Bag;Regular Air;43621;38850;59700;20850;11;656700;0.01;6567;650133;427350;222783</t>
  </si>
  <si>
    <t>6209-1</t>
  </si>
  <si>
    <t>6209-1;43617;2019;Ajiman Mandasari;Jl. Rumah Sakit No. 738;Jakarta;Home Office;E1028;Not Specified;Smiths Metal Binder Clips;Office Supplies;Wrap Bag;Regular Air;43618;24000;39300;15300;48;1886400;0.1;188640;1697760;1152000;545760</t>
  </si>
  <si>
    <t>6211-1</t>
  </si>
  <si>
    <t>Jl. Yos Sudarso No. 78</t>
  </si>
  <si>
    <t>6211-1;43620;2019;Danang Uyainah;Jl. Yos Sudarso No. 78;Jakarta;Corporate;E1028;Critical;TechSavi Cordless Access Keyboard;Technology;Small Box;Regular Air;43622;220500;449850;229350;11;4948350;0.08;395868;4552482;2425500;2126982</t>
  </si>
  <si>
    <t>6213-1</t>
  </si>
  <si>
    <t>Imam Iswahyudi</t>
  </si>
  <si>
    <t>6213-1;43622;2019;Imam Iswahyudi;Gg. Suniaraja No. 21;Surabaya;Small Business;E1031;Not Specified;Cando PC940 Copier;Technology;Jumbo Drum;Delivery Truck;43623;4184850;6749850;2565000;38;256494300;0.01;2564943;253929357;159024300;94905057</t>
  </si>
  <si>
    <t>6214-1</t>
  </si>
  <si>
    <t>Jane Gunawan</t>
  </si>
  <si>
    <t>6214-1;43623;2019;Jane Gunawan;Gg. Dipenogoro No. 947;Surabaya;Small Business;E1034;Medium;Smiths Colored Bar Computer Paper;Office Supplies;Small Box;Regular Air;43624;329550;531600;202050;48;25516800;0.08;2041344;23475456;15818400;7657056</t>
  </si>
  <si>
    <t>6215-1</t>
  </si>
  <si>
    <t>6215-1;43626;2019;Arta Rahmawati;Jalan Lembong No. 9;Surabaya;Consumer;E1032;Low;Artisan Hi-Liter Smear-Safe Highlighters;Office Supplies;Wrap Bag;Regular Air;43633;44700;87600;42900;19;1664400;0.01;16644;1647756;849300;798456</t>
  </si>
  <si>
    <t>6217-1</t>
  </si>
  <si>
    <t>6217-1;43629;2019;Dwi Suartini;Gg. Tubagus Ismail No. 864;Bandung;Small Business;E1032;Medium;TypeRight Side-Opening Peel &amp; Seel Expanding Envelopes;Office Supplies;Small Box;Regular Air;43629;814350;1357200;542850;16;21715200;0;0;21715200;13029600;8685600</t>
  </si>
  <si>
    <t>6219-1</t>
  </si>
  <si>
    <t>Kawaca Andriani</t>
  </si>
  <si>
    <t>6219-1;43634;2019;Kawaca Andriani;Gang Otto Iskandardinata No. 167;Surabaya;Home Office;E1037;Low;Steady Pocket Accent Highlighters;Office Supplies;Wrap Bag;Regular Air;43638;13950;24000;10050;43;1032000;0.01;10320;1021680;599850;421830</t>
  </si>
  <si>
    <t>6220-1</t>
  </si>
  <si>
    <t>6220-1;43635;2019;Citra Riyanti;Jalan Jend. A. Yani No. 48;Surabaya;Small Business;E1036;Low;600 Series Flip;Technology;Small Box;Regular Air;43640;619200;1439850;820650;40;57594000;0.05;2879700;54714300;24768000;29946300</t>
  </si>
  <si>
    <t>6221-1</t>
  </si>
  <si>
    <t>Akarsana Winarno</t>
  </si>
  <si>
    <t>6221-1;43635;2019;Akarsana Winarno;Jl. Laswi No. 04;Surabaya;Corporate;E1040;Not Specified;Artisan Hole Reinforcements;Office Supplies;Small Box;Express Air;43636;59850;93450;33600;33;3083850;0.08;246708;2837142;1975050;862092</t>
  </si>
  <si>
    <t>6222-1</t>
  </si>
  <si>
    <t>6222-1;43636;2019;Rina Simanjuntak;Gg. Suniaraja No. 21;Surabaya;Home Office;E1031;Medium;Steady 52201 APSCO Electric Pencil Sharpener;Office Supplies;Small Pack;Regular Air;43637;252000;614550;362550;14;8603700;0;0;8603700;3528000;5075700</t>
  </si>
  <si>
    <t>6223-1</t>
  </si>
  <si>
    <t>Dadap Riyanti</t>
  </si>
  <si>
    <t>6223-1;43638;2019;Dadap Riyanti;Jl. BKR No. 46;Jakarta;Corporate;E1028;Medium;Beekin 105-Key Black Keyboard;Technology;Small Box;Regular Air;43639;95850;299700;203850;39;11688300;0.05;584415;11103885;3738150;7365735</t>
  </si>
  <si>
    <t>6224-1</t>
  </si>
  <si>
    <t>6224-1;43640;2019;Kiandra Salahudin;Jalan Raya Ujungberung No. 5;Surabaya;Small Business;E1037;Medium;Multi-Use Personal File Cart and Caster Set, Three Stacking Bins;Office Supplies;Small Box;Regular Air;43642;224250;521400;297150;27;14077800;0.1;1407780;12670020;6054750;6615270</t>
  </si>
  <si>
    <t>6225-1</t>
  </si>
  <si>
    <t>6225-1;43641;2019;Jatmiko Megantara;Jl. W.R. Supratman No. 473;Surabaya;Home Office;E1036;Medium;Smiths Pushpins;Office Supplies;Wrap Bag;Regular Air;43641;14100;28200;14100;36;1015200;0.04;40608;974592;507600;466992</t>
  </si>
  <si>
    <t>6226-1</t>
  </si>
  <si>
    <t>6226-1;43641;2019;Purwanto Pratama;Gang R.E Martadinata No. 16;Surabaya;Corporate;E1032;Low;Steady Pocket Accent Highlighters;Office Supplies;Wrap Bag;Regular Air;43646;13950;24000;10050;40;960000;0.01;9600;950400;558000;392400</t>
  </si>
  <si>
    <t>6227-1</t>
  </si>
  <si>
    <t>Vicky Mardhiyah</t>
  </si>
  <si>
    <t>6227-1;43643;2019;Vicky Mardhiyah;Jalan Lembong No. 9;Surabaya;Home Office;E1032;Low;Xit Blank Computer Paper;Office Supplies;Small Box;Regular Air;43647;185850;299700;113850;47;14085900;0;0;14085900;8734950;5350950</t>
  </si>
  <si>
    <t>6228-1</t>
  </si>
  <si>
    <t>6228-1;43646;2019;Upik Siregar;Gang Medokan Ayu No. 764;Surabaya;Corporate;E1038;Critical;Bagged Rubber Bands;Office Supplies;Wrap Bag;Regular Air;43649;3600;18900;15300;47;888300;0.07;62181;826119;169200;656919</t>
  </si>
  <si>
    <t>6228-1;43646;2019;Ajimat Hutapea;Jl. Dipenogoro No. 422;Surabaya;Consumer;E1032;Critical;DrawIt Colored Pencils, 48-Color Set;Office Supplies;Wrap Bag;Regular Air;43648;323400;548250;224850;2;1096500;0.03;32895;1063605;646800;416805</t>
  </si>
  <si>
    <t>6230-1</t>
  </si>
  <si>
    <t>Abyasa Salahudin</t>
  </si>
  <si>
    <t>6230-1;43646;2019;Abyasa Salahudin;Jl. K.H. Wahid Hasyim No. 4;Jakarta;Small Business;E1028;Medium;Laser Neon Mac Format Diskettes, 10/Pack;Technology;Small Pack;Express Air;43647;28050;121800;93750;37;4506600;0.01;45066;4461534;1037850;3423684</t>
  </si>
  <si>
    <t>6231-1</t>
  </si>
  <si>
    <t>6231-1;43647;2019;Akarsana Winarno;Jl. Laswi No. 04;Surabaya;Corporate;E1040;Low;Artisan File Folder Labels;Office Supplies;Small Box;Regular Air;43652;27600;43200;15600;18;777600;0.02;15552;762048;496800;265248</t>
  </si>
  <si>
    <t>6232-1</t>
  </si>
  <si>
    <t>Bakidin Nugroho</t>
  </si>
  <si>
    <t>6232-1;43647;2019;Bakidin Nugroho;Jl. Rumah Sakit No. 738;Jakarta;Home Office;E1028;High;Steady Major Accent Highlighters;Office Supplies;Wrap Bag;Regular Air;43647;56250;106200;49950;16;1699200;0.02;33984;1665216;900000;765216</t>
  </si>
  <si>
    <t>6234-1</t>
  </si>
  <si>
    <t>Prima Andriani</t>
  </si>
  <si>
    <t>6234-1;43649;2019;Prima Andriani;Jalan Kapten Muslihat No. 4;Surabaya;Corporate;E1030;Not Specified;Wirebound Voice Message Log Book;Office Supplies;Wrap Bag;Regular Air;43651;43500;71400;27900;23;1642200;0.05;82110;1560090;1000500;559590</t>
  </si>
  <si>
    <t>6235-1</t>
  </si>
  <si>
    <t>Purwanto Irawan</t>
  </si>
  <si>
    <t>6235-1;43650;2019;Purwanto Irawan;Jl. Ciwastra No. 543;Jakarta;Corporate;E1029;Medium;1726 Digital Answering Machine;Technology;Medium Box;Regular Air;43651;132300;314850;182550;2;629700;0.07;44079;585621;264600;321021</t>
  </si>
  <si>
    <t>6237-1</t>
  </si>
  <si>
    <t>6237-1;43654;2019;Sakura Sihombing;Jl. K.H. Wahid Hasyim No. 4;Jakarta;Corporate;E1029;Not Specified;Smiths Bulldog Clip;Office Supplies;Wrap Bag;Regular Air;43654;34650;56700;22050;28;1587600;0;0;1587600;970200;617400</t>
  </si>
  <si>
    <t>6238-1</t>
  </si>
  <si>
    <t>Opan Prasetyo</t>
  </si>
  <si>
    <t>6238-1;43655;2019;Opan Prasetyo;Jl. Pasir Koja No. 059;Surabaya;Corporate;E1032;Low;Apex Preferred Stainless Steel Scissors;Office Supplies;Small Pack;Regular Air;43657;37500;85200;47700;45;3834000;0.01;38340;3795660;1687500;2108160</t>
  </si>
  <si>
    <t>6240-1</t>
  </si>
  <si>
    <t>6240-1;43655;2019;Bambang Rajata;Gang K.H. Wahid Hasyim No. 1;Bandung;Small Business;E1032;Critical;Artisan 479 Labels;Office Supplies;Small Box;Regular Air;43657;23850;39150;15300;8;313200;0.02;6264;306936;190800;116136</t>
  </si>
  <si>
    <t>6242-1</t>
  </si>
  <si>
    <t>6242-1;43656;2019;Elma Samosir;Gang Raya Setiabudhi No. 870;Jakarta;Consumer;E1029;High;Cando PC940 Copier;Technology;Large Box;Regular Air;43657;3240000;6749850;3509850;49;330742650;0.06;19844559;310898091;158760000;152138091</t>
  </si>
  <si>
    <t>6243-1</t>
  </si>
  <si>
    <t>Lukman Nurdiyanti</t>
  </si>
  <si>
    <t>6243-1;43656;2019;Lukman Nurdiyanti;Jalan Moch. Toha No. 9;Surabaya;Home Office;E1033;Low;Cando S750 Color Inkjet Printer;Technology;Jumbo Drum;Delivery Truck;43663;1125000;1814550;689550;42;76211100;0;0;76211100;47250000;28961100</t>
  </si>
  <si>
    <t>6244-1</t>
  </si>
  <si>
    <t>6244-1;43658;2019;Keisha Hutasoit;Gang Jend. A. Yani No. 7;Surabaya;Corporate;E1030;Critical;Apex Straight Scissors;Office Supplies;Small Pack;Regular Air;43659;77850;194700;116850;45;8761500;0.05;438075;8323425;3503250;4820175</t>
  </si>
  <si>
    <t>6246-1</t>
  </si>
  <si>
    <t>Pangestu Sihombing</t>
  </si>
  <si>
    <t>6246-1;43658;2019;Pangestu Sihombing;Jl. BKR No. 46;Jakarta;Corporate;E1028;Low;Artisan 481 Labels;Office Supplies;Small Box;Regular Air;43660;29100;46200;17100;42;1940400;0.09;174636;1765764;1222200;543564</t>
  </si>
  <si>
    <t>6248-1</t>
  </si>
  <si>
    <t>Raharja Saputra</t>
  </si>
  <si>
    <t>6248-1;43659;2019;Raharja Saputra;Jalan Jend. A. Yani No. 48;Surabaya;Corporate;E1036;Not Specified;Office Shears by Apex;Office Supplies;Small Pack;Regular Air;43660;14100;31200;17100;2;62400;0.01;624;61776;28200;33576</t>
  </si>
  <si>
    <t>6250-1</t>
  </si>
  <si>
    <t>Genta Iswahyudi</t>
  </si>
  <si>
    <t>6250-1;43662;2019;Genta Iswahyudi;Gang R.E Martadinata No. 969;Surabaya;Corporate;E1036;Low;Artisan Flip-Chart Easel Binder, Black;Office Supplies;Small Box;Regular Air;43670;208200;335700;127500;16;5371200;0.09;483408;4887792;3331200;1556592</t>
  </si>
  <si>
    <t>6252-1</t>
  </si>
  <si>
    <t>6252-1;43663;2019;Labuh Permata;Jalan Jend. A. Yani No. 48;Surabaya;Small Business;E1036;Low;Bagged Rubber Bands;Office Supplies;Wrap Bag;Express Air;43663;3600;18900;15300;40;756000;0.04;30240;725760;144000;581760</t>
  </si>
  <si>
    <t>6254-1</t>
  </si>
  <si>
    <t>Siti Maulana</t>
  </si>
  <si>
    <t>6254-1;43665;2019;Siti Maulana;Jalan Ciwastra No. 383;Surabaya;Consumer;E1032;Low;Apex Forged Steel Scissors with Black Enamel Handles;Office Supplies;Small Pack;Regular Air;43671;61500;139650;78150;35;4887750;0.05;244387.5;4643362.5;2152500;2490862.5</t>
  </si>
  <si>
    <t>6256-1</t>
  </si>
  <si>
    <t>Mahfud Laksita</t>
  </si>
  <si>
    <t>6256-1;43666;2019;Mahfud Laksita;Jl. Raya Ujungberung No. 121;Bandung;Home Office;E1032;Not Specified;Pizazz Drawing Pencil Set;Office Supplies;Wrap Bag;Regular Air;43668;22950;41700;18750;10;417000;0.01;4170;412830;229500;183330</t>
  </si>
  <si>
    <t>6257-1</t>
  </si>
  <si>
    <t>6257-1;43670;2019;Purwa Nasyidah;Jalan Raya Ujungberung No. 5;Surabaya;Small Business;E1037;Critical;Beekin 105-Key Black Keyboard;Technology;Small Box;Regular Air;43672;95850;299700;203850;35;10489500;0.1;1048950;9440550;3354750;6085800</t>
  </si>
  <si>
    <t>6258-1</t>
  </si>
  <si>
    <t>6258-1;43671;2019;Ani Maryadi;Gang Soekarno Hatta No. 2;Surabaya;Corporate;E1038;Not Specified;Artisan Hole Reinforcements;Office Supplies;Small Box;Regular Air;43673;59850;93450;33600;21;1962450;0.05;98122.5;1864327.5;1256850;607477.5</t>
  </si>
  <si>
    <t>6260-1</t>
  </si>
  <si>
    <t>6260-1;43671;2019;Karsa Kuswoyo;Gang Jayawijaya No. 91;Jakarta;Corporate;E1029;Critical;Colored Push Pins;Office Supplies;Wrap Bag;Regular Air;43671;13800;27150;13350;22;597300;0.09;53757;543543;303600;239943</t>
  </si>
  <si>
    <t>6261-1</t>
  </si>
  <si>
    <t>Hasna Prasetya</t>
  </si>
  <si>
    <t>6261-1;43671;2019;Hasna Prasetya;Jalan Pasteur No. 217;Surabaya;Home Office;E1031;High;DrawIt Pizazz Watercolor Pencils, 10-Color Set with Brush;Office Supplies;Wrap Bag;Express Air;43672;35850;63900;28050;34;2172600;0.03;65178;2107422;1218900;888522</t>
  </si>
  <si>
    <t>6263-1</t>
  </si>
  <si>
    <t>6263-1;43673;2019;Jumadi Sitompul;Gg. M.H Thamrin No. 784;Jakarta;Corporate;E1029;Critical;Cando PC940 Copier;Technology;Jumbo Drum;Delivery Truck;43675;4184850;6749850;2565000;43;290243550;0.06;17414613;272828937;179948550;92880387</t>
  </si>
  <si>
    <t>6264-1</t>
  </si>
  <si>
    <t>6264-1;43677;2019;Bajragin Saputra;Jalan Ciwastra No. 383;Surabaya;Consumer;E1032;Low;Artisan Hi-Liter Comfort Grip Fluorescent Highlighter, Yellow Ink;Office Supplies;Wrap Bag;Regular Air;43679;15750;29250;13500;23;672750;0.09;60547.5;612202.5;362250;249952.5</t>
  </si>
  <si>
    <t>6266-1</t>
  </si>
  <si>
    <t>Empluk Uyainah</t>
  </si>
  <si>
    <t>6266-1;43678;2019;Empluk Uyainah;Gang Pacuan Kuda No. 04;Surabaya;Corporate;E1037;Medium;3Max Polarizing Task Lamp with Clamp Arm, Light Gray;Furniture;Large Box;Regular Air;43679;842400;2054700;1212300;14;28765800;0;0;28765800;11793600;16972200</t>
  </si>
  <si>
    <t>6266-2</t>
  </si>
  <si>
    <t>6266-2;43678;2019;Empluk Uyainah;Gang Pacuan Kuda No. 04;Surabaya;Corporate;E1037;Medium;Binder Clips by OIC;Office Supplies;Wrap Bag;Regular Air;43680;13950;22200;8250;3;66600;0.1;6660;59940;41850;18090</t>
  </si>
  <si>
    <t>6269-1</t>
  </si>
  <si>
    <t>6269-1;43683;2019;Latika Siregar;Jalan S. Parman No. 88;Bandung;Corporate;E1036;Not Specified;Bagged Rubber Bands;Office Supplies;Wrap Bag;Regular Air;43684;3600;18900;15300;11;207900;0;0;207900;39600;168300</t>
  </si>
  <si>
    <t>6270-1</t>
  </si>
  <si>
    <t>Queen Fujiati</t>
  </si>
  <si>
    <t>6270-1;43683;2019;Queen Fujiati;Jalan Astana Anyar No. 41;Jakarta;Home Office;E1028;Not Specified;DrawIt Colored Pencils, 48-Color Set;Office Supplies;Wrap Bag;Regular Air;43685;323400;548250;224850;17;9320250;0.09;838822.5;8481427.5;5497800;2983627.5</t>
  </si>
  <si>
    <t>6272-1</t>
  </si>
  <si>
    <t>6272-1;43683;2019;Najwa Usamah;Gg. Joyoboyo No. 8;Jakarta;Consumer;E1028;Not Specified;Smiths Gold Paper Clips;Office Supplies;Wrap Bag;Regular Air;43684;27300;44700;17400;32;1430400;0.01;14304;1416096;873600;542496</t>
  </si>
  <si>
    <t>6273-1</t>
  </si>
  <si>
    <t>Gandewa Sitorus</t>
  </si>
  <si>
    <t>6273-1;43684;2019;Gandewa Sitorus;Jalan Ciwastra No. 383;Surabaya;Home Office;E1032;High;Self-Adhesive Ring Binder Labels;Office Supplies;Small Box;Regular Air;43686;32700;52800;20100;32;1689600;0.07;118272;1571328;1046400;524928</t>
  </si>
  <si>
    <t>6274-1</t>
  </si>
  <si>
    <t>6274-1;43685;2019;Virman Prayoga;Gang Jend. A. Yani No. 7;Surabaya;Home Office;E1030;Not Specified;TechSavi Access Keyboard;Technology;Small Box;Regular Air;43686;124650;239700;115050;18;4314600;0.1;431460;3883140;2243700;1639440</t>
  </si>
  <si>
    <t>6275-1</t>
  </si>
  <si>
    <t>Mila Sihotang</t>
  </si>
  <si>
    <t>6275-1;43685;2019;Mila Sihotang;Jl. S. Parman No. 38;Surabaya;Consumer;E1033;Medium;Wirebound Message Book, 4 per Page;Office Supplies;Wrap Bag;Regular Air;43687;52200;81450;29250;37;3013650;0.09;271228.5;2742421.5;1931400;811021.5</t>
  </si>
  <si>
    <t>6276-1</t>
  </si>
  <si>
    <t>Wisnu Rahmawati</t>
  </si>
  <si>
    <t>6276-1;43687;2019;Wisnu Rahmawati;Jl. K.H. Wahid Hasyim No. 4;Jakarta;Consumer;E1028;High;Colored Envelopes;Office Supplies;Small Box;Regular Air;43688;33750;55350;21600;46;2546100;0.04;101844;2444256;1552500;891756</t>
  </si>
  <si>
    <t>6278-1</t>
  </si>
  <si>
    <t>6278-1;43691;2019;Ophelia Natsir;Jalan Sukajadi No. 09;Bandung;Consumer;E1039;Not Specified;Artisan Durable Binders;Office Supplies;Small Box;Regular Air;43693;27600;43200;15600;45;1944000;0.02;38880;1905120;1242000;663120</t>
  </si>
  <si>
    <t>6278-2</t>
  </si>
  <si>
    <t>6278-2;43691;2019;Ophelia Natsir;Jalan Sukajadi No. 09;Bandung;Consumer;E1039;Not Specified;Beekin 6 Outlet Metallic Surge Strip;Office Supplies;Small Box;Regular Air;43692;66900;163350;96450;39;6370650;0.06;382239;5988411;2609100;3379311</t>
  </si>
  <si>
    <t>6280-1</t>
  </si>
  <si>
    <t>6280-1;43692;2019;Gantar Permata;Jl. Antapani Lama No. 705;Jakarta;Home Office;E1028;High;Aluminum Document Frame;Furniture;Small Pack;Regular Air;43694;82500;183300;100800;46;8431800;0.06;505908;7925892;3795000;4130892</t>
  </si>
  <si>
    <t>6280-2</t>
  </si>
  <si>
    <t>6280-2;43692;2019;Gantar Permata;Jl. Antapani Lama No. 705;Jakarta;Home Office;E1028;High;Artisan Poly Binder Pockets;Office Supplies;Small Box;Regular Air;43693;33900;53700;19800;8;429600;0.09;38664;390936;271200;119736</t>
  </si>
  <si>
    <t>6281-1</t>
  </si>
  <si>
    <t>6281-1;43692;2019;Harja Pratiwi;Gg. Jakarta No. 646;Jakarta;Consumer;E1029;Not Specified;Apex Preferred Stainless Steel Scissors;Office Supplies;Small Pack;Regular Air;43693;37500;85200;47700;25;2130000;0.1;213000;1917000;937500;979500</t>
  </si>
  <si>
    <t>6285-1</t>
  </si>
  <si>
    <t>Margana Handayani</t>
  </si>
  <si>
    <t>6285-1;43695;2019;Margana Handayani;Gg. Pacuan Kuda No. 49;Surabaya;Home Office;E1037;Medium;Artisan Heavy-Duty EZD  Binder With Locking Rings;Office Supplies;Small Box;Regular Air;43697;52800;83700;30900;13;1088100;0.06;65286;1022814;686400;336414</t>
  </si>
  <si>
    <t>6287-1</t>
  </si>
  <si>
    <t>6287-1;43698;2019;Nyana Suryatmi;Gg. Pacuan Kuda No. 49;Surabaya;Corporate;E1037;Low;Fluorescent Highlighters by DrawIt;Office Supplies;Wrap Bag;Regular Air;43702;29250;59700;30450;27;1611900;0.06;96714;1515186;789750;725436</t>
  </si>
  <si>
    <t>6288-1</t>
  </si>
  <si>
    <t>6288-1;43698;2019;Jane Gunawan;Gg. Dipenogoro No. 947;Surabaya;Corporate;E1034;Low;OIC Thumb-Tacks;Office Supplies;Wrap Bag;Regular Air;43698;10650;17100;6450;20;342000;0.09;30780;311220;213000;98220</t>
  </si>
  <si>
    <t>6290-1</t>
  </si>
  <si>
    <t>6290-1;43699;2019;Anom Januar;Gg. Cihampelas No. 423;Surabaya;Corporate;E1030;High;24 Capacity Maxi Data Binder Racks, Pearl;Office Supplies;Small Box;Regular Air;43701;1263300;3158250;1894950;4;12633000;0.05;631650;12001350;5053200;6948150</t>
  </si>
  <si>
    <t>6291-1</t>
  </si>
  <si>
    <t>6291-1;43700;2019;Respati Puspita;Gang Pelajar Pejuang No. 95;Bandung;Corporate;E1033;Not Specified;Smiths Standard Envelopes;Office Supplies;Small Box;Regular Air;43702;52800;85200;32400;34;2896800;0.06;173808;2722992;1795200;927792</t>
  </si>
  <si>
    <t>6293-1</t>
  </si>
  <si>
    <t>6293-1;43702;2019;Wardi Nasyidah;Jalan R.E Martadinata No. 6;Jakarta;Corporate;E1029;Critical;Self-Adhesive Ring Binder Labels;Office Supplies;Small Box;Regular Air;43704;32700;52800;20100;42;2217600;0.04;88704;2128896;1373400;755496</t>
  </si>
  <si>
    <t>6294-1</t>
  </si>
  <si>
    <t>6294-1;43704;2019;Paris Palastri;Jalan Pasirkoja No. 329;Surabaya;Corporate;E1040;Not Specified;Artisan 487 Labels;Office Supplies;Small Box;Regular Air;43706;34350;55350;21000;47;2601450;0.05;130072.5;2471377.5;1614450;856927.5</t>
  </si>
  <si>
    <t>6295-1</t>
  </si>
  <si>
    <t>6295-1;43704;2019;Luhung Nuraini;Gang Monginsidi No. 138;Jakarta;Small Business;E1029;Not Specified;Economy Binders;Office Supplies;Small Box;Regular Air;43706;19950;31200;11250;43;1341600;0.05;67080;1274520;857850;416670</t>
  </si>
  <si>
    <t>Lega Thamrin</t>
  </si>
  <si>
    <t>6295-1;43707;2019;Lega Thamrin;Jalan Sukabumi No. 509;Surabaya;Small Business;E1030;High;Smiths Pen Style Liquid Stix; Assorted (yellow, pink, green, blue, orange), 5/Pack;Office Supplies;Wrap Bag;Regular Air;43708;58200;97050;38850;7;679350;0.02;13587;665763;407400;258363</t>
  </si>
  <si>
    <t>6296-1</t>
  </si>
  <si>
    <t>Nabila Padmasari</t>
  </si>
  <si>
    <t>6296-1;43708;2019;Nabila Padmasari;Jalan Gedebage Selatan No. 048;Jakarta;Corporate;E1029;Not Specified;Multi-Use Personal File Cart and Caster Set, Three Stacking Bins;Office Supplies;Small Box;Regular Air;43710;224250;521400;297150;8;4171200;0;0;4171200;1794000;2377200</t>
  </si>
  <si>
    <t>6298-1</t>
  </si>
  <si>
    <t>Kasiyah Puspasari</t>
  </si>
  <si>
    <t>Gang Ronggowarsito No. 27</t>
  </si>
  <si>
    <t>6298-1;43709;2019;Kasiyah Puspasari;Gang Ronggowarsito No. 27;Surabaya;Home Office;E1035;Medium;Pizazz Colored Pencils;Office Supplies;Wrap Bag;Regular Air;43710;26400;44100;17700;31;1367100;0.04;54684;1312416;818400;494016</t>
  </si>
  <si>
    <t>6300-1</t>
  </si>
  <si>
    <t>Cinta Rahmawati</t>
  </si>
  <si>
    <t>6300-1;43711;2019;Cinta Rahmawati;Gang R.E Martadinata No. 969;Surabaya;Corporate;E1036;Critical;Aluminum Document Frame;Furniture;Small Pack;Regular Air;43712;82500;183300;100800;10;1833000;0.01;18330;1814670;825000;989670</t>
  </si>
  <si>
    <t>6301-1</t>
  </si>
  <si>
    <t>6301-1;43711;2019;Oman Sihombing;Jl. Raya Ujungberung No. 121;Bandung;Small Business;E1032;Critical;Ames Color-File Green Diamond Border X-ray Mailers;Office Supplies;Small Box;Regular Air;43711;781050;1259700;478650;46;57946200;0.06;3476772;54469428;35928300;18541128</t>
  </si>
  <si>
    <t>6302-1</t>
  </si>
  <si>
    <t>6302-1;43711;2019;Gantar Kuswoyo;Jalan Jend. A. Yani No. 48;Surabaya;Corporate;E1036;Critical;Multi-Use Personal File Cart and Caster Set, Three Stacking Bins;Office Supplies;Small Box;Regular Air;43712;224250;521400;297150;47;24505800;0.09;2205522;22300278;10539750;11760528</t>
  </si>
  <si>
    <t>6303-1</t>
  </si>
  <si>
    <t>6303-1;43712;2019;Cengkal Prastuti;Gang Setiabudhi No. 1;Bandung;Corporate;E1036;Medium;Beekin 6 Outlet Metallic Surge Strip;Office Supplies;Small Box;Regular Air;43714;66900;163350;96450;1;163350;0;0;163350;66900;96450</t>
  </si>
  <si>
    <t>6304-1</t>
  </si>
  <si>
    <t>6304-1;43712;2019;Ina Nasyidah;Jalan Pasteur No. 217;Surabaya;Home Office;E1031;Not Specified;Smiths General Use 3-Ring Binders;Office Supplies;Small Box;Regular Air;43713;17700;28200;10500;22;620400;0.09;55836;564564;389400;175164</t>
  </si>
  <si>
    <t>6306-1</t>
  </si>
  <si>
    <t>Leo Sudiati</t>
  </si>
  <si>
    <t>6306-1;43713;2019;Leo Sudiati;Jalan Kutai No. 503;Surabaya;Small Business;E1039;High;DrawIt Pizazz Watercolor Pencils, 10-Color Set with Brush;Office Supplies;Wrap Bag;Express Air;43714;35850;63900;28050;5;319500;0.01;3195;316305;179250;137055</t>
  </si>
  <si>
    <t>6307-1</t>
  </si>
  <si>
    <t>Prima Prasetyo</t>
  </si>
  <si>
    <t>6307-1;43716;2019;Prima Prasetyo;Gang Asia Afrika No. 72;Surabaya;Small Business;E1037;Medium;Airmail Envelopes;Office Supplies;Small Box;Regular Air;43717;780600;1258950;478350;5;6294750;0.04;251790;6042960;3903000;2139960</t>
  </si>
  <si>
    <t>6309-1</t>
  </si>
  <si>
    <t>Rahman Yuliarti</t>
  </si>
  <si>
    <t>Jl. Abdul Muis No. 3</t>
  </si>
  <si>
    <t>6309-1;43717;2019;Rahman Yuliarti;Jl. Abdul Muis No. 3;Surabaya;Corporate;E1037;Not Specified;Artisan Printable Repositionable Plastic Tabs;Office Supplies;Small Box;Regular Air;43717;79950;129000;49050;1;129000;0.06;7740;121260;79950;41310</t>
  </si>
  <si>
    <t>6311-1</t>
  </si>
  <si>
    <t>Dina Sitorus</t>
  </si>
  <si>
    <t>6311-1;43719;2019;Dina Sitorus;Gang Merdeka No. 298;Surabaya;Consumer;E1031;Medium;Multi-Use Personal File Cart and Caster Set, Three Stacking Bins;Office Supplies;Small Box;Regular Air;43720;224250;521400;297150;32;16684800;0.02;333696;16351104;7176000;9175104</t>
  </si>
  <si>
    <t>6313-1</t>
  </si>
  <si>
    <t>6313-1;43720;2019;Mahfud Laksita;Jl. Raya Ujungberung No. 121;Bandung;Home Office;E1032;Medium;TechSavi Internet Navigator Keyboard;Technology;Small Box;Regular Air;43720;93000;464700;371700;24;11152800;0.08;892224;10260576;2232000;8028576</t>
  </si>
  <si>
    <t>6315-1</t>
  </si>
  <si>
    <t>6315-1;43721;2019;Siska Halim;Jl. HOS. Cokroaminoto No. 1;Surabaya;Consumer;E1039;Low;Office Shears by Apex;Office Supplies;Small Pack;Regular Air;43723;14100;31200;17100;49;1528800;0.08;122304;1406496;690900;715596</t>
  </si>
  <si>
    <t>6316-1</t>
  </si>
  <si>
    <t>6316-1;43721;2019;Dwi Suartini;Gang H.J Maemunah No. 6;Bandung;Small Business;E1032;High;TechSavi Cordless Access Keyboard;Technology;Small Box;Regular Air;43724;220500;449850;229350;1;449850;0.04;17994;431856;220500;211356</t>
  </si>
  <si>
    <t>6317-1</t>
  </si>
  <si>
    <t>6317-1;43723;2019;Chandra Firmansyah;Jalan Kutai No. 503;Surabaya;Consumer;E1039;Critical;Smiths Bulk Pack Metal Binder Clips;Office Supplies;Wrap Bag;Regular Air;43725;59250;91200;31950;50;4560000;0.09;410400;4149600;2962500;1187100</t>
  </si>
  <si>
    <t>6319-1</t>
  </si>
  <si>
    <t>6319-1;43724;2019;Asman Dongoran;Gg. Jayawijaya No. 34;Surabaya;Small Business;E1031;Critical;Artisan 481 Labels;Office Supplies;Small Box;Regular Air;43725;29100;46200;17100;11;508200;0.03;15246;492954;320100;172854</t>
  </si>
  <si>
    <t>6320-1</t>
  </si>
  <si>
    <t>Radika Suartini</t>
  </si>
  <si>
    <t>6320-1;43724;2019;Radika Suartini;Jl. Moch. Toha No. 1;Surabaya;Small Business;E1041;Not Specified;OIC Thumb-Tacks;Office Supplies;Wrap Bag;Regular Air;43726;10650;17100;6450;3;51300;0.1;5130;46170;31950;14220</t>
  </si>
  <si>
    <t>6321-1</t>
  </si>
  <si>
    <t>6321-1;43732;2019;Satya Nurdiyanti;Jalan S. Parman No. 88;Bandung;Corporate;E1036;Critical;Steady Liquid Accent Tank-Style Highlighters;Office Supplies;Wrap Bag;Regular Air;43733;19650;42600;22950;9;383400;0.08;30672;352728;176850;175878</t>
  </si>
  <si>
    <t>6322-1</t>
  </si>
  <si>
    <t>6322-1;43734;2019;Aris Widiastuti;Jl. S. Parman No. 91;Surabaya;Home Office;E1034;Critical;Adesso Programmable 142-Key Keyboard;Technology;Small Box;Regular Air;43736;480300;2287200;1806900;12;27446400;0.1;2744640;24701760;5763600;18938160</t>
  </si>
  <si>
    <t>6324-1</t>
  </si>
  <si>
    <t>6324-1;43735;2019;Ayu Wastuti;Gg. M.H Thamrin No. 784;Jakarta;Home Office;E1029;Low;1726 Digital Answering Machine;Technology;Medium Box;Regular Air;43735;132300;314850;182550;2;629700;0.01;6297;623403;264600;358803</t>
  </si>
  <si>
    <t>6325-1</t>
  </si>
  <si>
    <t>6325-1;43735;2019;Jasmani Zulkarnain;Jl. Pasir Koja No. 059;Surabaya;Home Office;E1032;High;Adesso Programmable 142-Key Keyboard;Technology;Small Box;Regular Air;43737;480300;2287200;1806900;37;84626400;0.1;8462640;76163760;17771100;58392660</t>
  </si>
  <si>
    <t>6325-2</t>
  </si>
  <si>
    <t>6325-2;43735;2019;Jasmani Zulkarnain;Jl. Pasir Koja No. 059;Surabaya;Home Office;E1032;High;Laser DVD-RAM discs;Technology;Small Pack;Regular Air;43737;302700;531150;228450;30;15934500;0.08;1274760;14659740;9081000;5578740</t>
  </si>
  <si>
    <t>6327-1</t>
  </si>
  <si>
    <t>Enteng Widodo</t>
  </si>
  <si>
    <t>6327-1;43735;2019;Enteng Widodo;Jalan Jayawijaya No. 5;Surabaya;Corporate;E1033;Critical;Multimedia Mailers;Office Supplies;Small Box;Express Air;43736;1490850;2443950;953100;36;87982200;0.05;4399110;83583090;53670600;29912490</t>
  </si>
  <si>
    <t>6328-1</t>
  </si>
  <si>
    <t>6328-1;43735;2019;Ayu Wastuti;Gg. M.H Thamrin No. 784;Jakarta;Home Office;E1029;Low;OIC Thumb-Tacks;Office Supplies;Wrap Bag;Regular Air;43740;10650;17100;6450;31;530100;0.07;37107;492993;330150;162843</t>
  </si>
  <si>
    <t>6329-1</t>
  </si>
  <si>
    <t>6329-1;43736;2019;Janet Riyanti;Jalan Otto Iskandardinata No. 1;Surabaya;Home Office;E1032;Low;Artisan Flip-Chart Easel Binder, Black;Office Supplies;Small Box;Regular Air;43738;208200;335700;127500;11;3692700;0.01;36927;3655773;2290200;1365573</t>
  </si>
  <si>
    <t>6330-1</t>
  </si>
  <si>
    <t>6330-1;43736;2019;Saiful Putra;Gg. Siliwangi No. 82;Surabaya;Corporate;E1036;Not Specified;Steady EarthWrite Recycled Pencils, Medium Soft, #2;Office Supplies;Wrap Bag;Express Air;43738;13500;31500;18000;31;976500;0.08;78120;898380;418500;479880</t>
  </si>
  <si>
    <t>6332-1</t>
  </si>
  <si>
    <t>6332-1;43739;2019;Margana Handayani;Gg. Pacuan Kuda No. 49;Surabaya;Home Office;E1037;Low;UGen RF Keyboard;Technology;Small Box;Regular Air;43741;1223850;2399850;1176000;31;74395350;0.01;743953.5;73651396.5;37939350;35712046.5</t>
  </si>
  <si>
    <t>6333-1</t>
  </si>
  <si>
    <t>Laila Tarihoran</t>
  </si>
  <si>
    <t>6333-1;43740;2019;Laila Tarihoran;Gg. Stasiun Wonokromo No. 324;Surabaya;Consumer;E1034;Medium;Apex Preferred Stainless Steel Scissors;Office Supplies;Small Pack;Regular Air;43741;37500;85200;47700;27;2300400;0.03;69012;2231388;1012500;1218888</t>
  </si>
  <si>
    <t>6335-1</t>
  </si>
  <si>
    <t>Timbul Marpaung</t>
  </si>
  <si>
    <t>6335-1;43741;2019;Timbul Marpaung;Gang Ciwastra No. 43;Surabaya;Consumer;E1040;High;DrawIt Colored Pencils, 48-Color Set;Office Supplies;Wrap Bag;Regular Air;43742;323400;548250;224850;34;18640500;0.1;1864050;16776450;10995600;5780850</t>
  </si>
  <si>
    <t>6336-1</t>
  </si>
  <si>
    <t>6336-1;43741;2019;Nilam Prastuti;Gang Asia Afrika No. 96;Surabaya;Consumer;E1036;Medium;Pizazz Drawing Pencil Set;Office Supplies;Wrap Bag;Express Air;43741;22950;41700;18750;47;1959900;0.1;195990;1763910;1078650;685260</t>
  </si>
  <si>
    <t>6336-2</t>
  </si>
  <si>
    <t>6336-2;43741;2019;Nilam Prastuti;Gang Asia Afrika No. 96;Surabaya;Consumer;E1036;Medium;Smiths Metal Binder Clips;Office Supplies;Wrap Bag;Regular Air;43744;24000;39300;15300;30;1179000;0.05;58950;1120050;720000;400050</t>
  </si>
  <si>
    <t>6337-1</t>
  </si>
  <si>
    <t>6337-1;43746;2019;Latika Siregar;Jalan S. Parman No. 88;Bandung;Corporate;E1036;Not Specified;Wirebound Voice Message Log Book;Office Supplies;Wrap Bag;Regular Air;43748;43500;71400;27900;5;357000;0.09;32130;324870;217500;107370</t>
  </si>
  <si>
    <t>6338-1</t>
  </si>
  <si>
    <t>6338-1;43749;2019;Cawuk Fujiati;Jl. S. Parman No. 38;Surabaya;Corporate;E1033;Medium;Artisan Durable Binders;Office Supplies;Small Box;Regular Air;43751;27600;43200;15600;25;1080000;0.04;43200;1036800;690000;346800</t>
  </si>
  <si>
    <t>6339-1</t>
  </si>
  <si>
    <t>6339-1;43750;2019;Bambang Rajata;Gang K.H. Wahid Hasyim No. 1;Bandung;Small Business;E1032;Low;Alto Memo Cubes;Office Supplies;Wrap Bag;Express Air;43755;49800;77700;27900;1;77700;0.02;1554;76146;49800;26346</t>
  </si>
  <si>
    <t>6339-2</t>
  </si>
  <si>
    <t>6339-2;43750;2019;Bambang Rajata;Gang K.H. Wahid Hasyim No. 1;Bandung;Small Business;E1032;Low;Artisan Hi-Liter Smear-Safe Highlighters;Office Supplies;Wrap Bag;Regular Air;43754;44700;87600;42900;4;350400;0.09;31536;318864;178800;140064</t>
  </si>
  <si>
    <t>6340-1</t>
  </si>
  <si>
    <t>6340-1;43750;2019;Unggul Megantara;Gang Otto Iskandardinata No. 167;Surabaya;Corporate;E1037;Critical;Artisan 478 Labels;Office Supplies;Small Box;Regular Air;43752;47100;73650;26550;28;2062200;0.08;164976;1897224;1318800;578424</t>
  </si>
  <si>
    <t>6342-1</t>
  </si>
  <si>
    <t>Niyaga Laksita</t>
  </si>
  <si>
    <t>6342-1;43751;2019;Niyaga Laksita;Gg. Suniaraja No. 21;Surabaya;Consumer;E1031;Low;Artisan Flip-Chart Easel Binder, Black;Office Supplies;Small Box;Regular Air;43753;208200;335700;127500;9;3021300;0.03;90639;2930661;1873800;1056861</t>
  </si>
  <si>
    <t>6343-1</t>
  </si>
  <si>
    <t>6343-1;43751;2019;Eka Sitorus;Jalan Rumah Sakit No. 287;Surabaya;Corporate;E1032;High;Bagged Rubber Bands;Office Supplies;Wrap Bag;Regular Air;43752;3600;18900;15300;47;888300;0;0;888300;169200;719100</t>
  </si>
  <si>
    <t>6345-1</t>
  </si>
  <si>
    <t>6345-1;43753;2019;Mahdi Rajata;Jl. Pasir Koja No. 059;Surabaya;Home Office;E1032;High;Artisan 474 Labels;Office Supplies;Small Box;Regular Air;43755;27600;43200;15600;18;777600;0.03;23328;754272;496800;257472</t>
  </si>
  <si>
    <t>6346-1</t>
  </si>
  <si>
    <t>6346-1;43753;2019;Kezia Astuti;Jalan Gegerkalong Hilir No. 763;Surabaya;Corporate;E1030;Critical;Smiths Metal Binder Clips;Office Supplies;Wrap Bag;Regular Air;43755;24000;39300;15300;16;628800;0.09;56592;572208;384000;188208</t>
  </si>
  <si>
    <t>6347-1</t>
  </si>
  <si>
    <t>Vinsen Widodo</t>
  </si>
  <si>
    <t>6347-1;43753;2019;Vinsen Widodo;Jalan Jayawijaya No. 5;Surabaya;Home Office;E1033;Low;Aluminum Document Frame;Furniture;Small Pack;Regular Air;43760;82500;183300;100800;46;8431800;0.03;252954;8178846;3795000;4383846</t>
  </si>
  <si>
    <t>6348-1</t>
  </si>
  <si>
    <t>6348-1;43754;2019;Ajiono Setiawan;Jl. Sadang Serang No. 015;Surabaya;Home Office;E1036;Medium;Assorted Color Push Pins;Office Supplies;Wrap Bag;Regular Air;43756;13050;27150;14100;50;1357500;0.08;108600;1248900;652500;596400</t>
  </si>
  <si>
    <t>6349-1</t>
  </si>
  <si>
    <t>6349-1;43756;2019;Tantri Hutapea;Jalan PHH. Mustofa No. 625;Surabaya;Home Office;E1034;Not Specified;Artisan Poly Binder Pockets;Office Supplies;Small Box;Express Air;43758;33900;53700;19800;36;1933200;0.04;77328;1855872;1220400;635472</t>
  </si>
  <si>
    <t>6351-1</t>
  </si>
  <si>
    <t>Puji Waskita</t>
  </si>
  <si>
    <t>6351-1;43758;2019;Puji Waskita;Jl. Ciwastra No. 543;Jakarta;Home Office;E1029;High;Pizazz Dustless Chalk Sticks;Office Supplies;Wrap Bag;Regular Air;43759;16350;25200;8850;50;1260000;0.09;113400;1146600;817500;329100</t>
  </si>
  <si>
    <t>6352-1</t>
  </si>
  <si>
    <t>Wawan Haryanti</t>
  </si>
  <si>
    <t>6352-1;43762;2019;Wawan Haryanti;Gg. Surapati No. 4;Surabaya;Home Office;E1031;Medium;Wirebound Message Book, 4 per Page;Office Supplies;Wrap Bag;Regular Air;43763;52200;81450;29250;2;162900;0.03;4887;158013;104400;53613</t>
  </si>
  <si>
    <t>6353-1</t>
  </si>
  <si>
    <t>Umi Marbun</t>
  </si>
  <si>
    <t>6353-1;43763;2019;Umi Marbun;Gang Monginsidi No. 138;Jakarta;Small Business;E1029;Medium;Artisan Hanging File Binders;Office Supplies;Small Box;Regular Air;43764;54750;89700;34950;22;1973400;0.07;138138;1835262;1204500;630762</t>
  </si>
  <si>
    <t>6354-1</t>
  </si>
  <si>
    <t>6354-1;43767;2019;Halim Jailani;Gg. Monginsidi No. 3;Jakarta;Home Office;E1029;High;Adesso Programmable 142-Key Keyboard;Technology;Small Box;Regular Air;43769;480300;2287200;1806900;2;4574400;0.03;137232;4437168;960600;3476568</t>
  </si>
  <si>
    <t>6355-1</t>
  </si>
  <si>
    <t>6355-1;43768;2019;Diah Prakasa;Jl. Pasir Koja No. 2;Bandung;Corporate;E1033;Not Specified;Steady Pocket Accent Highlighters;Office Supplies;Wrap Bag;Regular Air;43769;13950;24000;10050;39;936000;0.1;93600;842400;544050;298350</t>
  </si>
  <si>
    <t>6356-1</t>
  </si>
  <si>
    <t>HFX 610 Color Digital Copier / Printer</t>
  </si>
  <si>
    <t>6356-1;43778;2019;Artawan Mahendra;Gang Dipatiukur No. 24;Surabaya;Home Office;E1034;Critical;HFX 610 Color Digital Copier / Printer;Technology;Large Box;Regular Air;43780;4049850;6749850;2700000;3;20249550;0.06;1214973;19034577;12149550;6885027</t>
  </si>
  <si>
    <t>6358-1</t>
  </si>
  <si>
    <t>6358-1;43779;2019;Danuja Prayoga;Gg. Pacuan Kuda No. 49;Surabaya;Home Office;E1037;Medium;Artisan Flip-Chart Easel Binder, Black;Office Supplies;Small Box;Regular Air;43781;208200;335700;127500;18;6042600;0.05;302130;5740470;3747600;1992870</t>
  </si>
  <si>
    <t>6359-1</t>
  </si>
  <si>
    <t>6359-1;43784;2019;Rahmi Prabowo;Gg. Joyoboyo No. 8;Jakarta;Home Office;E1028;Not Specified;Deluxe Rollaway Locking File with Drawer;Office Supplies;Small Box;Regular Air;43786;2682450;6238200;3555750;4;24952800;0.04;998112;23954688;10729800;13224888</t>
  </si>
  <si>
    <t>6361-1</t>
  </si>
  <si>
    <t>Galih Halim</t>
  </si>
  <si>
    <t>6361-1;43785;2019;Galih Halim;Gang Otto Iskandardinata No. 167;Surabaya;Small Business;E1037;Not Specified;Smiths SlimLine Pencil Sharpener;Office Supplies;Small Pack;Regular Air;43786;71850;179550;107700;49;8797950;0.09;791815.5;8006134.5;3520650;4485484.5</t>
  </si>
  <si>
    <t>6362-1</t>
  </si>
  <si>
    <t>Vero Kusumo</t>
  </si>
  <si>
    <t>6362-1;43786;2019;Vero Kusumo;Jl. S. Parman No. 38;Surabaya;Corporate;E1033;High;UGen Ultra Cordless Optical Suite;Technology;Small Box;Regular Air;43788;817800;1514550;696750;41;62096550;0.03;1862896.5;60233653.5;33529800;26703853.5</t>
  </si>
  <si>
    <t>6364-1</t>
  </si>
  <si>
    <t>6364-1;43787;2019;Kamila Sinaga;Gang H.J Maemunah No. 6;Surabaya;Corporate;E1039;High;Pizazz Drawing Pencil Set;Office Supplies;Wrap Bag;Regular Air;43788;17550;41700;24150;6;250200;0.01;2502;247698;105300;142398</t>
  </si>
  <si>
    <t>6365-1</t>
  </si>
  <si>
    <t>Kuncara Melani</t>
  </si>
  <si>
    <t>6365-1;43789;2019;Kuncara Melani;Jl. Gardujati No. 82;Surabaya;Consumer;E1037;Not Specified;Airmail Envelopes;Office Supplies;Small Box;Regular Air;43790;780600;1258950;478350;37;46581150;0.03;1397434.5;45183715.5;28882200;16301515.5</t>
  </si>
  <si>
    <t>6367-1</t>
  </si>
  <si>
    <t>Siti Anggraini</t>
  </si>
  <si>
    <t>6367-1;43790;2019;Siti Anggraini;Gang Asia Afrika No. 72;Surabaya;Home Office;E1037;High;Artisan Binder Labels;Office Supplies;Small Box;Regular Air;43791;36750;58350;21600;18;1050300;0.04;42012;1008288;661500;346788</t>
  </si>
  <si>
    <t>6369-1</t>
  </si>
  <si>
    <t>6369-1;43793;2019;Karna Sinaga;Jalan Indragiri No. 077;Surabaya;Consumer;E1030;High;Artisan 487 Labels;Office Supplies;Small Box;Regular Air;43795;34350;55350;21000;13;719550;0.04;28782;690768;446550;244218</t>
  </si>
  <si>
    <t>6370-1</t>
  </si>
  <si>
    <t>6370-1;43793;2019;Keisha Hutasoit;Gang Jend. A. Yani No. 7;Surabaya;Corporate;E1030;Medium;Bagged Rubber Bands;Office Supplies;Wrap Bag;Regular Air;43795;3600;18900;15300;34;642600;0;0;642600;122400;520200</t>
  </si>
  <si>
    <t>6371-1</t>
  </si>
  <si>
    <t>6371-1;43797;2019;Opung Saptono;Jl. Medokan Ayu No. 7;Surabaya;Corporate;E1038;Low;Artisan Binder Labels;Office Supplies;Small Box;Express Air;43802;36750;58350;21600;30;1750500;0.09;157545;1592955;1102500;490455</t>
  </si>
  <si>
    <t>6373-1</t>
  </si>
  <si>
    <t>6373-1;43799;2019;Kamidin Saptono;Gang Monginsidi No. 138;Jakarta;Consumer;E1029;High;Wirebound Voice Message Log Book;Office Supplies;Wrap Bag;Regular Air;43800;43500;71400;27900;1;71400;0.02;1428;69972;43500;26472</t>
  </si>
  <si>
    <t>6374-1</t>
  </si>
  <si>
    <t>6374-1;43800;2019;Mahfud Laksita;Jl. Raya Ujungberung No. 121;Bandung;Home Office;E1032;High;Angle-D Binders with Locking Rings, Label Holders;Office Supplies;Small Box;Express Air;43802;67950;109500;41550;41;4489500;0.05;224475;4265025;2785950;1479075</t>
  </si>
  <si>
    <t>6376-1</t>
  </si>
  <si>
    <t>6376-1;43800;2019;Ayu Wastuti;Gg. M.H Thamrin No. 784;Jakarta;Home Office;E1029;Low;Colored Envelopes;Office Supplies;Small Box;Regular Air;43804;33750;55350;21600;16;885600;0.02;17712;867888;540000;327888</t>
  </si>
  <si>
    <t>6377-1</t>
  </si>
  <si>
    <t>6377-1;43802;2019;Garang Kuswoyo;Jl. Antapani Lama No. 705;Jakarta;Consumer;E1028;Low;Smiths Bulldog Clip;Office Supplies;Wrap Bag;Regular Air;43807;34650;56700;22050;28;1587600;0.06;95256;1492344;970200;522144</t>
  </si>
  <si>
    <t>6379-1</t>
  </si>
  <si>
    <t>6379-1;43805;2019;Bakti Simbolon;Jl. R.E Martadinata No. 18;Surabaya;Corporate;E1039;Not Specified;PastelOcean Color Pencil Set;Office Supplies;Wrap Bag;Regular Air;43807;166650;297600;130950;22;6547200;0.06;392832;6154368;3666300;2488068</t>
  </si>
  <si>
    <t>6380-1</t>
  </si>
  <si>
    <t>6380-1;43806;2019;Yoga Lestari;Jl. Gardujati No. 178;Surabaya;Home Office;E1031;Low;600 Series Non-Flip;Technology;Small Box;Regular Air;43806;296700;689850;393150;46;31733100;0.1;3173310;28559790;13648200;14911590</t>
  </si>
  <si>
    <t>6382-1</t>
  </si>
  <si>
    <t>6382-1;43806;2019;Rafid Rahayu;Jalan Astana Anyar No. 41;Jakarta;Small Business;E1028;Not Specified;Artisan 479 Labels;Office Supplies;Small Box;Regular Air;43809;23850;39150;15300;34;1331100;0;0;1331100;810900;520200</t>
  </si>
  <si>
    <t>6384-1</t>
  </si>
  <si>
    <t>6384-1;43806;2019;Bahuwarna Winarsih;Jl. Pasir Koja No. 08;Bandung;Home Office;E1041;Low;HFX LaserJet 3310 Copier;Technology;Large Box;Regular Air;43815;5669850;8999850;3330000;16;143997600;0;0;143997600;90717600;53280000</t>
  </si>
  <si>
    <t>6384-2</t>
  </si>
  <si>
    <t>6384-2;43806;2019;Bahuwarna Winarsih;Jl. Pasir Koja No. 08;Bandung;Home Office;E1041;Low;PastelOcean Color Pencil Set;Office Supplies;Wrap Bag;Regular Air;43815;166650;297600;130950;39;11606400;0.01;116064;11490336;6499350;4990986</t>
  </si>
  <si>
    <t>6387-1</t>
  </si>
  <si>
    <t>6387-1;43806;2019;Jane Gunawan;Gg. Dipenogoro No. 947;Surabaya;Small Business;E1034;Medium;Pizazz Drawing Pencil Set;Office Supplies;Wrap Bag;Regular Air;43806;22950;41700;18750;23;959100;0.01;9591;949509;527850;421659</t>
  </si>
  <si>
    <t>6388-1</t>
  </si>
  <si>
    <t>6388-1;43806;2019;Bakidin Anggraini;Jl. Rumah Sakit No. 738;Jakarta;Corporate;E1028;Medium;TypeRight  Top-Opening Peel &amp; Seel Envelopes, Plain White;Office Supplies;Small Box;Regular Air;43807;252750;407700;154950;50;20385000;0.02;407700;19977300;12637500;7339800</t>
  </si>
  <si>
    <t>6389-1</t>
  </si>
  <si>
    <t>6389-1;43809;2019;Arta Lestari;Jl. S. Parman No. 91;Surabaya;Corporate;E1034;High;Apex Straight Scissors;Office Supplies;Small Pack;Express Air;43810;77850;194700;116850;42;8177400;0.05;408870;7768530;3269700;4498830</t>
  </si>
  <si>
    <t>6390-1</t>
  </si>
  <si>
    <t>6390-1;43813;2019;Timbul Marpaung;Gang Ciwastra No. 43;Surabaya;Consumer;E1040;Critical;Alto Memo Cubes;Office Supplies;Wrap Bag;Regular Air;43815;49800;77700;27900;32;2486400;0.06;149184;2337216;1593600;743616</t>
  </si>
  <si>
    <t>6391-1</t>
  </si>
  <si>
    <t>Widya Setiawan</t>
  </si>
  <si>
    <t>6391-1;43816;2019;Widya Setiawan;Gang Cikapayang No. 055;Surabaya;Corporate;E1040;Not Specified;TechSavi Access Keyboard;Technology;Small Box;Regular Air;43818;151050;239700;88650;30;7191000;0.08;575280;6615720;4531500;2084220</t>
  </si>
  <si>
    <t>6392-1</t>
  </si>
  <si>
    <t>Daliman Sitorus</t>
  </si>
  <si>
    <t>6392-1;43817;2019;Daliman Sitorus;Jl. R.E Martadinata No. 18;Surabaya;Small Business;E1039;Medium;Artisan 48 Labels;Office Supplies;Small Box;Regular Air;43820;57600;94500;36900;40;3780000;0.04;151200;3628800;2304000;1324800</t>
  </si>
  <si>
    <t>6393-1</t>
  </si>
  <si>
    <t>6393-1;43818;2019;Eja Aryani;Jl. Dipenogoro No. 447;Surabaya;Consumer;E1039;Medium;Smiths Bulldog Clip;Office Supplies;Wrap Bag;Regular Air;43820;34650;56700;22050;38;2154600;0.03;64638;2089962;1316700;773262</t>
  </si>
  <si>
    <t>6394-1</t>
  </si>
  <si>
    <t>6394-1;43819;2019;Ega Rajata;Gang Asia Afrika No. 96;Surabaya;Home Office;E1036;Medium;300 Series Non-Flip;Technology;Small Box;Express Air;43821;936000;2339850;1403850;22;51476700;0.02;1029534;50447166;20592000;29855166</t>
  </si>
  <si>
    <t>6395-1</t>
  </si>
  <si>
    <t>6395-1;43819;2019;Cakrawala Yuniar;Jalan Jend. A. Yani No. 48;Surabaya;Small Business;E1036;High;Artisan Hi-Liter GlideStik Fluorescent Highlighter, Yellow Ink;Office Supplies;Wrap Bag;Regular Air;43821;28800;48900;20100;38;1858200;0.02;37164;1821036;1094400;726636</t>
  </si>
  <si>
    <t>6396-1</t>
  </si>
  <si>
    <t>6396-1;43826;2019;Labuh Permata;Jalan Jend. A. Yani No. 48;Surabaya;Small Business;E1036;Low;Smiths File Caddy;Office Supplies;Small Box;Express Air;43833;60450;140700;80250;46;6472200;0.09;582498;5889702;2780700;3109002</t>
  </si>
  <si>
    <t>6397-1</t>
  </si>
  <si>
    <t>Bancar Mulyani</t>
  </si>
  <si>
    <t>6397-1;43827;2019;Bancar Mulyani;Jl. Antapani Lama No. 705;Jakarta;Home Office;E1028;High;Pizazz Colored Pencils;Office Supplies;Wrap Bag;Regular Air;43829;26400;44100;17700;26;1146600;0.03;34398;1112202;686400;425802</t>
  </si>
  <si>
    <t>6399-1</t>
  </si>
  <si>
    <t>6399-1;43828;2019;Kiandra Salahudin;Jalan Raya Ujungberung No. 5;Surabaya;Small Business;E1037;High;Emerson LQ-870 Dot Matrix Printer;Technology;Jumbo Drum;Delivery Truck;43829;3294150;8034600;4740450;44;353522400;0.03;10605672;342916728;144942600;197974128</t>
  </si>
  <si>
    <t>6401-1</t>
  </si>
  <si>
    <t>6401-1;43830;2019;Cawuk Pradipta;Gang Jakarta No. 938;Surabaya;Home Office;E1036;Low;Beekin 105-Key Black Keyboard;Technology;Small Box;Regular Air;43832;95850;299700;203850;44;13186800;0.03;395604;12791196;4217400;8573796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</si>
  <si>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</si>
  <si>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</si>
  <si>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</si>
  <si>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</si>
  <si>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</si>
  <si>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</si>
  <si>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</si>
  <si>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</si>
  <si>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Among Firmansyah</t>
  </si>
  <si>
    <t>6415-1</t>
  </si>
  <si>
    <t>6417-1</t>
  </si>
  <si>
    <t>Gang Jend. A. Yani No. 75</t>
  </si>
  <si>
    <t>6417-2</t>
  </si>
  <si>
    <t>Gg. Gedebage Selatan No. 794</t>
  </si>
  <si>
    <t>6418-1</t>
  </si>
  <si>
    <t>6422-1</t>
  </si>
  <si>
    <t>6423-1</t>
  </si>
  <si>
    <t>6425-1</t>
  </si>
  <si>
    <t>6426-1</t>
  </si>
  <si>
    <t>Galih Mustofa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</si>
  <si>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</si>
  <si>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</si>
  <si>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</si>
  <si>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</si>
  <si>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</si>
  <si>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</si>
  <si>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</si>
  <si>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</si>
  <si>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Aditya Uyainah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</si>
  <si>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</si>
  <si>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</si>
  <si>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</si>
  <si>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</si>
  <si>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</si>
  <si>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</si>
  <si>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</si>
  <si>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</si>
  <si>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</si>
  <si>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</si>
  <si>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</si>
  <si>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</si>
  <si>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</si>
  <si>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</si>
  <si>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Laila Anggraini</t>
  </si>
  <si>
    <t>6461-1</t>
  </si>
  <si>
    <t>6463-1</t>
  </si>
  <si>
    <t>Wulan Hariyah</t>
  </si>
  <si>
    <t>6465-1</t>
  </si>
  <si>
    <t>Rizki Firgantoro</t>
  </si>
  <si>
    <t>6467-1</t>
  </si>
  <si>
    <t>6469-1</t>
  </si>
  <si>
    <t>6471-1</t>
  </si>
  <si>
    <t>6472-1</t>
  </si>
  <si>
    <t>Rendy Firmansyah</t>
  </si>
  <si>
    <t>6473-1</t>
  </si>
  <si>
    <t>6475-1</t>
  </si>
  <si>
    <t>6477-1</t>
  </si>
  <si>
    <t>Gaduh Marbun</t>
  </si>
  <si>
    <t>6479-1</t>
  </si>
  <si>
    <t>Pangestu Rajata</t>
  </si>
  <si>
    <t>6480-1</t>
  </si>
  <si>
    <t>Tri Rahmawati</t>
  </si>
  <si>
    <t>6482-1</t>
  </si>
  <si>
    <t>6483-1</t>
  </si>
  <si>
    <t>6484-1</t>
  </si>
  <si>
    <t>Farah Maheswara</t>
  </si>
  <si>
    <t>6485-1</t>
  </si>
  <si>
    <t>6487-1</t>
  </si>
  <si>
    <t>6489-1</t>
  </si>
  <si>
    <t>Rangga Budiman</t>
  </si>
  <si>
    <t>6491-1</t>
  </si>
  <si>
    <t>Kania Kuswandari</t>
  </si>
  <si>
    <t>Gg. Dipatiukur No. 002</t>
  </si>
  <si>
    <t>6493-1</t>
  </si>
  <si>
    <t>Hartana Nurdiyanti</t>
  </si>
  <si>
    <t>6495-1</t>
  </si>
  <si>
    <t>6496-1</t>
  </si>
  <si>
    <t>6497-1</t>
  </si>
  <si>
    <t>6498-1</t>
  </si>
  <si>
    <t>Anita Halim</t>
  </si>
  <si>
    <t>6499-1</t>
  </si>
  <si>
    <t>Olga Irawan</t>
  </si>
  <si>
    <t>6500-1</t>
  </si>
  <si>
    <t>6502-1</t>
  </si>
  <si>
    <t>Ulya Agustina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</si>
  <si>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</si>
  <si>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</si>
  <si>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</si>
  <si>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</si>
  <si>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</si>
  <si>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</si>
  <si>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</si>
  <si>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</si>
  <si>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</si>
  <si>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Hardi Prayoga</t>
  </si>
  <si>
    <t>6512-1</t>
  </si>
  <si>
    <t>6514-1</t>
  </si>
  <si>
    <t>6515-1</t>
  </si>
  <si>
    <t>6515-2</t>
  </si>
  <si>
    <t>6517-1</t>
  </si>
  <si>
    <t>Zelaya Maryati</t>
  </si>
  <si>
    <t>6521-1</t>
  </si>
  <si>
    <t>6523-1</t>
  </si>
  <si>
    <t>6525-1</t>
  </si>
  <si>
    <t>6526-1</t>
  </si>
  <si>
    <t>6527-1</t>
  </si>
  <si>
    <t xml:space="preserve"> Profit Margin</t>
  </si>
  <si>
    <t>Sum of Total Revenue</t>
  </si>
  <si>
    <t>Grand Total</t>
  </si>
  <si>
    <t>Sum of Margin Total</t>
  </si>
  <si>
    <t>Sum of COGS Total</t>
  </si>
  <si>
    <t>Sum of Order Quantity</t>
  </si>
  <si>
    <t>Row Labels</t>
  </si>
  <si>
    <t>Sum of Discount %</t>
  </si>
  <si>
    <t>Sum of Discount Rp</t>
  </si>
  <si>
    <t>Sum of Cost Price</t>
  </si>
  <si>
    <t>Pruduct name</t>
  </si>
  <si>
    <t>Column Labels</t>
  </si>
  <si>
    <t>Tahun</t>
  </si>
  <si>
    <t xml:space="preserve">Kota </t>
  </si>
  <si>
    <t>Kota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</si>
</sst>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#,##0_);[Red]\(&quot; &quot;#,##0\)"/>
    <numFmt numFmtId="165" formatCode="_-* #,##0_-;\-* #,##0_-;_-* &quot;-&quot;??_-;_-@"/>
  </numFmts>
  <fonts count="6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8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0" fillId="0" fontId="2" numFmtId="0" xfId="0" applyFont="1"/>
    <xf borderId="0" fillId="0" fontId="3" numFmtId="0" xfId="0" applyFont="1"/>
    <xf borderId="0" fillId="0" fontId="4" numFmtId="14" xfId="0" applyFont="1" applyNumberForma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4" xfId="0" applyFont="1" applyNumberFormat="1"/>
    <xf borderId="0" fillId="0" fontId="4" numFmtId="9" xfId="0" applyFont="1" applyNumberForma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165" xfId="0" applyFont="1" applyNumberFormat="1"/>
    <xf borderId="0" fillId="0" fontId="2" numFmtId="9" xfId="0" applyAlignment="1" applyFont="1" applyNumberFormat="1">
      <alignment horizontal="left"/>
    </xf>
    <xf borderId="0" fillId="0" fontId="3" numFmtId="164" xfId="0" applyFont="1" applyNumberFormat="1"/>
    <xf borderId="0" fillId="0" fontId="2" numFmtId="9" xfId="0" applyFont="1" applyNumberFormat="1"/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right"/>
    </xf>
    <xf borderId="0" fillId="0" fontId="2" numFmtId="9" xfId="0" applyAlignment="1" applyFont="1" applyNumberForma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Order quantity pertahun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'source dashboard'!$K$21:$K$25</c:f>
            </c:strRef>
          </c:cat>
          <c:val>
            <c:numRef>
              <c:f>'source dashboard'!$L$21:$L$25</c:f>
              <c:numCache/>
            </c:numRef>
          </c:val>
          <c:smooth val="0"/>
        </c:ser>
        <c:axId val="1724254251"/>
        <c:axId val="1602233267"/>
      </c:lineChart>
      <c:catAx>
        <c:axId val="1724254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602233267"/>
      </c:catAx>
      <c:valAx>
        <c:axId val="1602233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25425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total Profit Margin produk </a:t>
            </a:r>
          </a:p>
        </c:rich>
      </c:tx>
      <c:layout>
        <c:manualLayout>
          <c:xMode val="edge"/>
          <c:yMode val="edge"/>
          <c:x val="0.0965502725024479"/>
          <c:y val="0.005375077588931667"/>
        </c:manualLayout>
      </c:layout>
      <c:overlay val="0"/>
    </c:title>
    <c:plotArea>
      <c:layout>
        <c:manualLayout>
          <c:xMode val="edge"/>
          <c:yMode val="edge"/>
          <c:x val="0.13211267790847595"/>
          <c:y val="0.19651027518994513"/>
          <c:w val="0.4391699620454463"/>
          <c:h val="0.6550557983555394"/>
        </c:manualLayout>
      </c:layout>
      <c:pieChart>
        <c:varyColors val="1"/>
        <c:ser>
          <c:idx val="0"/>
          <c:order val="0"/>
          <c:tx>
            <c:strRef>
              <c:f>'source dashboard'!$B$1:$B$2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'source dashboard'!$A$3:$A$5</c:f>
            </c:strRef>
          </c:cat>
          <c:val>
            <c:numRef>
              <c:f>'source dashboard'!$B$3:$B$5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total Profit Margin produk </a:t>
            </a:r>
          </a:p>
        </c:rich>
      </c:tx>
      <c:layout>
        <c:manualLayout>
          <c:xMode val="edge"/>
          <c:yMode val="edge"/>
          <c:x val="0.09655041891167783"/>
          <c:y val="0.011535048298652721"/>
        </c:manualLayout>
      </c:layout>
      <c:overlay val="0"/>
    </c:title>
    <c:plotArea>
      <c:layout>
        <c:manualLayout>
          <c:xMode val="edge"/>
          <c:yMode val="edge"/>
          <c:x val="0.13211267790847595"/>
          <c:y val="0.19651027518994513"/>
          <c:w val="0.4391699620454463"/>
          <c:h val="0.6550557983555394"/>
        </c:manualLayout>
      </c:layout>
      <c:pieChart>
        <c:varyColors val="1"/>
        <c:ser>
          <c:idx val="0"/>
          <c:order val="0"/>
          <c:tx>
            <c:strRef>
              <c:f>'source dashboard'!$B$1:$B$2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'source dashboard'!$A$3:$A$5</c:f>
            </c:strRef>
          </c:cat>
          <c:val>
            <c:numRef>
              <c:f>'source dashboard'!$B$3:$B$5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7.png"/><Relationship Id="rId13" Type="http://schemas.openxmlformats.org/officeDocument/2006/relationships/image" Target="../media/image4.png"/><Relationship Id="rId12" Type="http://schemas.openxmlformats.org/officeDocument/2006/relationships/image" Target="../media/image12.png"/><Relationship Id="rId1" Type="http://schemas.openxmlformats.org/officeDocument/2006/relationships/chart" Target="../charts/chart3.xml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image" Target="../media/image6.png"/><Relationship Id="rId15" Type="http://schemas.openxmlformats.org/officeDocument/2006/relationships/image" Target="../media/image13.png"/><Relationship Id="rId14" Type="http://schemas.openxmlformats.org/officeDocument/2006/relationships/image" Target="../media/image15.png"/><Relationship Id="rId5" Type="http://schemas.openxmlformats.org/officeDocument/2006/relationships/image" Target="../media/image10.png"/><Relationship Id="rId6" Type="http://schemas.openxmlformats.org/officeDocument/2006/relationships/image" Target="../media/image9.png"/><Relationship Id="rId7" Type="http://schemas.openxmlformats.org/officeDocument/2006/relationships/image" Target="../media/image2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1009650</xdr:colOff>
      <xdr:row>25</xdr:row>
      <xdr:rowOff>76200</xdr:rowOff>
    </xdr:from>
    <xdr:ext cx="4724400" cy="2000250"/>
    <xdr:graphicFrame>
      <xdr:nvGraphicFramePr>
        <xdr:cNvPr id="17402594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85725</xdr:colOff>
      <xdr:row>5</xdr:row>
      <xdr:rowOff>133350</xdr:rowOff>
    </xdr:from>
    <xdr:ext cx="6134100" cy="2219325"/>
    <xdr:graphicFrame>
      <xdr:nvGraphicFramePr>
        <xdr:cNvPr id="204669743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514350</xdr:colOff>
      <xdr:row>0</xdr:row>
      <xdr:rowOff>38100</xdr:rowOff>
    </xdr:from>
    <xdr:ext cx="3190875" cy="2114550"/>
    <xdr:graphicFrame>
      <xdr:nvGraphicFramePr>
        <xdr:cNvPr id="1686332048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47625</xdr:rowOff>
    </xdr:from>
    <xdr:ext cx="3295650" cy="14563725"/>
    <xdr:sp>
      <xdr:nvSpPr>
        <xdr:cNvPr id="3" name="Shape 3"/>
        <xdr:cNvSpPr/>
      </xdr:nvSpPr>
      <xdr:spPr>
        <a:xfrm>
          <a:off x="3702938" y="0"/>
          <a:ext cx="3286125" cy="75600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38100</xdr:colOff>
      <xdr:row>3</xdr:row>
      <xdr:rowOff>114300</xdr:rowOff>
    </xdr:from>
    <xdr:ext cx="3190875" cy="3438525"/>
    <xdr:sp>
      <xdr:nvSpPr>
        <xdr:cNvPr id="4" name="Shape 4"/>
        <xdr:cNvSpPr/>
      </xdr:nvSpPr>
      <xdr:spPr>
        <a:xfrm>
          <a:off x="3750563" y="2065500"/>
          <a:ext cx="3190875" cy="3429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8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Timeline: Works in Excel 2013 or higher. Do not move or resize.</a:t>
          </a:r>
          <a:endParaRPr sz="1400"/>
        </a:p>
      </xdr:txBody>
    </xdr:sp>
    <xdr:clientData fLocksWithSheet="0"/>
  </xdr:oneCellAnchor>
  <xdr:oneCellAnchor>
    <xdr:from>
      <xdr:col>5</xdr:col>
      <xdr:colOff>428625</xdr:colOff>
      <xdr:row>0</xdr:row>
      <xdr:rowOff>19050</xdr:rowOff>
    </xdr:from>
    <xdr:ext cx="8343900" cy="2143125"/>
    <xdr:sp>
      <xdr:nvSpPr>
        <xdr:cNvPr id="5" name="Shape 5"/>
        <xdr:cNvSpPr/>
      </xdr:nvSpPr>
      <xdr:spPr>
        <a:xfrm>
          <a:off x="1178813" y="2713200"/>
          <a:ext cx="8334375" cy="2133600"/>
        </a:xfrm>
        <a:prstGeom prst="roundRect">
          <a:avLst>
            <a:gd fmla="val 16667" name="adj"/>
          </a:avLst>
        </a:prstGeom>
        <a:solidFill>
          <a:srgbClr val="FBE4D4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371475</xdr:colOff>
      <xdr:row>11</xdr:row>
      <xdr:rowOff>104775</xdr:rowOff>
    </xdr:from>
    <xdr:ext cx="8448675" cy="2390775"/>
    <xdr:sp>
      <xdr:nvSpPr>
        <xdr:cNvPr id="6" name="Shape 6"/>
        <xdr:cNvSpPr/>
      </xdr:nvSpPr>
      <xdr:spPr>
        <a:xfrm>
          <a:off x="1126425" y="2589375"/>
          <a:ext cx="8439150" cy="2381250"/>
        </a:xfrm>
        <a:prstGeom prst="roundRect">
          <a:avLst>
            <a:gd fmla="val 16667" name="adj"/>
          </a:avLst>
        </a:prstGeom>
        <a:solidFill>
          <a:srgbClr val="EDEDE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104775</xdr:colOff>
      <xdr:row>6</xdr:row>
      <xdr:rowOff>0</xdr:rowOff>
    </xdr:from>
    <xdr:ext cx="2514600" cy="838200"/>
    <xdr:sp>
      <xdr:nvSpPr>
        <xdr:cNvPr id="7" name="Shape 7"/>
        <xdr:cNvSpPr txBox="1"/>
      </xdr:nvSpPr>
      <xdr:spPr>
        <a:xfrm>
          <a:off x="4093463" y="3365663"/>
          <a:ext cx="2505075" cy="8286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menentukan Produk dengan total Profit Margin tertinggi pertahun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19</xdr:row>
      <xdr:rowOff>38100</xdr:rowOff>
    </xdr:from>
    <xdr:ext cx="2066925" cy="790575"/>
    <xdr:sp>
      <xdr:nvSpPr>
        <xdr:cNvPr id="8" name="Shape 8"/>
        <xdr:cNvSpPr txBox="1"/>
      </xdr:nvSpPr>
      <xdr:spPr>
        <a:xfrm>
          <a:off x="4317300" y="3389475"/>
          <a:ext cx="2057400" cy="7810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6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total order quantity dari tahun ke tahun</a:t>
          </a:r>
          <a:endParaRPr sz="1400"/>
        </a:p>
      </xdr:txBody>
    </xdr:sp>
    <xdr:clientData fLocksWithSheet="0"/>
  </xdr:oneCellAnchor>
  <xdr:oneCellAnchor>
    <xdr:from>
      <xdr:col>5</xdr:col>
      <xdr:colOff>514350</xdr:colOff>
      <xdr:row>24</xdr:row>
      <xdr:rowOff>28575</xdr:rowOff>
    </xdr:from>
    <xdr:ext cx="4619625" cy="2133600"/>
    <xdr:sp>
      <xdr:nvSpPr>
        <xdr:cNvPr id="9" name="Shape 9"/>
        <xdr:cNvSpPr/>
      </xdr:nvSpPr>
      <xdr:spPr>
        <a:xfrm>
          <a:off x="3045713" y="2717963"/>
          <a:ext cx="4600575" cy="2124075"/>
        </a:xfrm>
        <a:prstGeom prst="roundRect">
          <a:avLst>
            <a:gd fmla="val 16667" name="adj"/>
          </a:avLst>
        </a:prstGeom>
        <a:solidFill>
          <a:srgbClr val="DDEAF6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66675</xdr:colOff>
      <xdr:row>30</xdr:row>
      <xdr:rowOff>85725</xdr:rowOff>
    </xdr:from>
    <xdr:ext cx="1905000" cy="781050"/>
    <xdr:sp>
      <xdr:nvSpPr>
        <xdr:cNvPr id="10" name="Shape 10"/>
        <xdr:cNvSpPr/>
      </xdr:nvSpPr>
      <xdr:spPr>
        <a:xfrm>
          <a:off x="4398263" y="3399000"/>
          <a:ext cx="1895475" cy="762000"/>
        </a:xfrm>
        <a:prstGeom prst="rect">
          <a:avLst/>
        </a:prstGeom>
        <a:solidFill>
          <a:schemeClr val="l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Menentukan kota mana yang memiliki total margin dan profit margin terbesar 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mana yang memMenentukan </a:t>
          </a:r>
          <a:endParaRPr sz="1400"/>
        </a:p>
      </xdr:txBody>
    </xdr:sp>
    <xdr:clientData fLocksWithSheet="0"/>
  </xdr:oneCellAnchor>
  <xdr:oneCellAnchor>
    <xdr:from>
      <xdr:col>5</xdr:col>
      <xdr:colOff>342900</xdr:colOff>
      <xdr:row>36</xdr:row>
      <xdr:rowOff>66675</xdr:rowOff>
    </xdr:from>
    <xdr:ext cx="4762500" cy="2076450"/>
    <xdr:sp>
      <xdr:nvSpPr>
        <xdr:cNvPr id="11" name="Shape 11"/>
        <xdr:cNvSpPr/>
      </xdr:nvSpPr>
      <xdr:spPr>
        <a:xfrm>
          <a:off x="2969513" y="2746538"/>
          <a:ext cx="4752975" cy="2066925"/>
        </a:xfrm>
        <a:prstGeom prst="roundRect">
          <a:avLst>
            <a:gd fmla="val 16667" name="adj"/>
          </a:avLst>
        </a:prstGeom>
        <a:solidFill>
          <a:srgbClr val="F2F2F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66675</xdr:colOff>
      <xdr:row>42</xdr:row>
      <xdr:rowOff>142875</xdr:rowOff>
    </xdr:from>
    <xdr:ext cx="1905000" cy="666750"/>
    <xdr:sp>
      <xdr:nvSpPr>
        <xdr:cNvPr id="12" name="Shape 12"/>
        <xdr:cNvSpPr/>
      </xdr:nvSpPr>
      <xdr:spPr>
        <a:xfrm>
          <a:off x="4398263" y="3456150"/>
          <a:ext cx="1895475" cy="647700"/>
        </a:xfrm>
        <a:prstGeom prst="rect">
          <a:avLst/>
        </a:prstGeom>
        <a:solidFill>
          <a:schemeClr val="l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 Top 5 nama customer yang mendapat total diskon tertinggi </a:t>
          </a:r>
          <a:endParaRPr sz="1400"/>
        </a:p>
      </xdr:txBody>
    </xdr:sp>
    <xdr:clientData fLocksWithSheet="0"/>
  </xdr:oneCellAnchor>
  <xdr:oneCellAnchor>
    <xdr:from>
      <xdr:col>14</xdr:col>
      <xdr:colOff>247650</xdr:colOff>
      <xdr:row>25</xdr:row>
      <xdr:rowOff>142875</xdr:rowOff>
    </xdr:from>
    <xdr:ext cx="7762875" cy="4029075"/>
    <xdr:sp>
      <xdr:nvSpPr>
        <xdr:cNvPr id="13" name="Shape 13"/>
        <xdr:cNvSpPr/>
      </xdr:nvSpPr>
      <xdr:spPr>
        <a:xfrm>
          <a:off x="1469325" y="1770225"/>
          <a:ext cx="7753350" cy="4019550"/>
        </a:xfrm>
        <a:prstGeom prst="roundRect">
          <a:avLst>
            <a:gd fmla="val 16667" name="adj"/>
          </a:avLst>
        </a:prstGeom>
        <a:solidFill>
          <a:srgbClr val="DDEAF6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466725</xdr:colOff>
      <xdr:row>42</xdr:row>
      <xdr:rowOff>76200</xdr:rowOff>
    </xdr:from>
    <xdr:ext cx="5743575" cy="571500"/>
    <xdr:sp>
      <xdr:nvSpPr>
        <xdr:cNvPr id="14" name="Shape 14"/>
        <xdr:cNvSpPr/>
      </xdr:nvSpPr>
      <xdr:spPr>
        <a:xfrm>
          <a:off x="2478975" y="3499013"/>
          <a:ext cx="5734050" cy="561975"/>
        </a:xfrm>
        <a:prstGeom prst="rect">
          <a:avLst/>
        </a:prstGeom>
        <a:solidFill>
          <a:schemeClr val="l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kota dengan total revenue produk pertahun</a:t>
          </a:r>
          <a:endParaRPr sz="2000"/>
        </a:p>
      </xdr:txBody>
    </xdr:sp>
    <xdr:clientData fLocksWithSheet="0"/>
  </xdr:oneCellAnchor>
  <xdr:oneCellAnchor>
    <xdr:from>
      <xdr:col>24</xdr:col>
      <xdr:colOff>285750</xdr:colOff>
      <xdr:row>20</xdr:row>
      <xdr:rowOff>180975</xdr:rowOff>
    </xdr:from>
    <xdr:ext cx="9124950" cy="561975"/>
    <xdr:sp>
      <xdr:nvSpPr>
        <xdr:cNvPr id="15" name="Shape 15"/>
        <xdr:cNvSpPr/>
      </xdr:nvSpPr>
      <xdr:spPr>
        <a:xfrm>
          <a:off x="793050" y="3508538"/>
          <a:ext cx="9105900" cy="542925"/>
        </a:xfrm>
        <a:prstGeom prst="rect">
          <a:avLst/>
        </a:prstGeom>
        <a:solidFill>
          <a:schemeClr val="l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Top 7 Nama produk yang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memiliki cost price ter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tinggi di tahun 2017  </a:t>
          </a:r>
          <a:endParaRPr sz="1400"/>
        </a:p>
      </xdr:txBody>
    </xdr:sp>
    <xdr:clientData fLocksWithSheet="0"/>
  </xdr:oneCellAnchor>
  <xdr:oneCellAnchor>
    <xdr:from>
      <xdr:col>22</xdr:col>
      <xdr:colOff>209550</xdr:colOff>
      <xdr:row>1</xdr:row>
      <xdr:rowOff>0</xdr:rowOff>
    </xdr:from>
    <xdr:ext cx="11868150" cy="3876675"/>
    <xdr:sp>
      <xdr:nvSpPr>
        <xdr:cNvPr id="16" name="Shape 16"/>
        <xdr:cNvSpPr/>
      </xdr:nvSpPr>
      <xdr:spPr>
        <a:xfrm>
          <a:off x="0" y="1851188"/>
          <a:ext cx="10692000" cy="3857625"/>
        </a:xfrm>
        <a:prstGeom prst="roundRect">
          <a:avLst>
            <a:gd fmla="val 16667" name="adj"/>
          </a:avLst>
        </a:prstGeom>
        <a:solidFill>
          <a:srgbClr val="C4E0B2"/>
        </a:solidFill>
        <a:ln cap="flat" cmpd="sng" w="12700">
          <a:solidFill>
            <a:srgbClr val="A8D08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66675</xdr:colOff>
      <xdr:row>69</xdr:row>
      <xdr:rowOff>0</xdr:rowOff>
    </xdr:from>
    <xdr:ext cx="11306175" cy="542925"/>
    <xdr:sp>
      <xdr:nvSpPr>
        <xdr:cNvPr id="17" name="Shape 17"/>
        <xdr:cNvSpPr/>
      </xdr:nvSpPr>
      <xdr:spPr>
        <a:xfrm>
          <a:off x="0" y="3513300"/>
          <a:ext cx="10692000" cy="533400"/>
        </a:xfrm>
        <a:prstGeom prst="rect">
          <a:avLst/>
        </a:prstGeom>
        <a:solidFill>
          <a:schemeClr val="lt2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Total 15   nama produk dengan COGS pertahun</a:t>
          </a:r>
          <a:endParaRPr sz="1400"/>
        </a:p>
      </xdr:txBody>
    </xdr:sp>
    <xdr:clientData fLocksWithSheet="0"/>
  </xdr:oneCellAnchor>
  <xdr:oneCellAnchor>
    <xdr:from>
      <xdr:col>6</xdr:col>
      <xdr:colOff>85725</xdr:colOff>
      <xdr:row>0</xdr:row>
      <xdr:rowOff>161925</xdr:rowOff>
    </xdr:from>
    <xdr:ext cx="5438775" cy="10191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12</xdr:row>
      <xdr:rowOff>47625</xdr:rowOff>
    </xdr:from>
    <xdr:ext cx="3829050" cy="13716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24</xdr:row>
      <xdr:rowOff>66675</xdr:rowOff>
    </xdr:from>
    <xdr:ext cx="4000500" cy="10191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36</xdr:row>
      <xdr:rowOff>142875</xdr:rowOff>
    </xdr:from>
    <xdr:ext cx="3352800" cy="12192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476250</xdr:colOff>
      <xdr:row>26</xdr:row>
      <xdr:rowOff>142875</xdr:rowOff>
    </xdr:from>
    <xdr:ext cx="7267575" cy="302895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50</xdr:row>
      <xdr:rowOff>190500</xdr:rowOff>
    </xdr:from>
    <xdr:ext cx="13115925" cy="286131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409575</xdr:colOff>
      <xdr:row>3</xdr:row>
      <xdr:rowOff>142875</xdr:rowOff>
    </xdr:from>
    <xdr:ext cx="11487150" cy="227647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0</xdr:row>
      <xdr:rowOff>19050</xdr:rowOff>
    </xdr:from>
    <xdr:ext cx="5610225" cy="1009650"/>
    <xdr:pic>
      <xdr:nvPicPr>
        <xdr:cNvPr id="0" name="image6.png" title="Gambar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12</xdr:row>
      <xdr:rowOff>38100</xdr:rowOff>
    </xdr:from>
    <xdr:ext cx="3819525" cy="13716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11</xdr:row>
      <xdr:rowOff>133350</xdr:rowOff>
    </xdr:from>
    <xdr:ext cx="3086100" cy="21050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24</xdr:row>
      <xdr:rowOff>66675</xdr:rowOff>
    </xdr:from>
    <xdr:ext cx="4000500" cy="100965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36</xdr:row>
      <xdr:rowOff>133350</xdr:rowOff>
    </xdr:from>
    <xdr:ext cx="3362325" cy="121920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476250</xdr:colOff>
      <xdr:row>26</xdr:row>
      <xdr:rowOff>142875</xdr:rowOff>
    </xdr:from>
    <xdr:ext cx="7267575" cy="30194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48</xdr:row>
      <xdr:rowOff>47625</xdr:rowOff>
    </xdr:from>
    <xdr:ext cx="13487400" cy="5172075"/>
    <xdr:pic>
      <xdr:nvPicPr>
        <xdr:cNvPr id="0" name="image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50</xdr:row>
      <xdr:rowOff>190500</xdr:rowOff>
    </xdr:from>
    <xdr:ext cx="13115925" cy="286035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409575</xdr:colOff>
      <xdr:row>3</xdr:row>
      <xdr:rowOff>142875</xdr:rowOff>
    </xdr:from>
    <xdr:ext cx="11487150" cy="227647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X1003" sheet="Data"/>
  </cacheSource>
  <cacheFields>
    <cacheField name="Order No" numFmtId="0">
      <sharedItems>
        <s v="5014-1"/>
        <s v="5016-1"/>
        <s v="5018-1"/>
        <s v="5019-1"/>
        <s v="5020-1"/>
        <s v="5023-1"/>
        <s v="5024-1"/>
        <s v="5025-1"/>
        <s v="5027-1"/>
        <s v="5029-1"/>
        <s v="5031-1"/>
        <s v="5033-1"/>
        <s v="5034-1"/>
        <s v="5036-1"/>
        <s v="5037-1"/>
        <s v="5038-1"/>
        <s v="5039-1"/>
        <s v="5040-1"/>
        <s v="5043-1"/>
        <s v="5045-1"/>
        <s v="5047-1"/>
        <s v="5048-1"/>
        <s v="5049-1"/>
        <s v="5050-1"/>
        <s v="5052-1"/>
        <s v="5055-1"/>
        <s v="5057-1"/>
        <s v="5059-1"/>
        <s v="5060-1"/>
        <s v="5061-1"/>
        <s v="5062-1"/>
        <s v="5063-1"/>
        <s v="5064-1"/>
        <s v="5066-1"/>
        <s v="5068-1"/>
        <s v="5070-1"/>
        <s v="5071-1"/>
        <s v="5071-2"/>
        <s v="5075-1"/>
        <s v="5077-1"/>
        <s v="5079-1"/>
        <s v="5081-1"/>
        <s v="5084-1"/>
        <s v="5086-1"/>
        <s v="5087-1"/>
        <s v="5089-1"/>
        <s v="5091-1"/>
        <s v="5093-1"/>
        <s v="5095-1"/>
        <s v="5097-1"/>
        <s v="5099-1"/>
        <s v="5101-1"/>
        <s v="5103-1"/>
        <s v="5104-1"/>
        <s v="5106-1"/>
        <s v="5108-1"/>
        <s v="5109-1"/>
        <s v="5111-1"/>
        <s v="5112-1"/>
        <s v="5113-1"/>
        <s v="5114-1"/>
        <s v="5115-1"/>
        <s v="5117-1"/>
        <s v="5119-1"/>
        <s v="5120-1"/>
        <s v="5122-1"/>
        <s v="5124-1"/>
        <s v="5125-1"/>
        <s v="5127-1"/>
        <s v="5128-1"/>
        <s v="5129-1"/>
        <s v="5131-1"/>
        <s v="5133-1"/>
        <s v="5134-1"/>
        <s v="5135-1"/>
        <s v="5137-1"/>
        <s v="5138-1"/>
        <s v="5140-1"/>
        <s v="5142-1"/>
        <s v="5144-1"/>
        <s v="5148-1"/>
        <s v="5150-1"/>
        <s v="5152-1"/>
        <s v="5154-1"/>
        <s v="5156-1"/>
        <s v="5158-1"/>
        <s v="5159-1"/>
        <s v="5160-1"/>
        <s v="5160-2"/>
        <s v="5163-1"/>
        <s v="5165-1"/>
        <s v="5166-1"/>
        <s v="5168-1"/>
        <s v="5168-2"/>
        <s v="5171-1"/>
        <s v="5173-1"/>
        <s v="5174-1"/>
        <s v="5175-1"/>
        <s v="5177-1"/>
        <s v="5178-1"/>
        <s v="5180-1"/>
        <s v="5181-1"/>
        <s v="5183-1"/>
        <s v="5185-1"/>
        <s v="5186-1"/>
        <s v="5188-1"/>
        <s v="5189-1"/>
        <s v="5191-1"/>
        <s v="5193-1"/>
        <s v="5194-1"/>
        <s v="5195-1"/>
        <s v="5195-2"/>
        <s v="5198-1"/>
        <s v="5200-1"/>
        <s v="5201-1"/>
        <s v="5202-1"/>
        <s v="5204-1"/>
        <s v="5206-1"/>
        <s v="5207-1"/>
        <s v="5208-1"/>
        <s v="5209-1"/>
        <s v="5211-1"/>
        <s v="5212-1"/>
        <s v="5213-1"/>
        <s v="5214-1"/>
        <s v="5215-1"/>
        <s v="5216-1"/>
        <s v="5218-1"/>
        <s v="5220-1"/>
        <s v="5221-1"/>
        <s v="5222-1"/>
        <s v="5224-1"/>
        <s v="5225-1"/>
        <s v="5226-1"/>
        <s v="5227-1"/>
        <s v="5229-1"/>
        <s v="5231-1"/>
        <s v="5232-1"/>
        <s v="5234-1"/>
        <s v="5235-1"/>
        <s v="5236-1"/>
        <s v="5238-1"/>
        <s v="5239-1"/>
        <s v="5240-1"/>
        <s v="5241-1"/>
        <s v="5242-1"/>
        <s v="5244-1"/>
        <s v="5246-1"/>
        <s v="5247-1"/>
        <s v="5248-1"/>
        <s v="5250-1"/>
        <s v="5251-1"/>
        <s v="5253-1"/>
        <s v="5254-1"/>
        <s v="5256-1"/>
        <s v="5257-1"/>
        <s v="5259-1"/>
        <s v="5260-1"/>
        <s v="5261-1"/>
        <s v="5263-1"/>
        <s v="5265-1"/>
        <s v="5267-1"/>
        <s v="5268-1"/>
        <s v="5268-2"/>
        <s v="5272-1"/>
        <s v="5274-1"/>
        <s v="5274-2"/>
        <s v="5277-1"/>
        <s v="5278-1"/>
        <s v="5279-1"/>
        <s v="5280-1"/>
        <s v="5282-1"/>
        <s v="5284-1"/>
        <s v="5286-1"/>
        <s v="5288-1"/>
        <s v="5290-1"/>
        <s v="5291-1"/>
        <s v="5292-1"/>
        <s v="5294-1"/>
        <s v="5296-1"/>
        <s v="5298-1"/>
        <s v="5299-1"/>
        <s v="5300-1"/>
        <s v="5302-1"/>
        <s v="5303-1"/>
        <s v="5304-1"/>
        <s v="5305-1"/>
        <s v="5307-1"/>
        <s v="5309-1"/>
        <s v="5310-1"/>
        <s v="5311-1"/>
        <s v="5312-1"/>
        <s v="5313-1"/>
        <s v="5314-1"/>
        <s v="5315-1"/>
        <s v="5316-1"/>
        <s v="5318-1"/>
        <s v="5319-1"/>
        <s v="5321-1"/>
        <s v="5323-1"/>
        <s v="5324-1"/>
        <s v="5326-1"/>
        <s v="5328-1"/>
        <s v="5330-1"/>
        <s v="5332-1"/>
        <s v="5334-1"/>
        <s v="5335-1"/>
        <s v="5335-2"/>
        <s v="5336-1"/>
        <s v="5340-1"/>
        <s v="5342-1"/>
        <s v="5343-1"/>
        <s v="5345-1"/>
        <s v="5346-1"/>
        <s v="5347-1"/>
        <s v="5349-1"/>
        <s v="5350-1"/>
        <s v="5352-1"/>
        <s v="5354-1"/>
        <s v="5355-1"/>
        <s v="5357-1"/>
        <s v="5358-1"/>
        <s v="5358-2"/>
        <s v="5360-1"/>
        <s v="5362-1"/>
        <s v="5364-1"/>
        <s v="5365-1"/>
        <s v="5367-1"/>
        <s v="5367-2"/>
        <s v="5369-1"/>
        <s v="5373-1"/>
        <s v="5375-1"/>
        <s v="5377-1"/>
        <s v="5379-1"/>
        <s v="5381-1"/>
        <s v="5383-1"/>
        <s v="5384-1"/>
        <s v="5386-1"/>
        <s v="5388-1"/>
        <s v="5389-1"/>
        <s v="5391-1"/>
        <s v="5392-1"/>
        <s v="5393-1"/>
        <s v="5394-1"/>
        <s v="5395-1"/>
        <s v="5396-1"/>
        <s v="5398-1"/>
        <s v="5400-1"/>
        <s v="5402-1"/>
        <s v="5402-2"/>
        <s v="5404-1"/>
        <s v="5405-1"/>
        <s v="5407-1"/>
        <s v="5409-1"/>
        <s v="5411-1"/>
        <s v="5413-1"/>
        <s v="5415-1"/>
        <s v="5416-1"/>
        <s v="5418-1"/>
        <s v="5420-1"/>
        <s v="5421-1"/>
        <s v="5423-1"/>
        <s v="5424-1"/>
        <s v="5426-1"/>
        <s v="5428-1"/>
        <s v="5430-1"/>
        <s v="5432-1"/>
        <s v="5433-1"/>
        <s v="5434-1"/>
        <s v="5435-1"/>
        <s v="5436-1"/>
        <s v="5438-1"/>
        <s v="5439-1"/>
        <s v="5440-1"/>
        <s v="5442-1"/>
        <s v="5444-1"/>
        <s v="5445-1"/>
        <s v="5446-1"/>
        <s v="5448-1"/>
        <s v="5449-1"/>
        <s v="5450-1"/>
        <s v="5451-1"/>
        <s v="5453-1"/>
        <s v="5455-1"/>
        <s v="5456-1"/>
        <s v="5457-1"/>
        <s v="5458-1"/>
        <s v="5460-1"/>
        <s v="5461-1"/>
        <s v="5463-1"/>
        <s v="5465-1"/>
        <s v="5467-1"/>
        <s v="5469-1"/>
        <s v="5470-1"/>
        <s v="5471-1"/>
        <s v="5473-1"/>
        <s v="5475-1"/>
        <s v="5476-1"/>
        <s v="5477-1"/>
        <s v="5478-1"/>
        <s v="5479-1"/>
        <s v="5479-2"/>
        <s v="5483-1"/>
        <s v="5485-1"/>
        <s v="5487-1"/>
        <s v="5489-1"/>
        <s v="5491-1"/>
        <s v="5493-1"/>
        <s v="5494-1"/>
        <s v="5496-1"/>
        <s v="5497-1"/>
        <s v="5498-1"/>
        <s v="5500-1"/>
        <s v="5502-1"/>
        <s v="5504-1"/>
        <s v="5505-1"/>
        <s v="5506-1"/>
        <s v="5507-1"/>
        <s v="5508-1"/>
        <s v="5510-1"/>
        <s v="5512-1"/>
        <s v="5513-1"/>
        <s v="5514-1"/>
        <s v="5516-1"/>
        <s v="5518-1"/>
        <s v="5520-1"/>
        <s v="5521-1"/>
        <s v="5523-1"/>
        <s v="5525-1"/>
        <s v="5526-1"/>
        <s v="5527-1"/>
        <s v="5529-1"/>
        <s v="5531-1"/>
        <s v="5533-1"/>
        <s v="5534-1"/>
        <s v="5536-1"/>
        <s v="5537-1"/>
        <s v="5539-1"/>
        <s v="5539-2"/>
        <s v="5541-1"/>
        <s v="5544-1"/>
        <s v="5546-1"/>
        <s v="5547-1"/>
        <s v="5548-1"/>
        <s v="5549-1"/>
        <s v="5551-1"/>
        <s v="5552-1"/>
        <s v="5554-1"/>
        <s v="5556-1"/>
        <s v="5558-1"/>
        <s v="5558-2"/>
        <s v="5560-1"/>
        <s v="5562-1"/>
        <s v="5564-1"/>
        <s v="5566-1"/>
        <s v="5566-2"/>
        <s v="5569-1"/>
        <s v="5570-1"/>
        <s v="5572-1"/>
        <s v="5574-1"/>
        <s v="5576-1"/>
        <s v="5578-1"/>
        <s v="5579-1"/>
        <s v="5581-1"/>
        <s v="5583-1"/>
        <s v="5584-1"/>
        <s v="5586-1"/>
        <s v="5588-1"/>
        <s v="5589-1"/>
        <s v="5591-1"/>
        <s v="5593-1"/>
        <s v="5594-1"/>
        <s v="5596-1"/>
        <s v="5597-1"/>
        <s v="5599-1"/>
        <s v="5599-2"/>
        <s v="5603-1"/>
        <s v="5604-1"/>
        <s v="5605-1"/>
        <s v="5606-1"/>
        <s v="5607-1"/>
        <s v="5609-1"/>
        <s v="5609-2"/>
        <s v="5612-1"/>
        <s v="5613-1"/>
        <s v="5615-1"/>
        <s v="5616-1"/>
        <s v="5618-1"/>
        <s v="5619-1"/>
        <s v="5621-1"/>
        <s v="5621-2"/>
        <s v="5625-1"/>
        <s v="5627-1"/>
        <s v="5629-1"/>
        <s v="5630-1"/>
        <s v="5631-1"/>
        <s v="5633-1"/>
        <s v="5635-1"/>
        <s v="5637-1"/>
        <s v="5639-1"/>
        <s v="5641-1"/>
        <s v="5643-1"/>
        <s v="5644-1"/>
        <s v="5645-1"/>
        <s v="5646-1"/>
        <s v="5647-1"/>
        <s v="5648-1"/>
        <s v="5650-1"/>
        <s v="5651-1"/>
        <s v="5653-1"/>
        <s v="5655-1"/>
        <s v="5655-2"/>
        <s v="5658-1"/>
        <s v="5659-1"/>
        <s v="5661-1"/>
        <s v="5663-1"/>
        <s v="5665-1"/>
        <s v="5667-1"/>
        <s v="5669-1"/>
        <s v="5670-1"/>
        <s v="5671-1"/>
        <s v="5672-1"/>
        <s v="5674-1"/>
        <s v="5676-1"/>
        <s v="5677-1"/>
        <s v="5679-1"/>
        <s v="5680-1"/>
        <s v="5681-1"/>
        <s v="5682-1"/>
        <s v="5684-1"/>
        <s v="5685-1"/>
        <s v="5686-1"/>
        <s v="5687-1"/>
        <s v="5689-1"/>
        <s v="5690-1"/>
        <s v="5692-1"/>
        <s v="5693-1"/>
        <s v="5695-1"/>
        <s v="5696-1"/>
        <s v="5698-1"/>
        <s v="5699-1"/>
        <s v="5701-1"/>
        <s v="5702-1"/>
        <s v="5703-1"/>
        <s v="5705-1"/>
        <s v="5706-1"/>
        <s v="5708-1"/>
        <s v="5710-1"/>
        <s v="5711-1"/>
        <s v="5712-1"/>
        <s v="5713-1"/>
        <s v="5715-1"/>
        <s v="5717-1"/>
        <s v="5718-1"/>
        <s v="5719-1"/>
        <s v="5720-1"/>
        <s v="5721-1"/>
        <s v="5722-1"/>
        <s v="5724-1"/>
        <s v="5724-2"/>
        <s v="5728-1"/>
        <s v="5730-1"/>
        <s v="5731-1"/>
        <s v="5732-1"/>
        <s v="5734-1"/>
        <s v="5736-1"/>
        <s v="5737-1"/>
        <s v="5738-1"/>
        <s v="5740-1"/>
        <s v="5741-1"/>
        <s v="5742-1"/>
        <s v="5743-1"/>
        <s v="5745-1"/>
        <s v="5747-1"/>
        <s v="5749-1"/>
        <s v="5750-1"/>
        <s v="5752-1"/>
        <s v="5754-1"/>
        <s v="5755-1"/>
        <s v="5757-1"/>
        <s v="5760-1"/>
        <s v="5762-1"/>
        <s v="5762-2"/>
        <s v="5766-1"/>
        <s v="5768-1"/>
        <s v="5768-2"/>
        <s v="5773-1"/>
        <s v="5775-1"/>
        <s v="5777-1"/>
        <s v="5778-1"/>
        <s v="5779-1"/>
        <s v="5781-1"/>
        <s v="5782-1"/>
        <s v="5784-1"/>
        <s v="5786-1"/>
        <s v="5787-1"/>
        <s v="5788-1"/>
        <s v="5790-1"/>
        <s v="5791-1"/>
        <s v="5793-1"/>
        <s v="5795-1"/>
        <s v="5797-1"/>
        <s v="5799-1"/>
        <s v="5800-1"/>
        <s v="5801-1"/>
        <s v="5802-1"/>
        <s v="5803-1"/>
        <s v="5804-1"/>
        <s v="5804-2"/>
        <s v="5805-1"/>
        <s v="5806-1"/>
        <s v="5807-1"/>
        <s v="5809-1"/>
        <s v="5811-1"/>
        <s v="5813-1"/>
        <s v="5814-1"/>
        <s v="5815-1"/>
        <s v="5816-1"/>
        <s v="5818-1"/>
        <s v="5819-1"/>
        <s v="5821-1"/>
        <s v="5822-1"/>
        <s v="5824-1"/>
        <s v="5826-1"/>
        <s v="5829-1"/>
        <s v="5831-1"/>
        <s v="5832-1"/>
        <s v="5833-1"/>
        <s v="5834-1"/>
        <s v="5835-1"/>
        <s v="5837-1"/>
        <s v="5838-1"/>
        <s v="5840-1"/>
        <s v="5841-1"/>
        <s v="5842-1"/>
        <s v="5843-1"/>
        <s v="5845-1"/>
        <s v="5847-1"/>
        <s v="5848-1"/>
        <s v="5850-1"/>
        <s v="5852-1"/>
        <s v="5854-1"/>
        <s v="5856-1"/>
        <s v="5857-1"/>
        <s v="5859-1"/>
        <s v="5861-1"/>
        <s v="5863-1"/>
        <s v="5865-1"/>
        <s v="5867-1"/>
        <s v="5868-1"/>
        <s v="5869-1"/>
        <s v="5869-2"/>
        <s v="5870-1"/>
        <s v="5871-1"/>
        <s v="5872-1"/>
        <s v="5873-1"/>
        <s v="5875-1"/>
        <s v="5877-1"/>
        <s v="5879-1"/>
        <s v="5881-1"/>
        <s v="5882-1"/>
        <s v="5884-1"/>
        <s v="5885-1"/>
        <s v="5886-1"/>
        <s v="5887-1"/>
        <s v="5888-1"/>
        <s v="5888-2"/>
        <s v="5891-1"/>
        <s v="5893-1"/>
        <s v="5894-1"/>
        <s v="5896-1"/>
        <s v="5898-1"/>
        <s v="5899-1"/>
        <s v="5900-1"/>
        <s v="5902-1"/>
        <s v="5904-1"/>
        <s v="5906-1"/>
        <s v="5907-1"/>
        <s v="5908-1"/>
        <s v="5909-1"/>
        <s v="5911-1"/>
        <s v="5913-1"/>
        <s v="5914-1"/>
        <s v="5916-1"/>
        <s v="5917-1"/>
        <s v="5919-1"/>
        <s v="5921-1"/>
        <s v="5923-1"/>
        <s v="5925-1"/>
        <s v="5927-1"/>
        <s v="5928-1"/>
        <s v="5930-1"/>
        <s v="5931-1"/>
        <s v="5932-1"/>
        <s v="5933-1"/>
        <s v="5935-1"/>
        <s v="5937-1"/>
        <s v="5938-1"/>
        <s v="5939-1"/>
        <s v="5941-1"/>
        <s v="5943-1"/>
        <s v="5943-2"/>
        <s v="5944-1"/>
        <s v="5947-1"/>
        <s v="5949-1"/>
        <s v="5951-1"/>
        <s v="5952-1"/>
        <s v="5955-1"/>
        <s v="5956-1"/>
        <s v="5960-1"/>
        <s v="5962-1"/>
        <s v="5964-1"/>
        <s v="5965-1"/>
        <s v="5967-1"/>
        <s v="5968-1"/>
        <s v="5969-1"/>
        <s v="5971-1"/>
        <s v="5973-1"/>
        <s v="5974-1"/>
        <s v="5976-1"/>
        <s v="5977-1"/>
        <s v="5978-1"/>
        <s v="5980-1"/>
        <s v="5982-1"/>
        <s v="5983-1"/>
        <s v="5984-1"/>
        <s v="5985-1"/>
        <s v="5987-1"/>
        <s v="5988-1"/>
        <s v="5990-1"/>
        <s v="5990-2"/>
        <s v="5993-1"/>
        <s v="5994-1"/>
        <s v="5996-1"/>
        <s v="5997-1"/>
        <s v="5997-2"/>
        <s v="6000-1"/>
        <s v="6001-1"/>
        <s v="6002-1"/>
        <s v="6003-1"/>
        <s v="6005-1"/>
        <s v="6006-1"/>
        <s v="6007-1"/>
        <s v="6009-1"/>
        <s v="6011-1"/>
        <s v="6012-1"/>
        <s v="6014-1"/>
        <s v="6014-2"/>
        <s v="6017-1"/>
        <s v="6019-1"/>
        <s v="6021-1"/>
        <s v="6023-1"/>
        <s v="6025-1"/>
        <s v="6027-1"/>
        <s v="6029-1"/>
        <s v="6030-1"/>
        <s v="6032-1"/>
        <s v="6034-1"/>
        <s v="6036-1"/>
        <s v="6037-1"/>
        <s v="6038-1"/>
        <s v="6039-1"/>
        <s v="6042-1"/>
        <s v="6044-1"/>
        <s v="6046-1"/>
        <s v="6048-1"/>
        <s v="6050-1"/>
        <s v="6052-1"/>
        <s v="6054-1"/>
        <s v="6056-1"/>
        <s v="6057-1"/>
        <s v="6058-1"/>
        <s v="6059-1"/>
        <s v="6061-1"/>
        <s v="6063-1"/>
        <s v="6065-1"/>
        <s v="6066-1"/>
        <s v="6067-1"/>
        <s v="6068-1"/>
        <s v="6070-1"/>
        <s v="6071-1"/>
        <s v="6072-1"/>
        <s v="6074-1"/>
        <s v="6076-1"/>
        <s v="6077-1"/>
        <s v="6079-1"/>
        <s v="6081-1"/>
        <s v="6083-1"/>
        <s v="6085-1"/>
        <s v="6086-1"/>
        <s v="6088-1"/>
        <s v="6090-1"/>
        <s v="6094-1"/>
        <s v="6095-1"/>
        <s v="6096-1"/>
        <s v="6098-1"/>
        <s v="6099-1"/>
        <s v="6100-1"/>
        <s v="6102-1"/>
        <s v="6103-1"/>
        <s v="6104-1"/>
        <s v="6104-2"/>
        <s v="6108-1"/>
        <s v="6109-1"/>
        <s v="6110-1"/>
        <s v="6112-1"/>
        <s v="6113-1"/>
        <s v="6114-1"/>
        <s v="6116-1"/>
        <s v="6118-1"/>
        <s v="6119-1"/>
        <s v="6121-1"/>
        <s v="6123-1"/>
        <s v="6124-1"/>
        <s v="6125-1"/>
        <s v="6127-1"/>
        <s v="6128-1"/>
        <s v="6130-1"/>
        <s v="6132-1"/>
        <s v="6134-1"/>
        <s v="6135-1"/>
        <s v="6136-1"/>
        <s v="6138-1"/>
        <s v="6140-1"/>
        <s v="6141-1"/>
        <s v="6143-1"/>
        <s v="6143-2"/>
        <s v="6144-1"/>
        <s v="6146-1"/>
        <s v="6148-1"/>
        <s v="6150-1"/>
        <s v="6151-1"/>
        <s v="6152-1"/>
        <s v="6154-1"/>
        <s v="6155-1"/>
        <s v="6157-1"/>
        <s v="6158-1"/>
        <s v="6159-1"/>
        <s v="6159-2"/>
        <s v="6165-1"/>
        <s v="6166-1"/>
        <s v="6167-1"/>
        <s v="6168-1"/>
        <s v="6169-1"/>
        <s v="6170-1"/>
        <s v="6172-1"/>
        <s v="6174-1"/>
        <s v="6175-1"/>
        <s v="6176-1"/>
        <s v="6177-1"/>
        <s v="6179-1"/>
        <s v="6181-1"/>
        <s v="6183-1"/>
        <s v="6184-1"/>
        <s v="6185-1"/>
        <s v="6186-1"/>
        <s v="6187-1"/>
        <s v="6189-1"/>
        <s v="6190-1"/>
        <s v="6191-1"/>
        <s v="6193-1"/>
        <s v="6194-1"/>
        <s v="6196-1"/>
        <s v="6197-1"/>
        <s v="6197-2"/>
        <s v="6201-1"/>
        <s v="6203-1"/>
        <s v="6204-1"/>
        <s v="6206-1"/>
        <s v="6208-1"/>
        <s v="6209-1"/>
        <s v="6211-1"/>
        <s v="6213-1"/>
        <s v="6214-1"/>
        <s v="6215-1"/>
        <s v="6217-1"/>
        <s v="6219-1"/>
        <s v="6220-1"/>
        <s v="6221-1"/>
        <s v="6222-1"/>
        <s v="6223-1"/>
        <s v="6224-1"/>
        <s v="6225-1"/>
        <s v="6226-1"/>
        <s v="6227-1"/>
        <s v="6228-1"/>
        <s v="6230-1"/>
        <s v="6231-1"/>
        <s v="6232-1"/>
        <s v="6234-1"/>
        <s v="6235-1"/>
        <s v="6237-1"/>
        <s v="6238-1"/>
        <s v="6240-1"/>
        <s v="6242-1"/>
        <s v="6243-1"/>
        <s v="6244-1"/>
        <s v="6246-1"/>
        <s v="6248-1"/>
        <s v="6250-1"/>
        <s v="6252-1"/>
        <s v="6254-1"/>
        <s v="6256-1"/>
        <s v="6257-1"/>
        <s v="6258-1"/>
        <s v="6260-1"/>
        <s v="6261-1"/>
        <s v="6263-1"/>
        <s v="6264-1"/>
        <s v="6266-1"/>
        <s v="6266-2"/>
        <s v="6269-1"/>
        <s v="6270-1"/>
        <s v="6272-1"/>
        <s v="6273-1"/>
        <s v="6274-1"/>
        <s v="6275-1"/>
        <s v="6276-1"/>
        <s v="6278-1"/>
        <s v="6278-2"/>
        <s v="6280-1"/>
        <s v="6280-2"/>
        <s v="6281-1"/>
        <s v="6285-1"/>
        <s v="6287-1"/>
        <s v="6288-1"/>
        <s v="6290-1"/>
        <s v="6291-1"/>
        <s v="6293-1"/>
        <s v="6294-1"/>
        <s v="6295-1"/>
        <s v="6296-1"/>
        <s v="6298-1"/>
        <s v="6300-1"/>
        <s v="6301-1"/>
        <s v="6302-1"/>
        <s v="6303-1"/>
        <s v="6304-1"/>
        <s v="6306-1"/>
        <s v="6307-1"/>
        <s v="6309-1"/>
        <s v="6311-1"/>
        <s v="6313-1"/>
        <s v="6315-1"/>
        <s v="6316-1"/>
        <s v="6317-1"/>
        <s v="6319-1"/>
        <s v="6320-1"/>
        <s v="6321-1"/>
        <s v="6322-1"/>
        <s v="6324-1"/>
        <s v="6325-1"/>
        <s v="6325-2"/>
        <s v="6327-1"/>
        <s v="6328-1"/>
        <s v="6329-1"/>
        <s v="6330-1"/>
        <s v="6332-1"/>
        <s v="6333-1"/>
        <s v="6335-1"/>
        <s v="6336-1"/>
        <s v="6336-2"/>
        <s v="6337-1"/>
        <s v="6338-1"/>
        <s v="6339-1"/>
        <s v="6339-2"/>
        <s v="6340-1"/>
        <s v="6342-1"/>
        <s v="6343-1"/>
        <s v="6345-1"/>
        <s v="6346-1"/>
        <s v="6347-1"/>
        <s v="6348-1"/>
        <s v="6349-1"/>
        <s v="6351-1"/>
        <s v="6352-1"/>
        <s v="6353-1"/>
        <s v="6354-1"/>
        <s v="6355-1"/>
        <s v="6356-1"/>
        <s v="6358-1"/>
        <s v="6359-1"/>
        <s v="6361-1"/>
        <s v="6362-1"/>
        <s v="6364-1"/>
        <s v="6365-1"/>
        <s v="6367-1"/>
        <s v="6369-1"/>
        <s v="6370-1"/>
        <s v="6371-1"/>
        <s v="6373-1"/>
        <s v="6374-1"/>
        <s v="6376-1"/>
        <s v="6377-1"/>
        <s v="6379-1"/>
        <s v="6380-1"/>
        <s v="6382-1"/>
        <s v="6384-1"/>
        <s v="6384-2"/>
        <s v="6387-1"/>
        <s v="6388-1"/>
        <s v="6389-1"/>
        <s v="6390-1"/>
        <s v="6391-1"/>
        <s v="6392-1"/>
        <s v="6393-1"/>
        <s v="6394-1"/>
        <s v="6395-1"/>
        <s v="6396-1"/>
        <s v="6397-1"/>
        <s v="6399-1"/>
        <s v="6401-1"/>
        <s v="6402-1"/>
        <s v="6403-1"/>
        <s v="6403-2"/>
        <s v="6407-1"/>
        <s v="6409-1"/>
        <s v="6411-1"/>
        <s v="6413-1"/>
        <s v="6414-1"/>
        <s v="6415-1"/>
        <s v="6417-1"/>
        <s v="6417-2"/>
        <s v="6418-1"/>
        <s v="6422-1"/>
        <s v="6423-1"/>
        <s v="6425-1"/>
        <s v="6426-1"/>
        <s v="6427-1"/>
        <s v="6429-1"/>
        <s v="6430-1"/>
        <s v="6432-1"/>
        <s v="6433-1"/>
        <s v="6434-1"/>
        <s v="6436-1"/>
        <s v="6437-1"/>
        <s v="6437-2"/>
        <s v="6438-1"/>
        <s v="6440-1"/>
        <s v="6442-1"/>
        <s v="6443-1"/>
        <s v="6445-1"/>
        <s v="6447-1"/>
        <s v="6449-1"/>
        <s v="6451-1"/>
        <s v="6453-1"/>
        <s v="6455-1"/>
        <s v="6457-1"/>
        <s v="6457-2"/>
        <s v="6460-1"/>
        <s v="6461-1"/>
        <s v="6463-1"/>
        <s v="6465-1"/>
        <s v="6467-1"/>
        <s v="6469-1"/>
        <s v="6471-1"/>
        <s v="6472-1"/>
        <s v="6473-1"/>
        <s v="6475-1"/>
        <s v="6477-1"/>
        <s v="6479-1"/>
        <s v="6480-1"/>
        <s v="6482-1"/>
        <s v="6483-1"/>
        <s v="6484-1"/>
        <s v="6485-1"/>
        <s v="6487-1"/>
        <s v="6489-1"/>
        <s v="6491-1"/>
        <s v="6493-1"/>
        <s v="6495-1"/>
        <s v="6496-1"/>
        <s v="6497-1"/>
        <s v="6498-1"/>
        <s v="6499-1"/>
        <s v="6500-1"/>
        <s v="6502-1"/>
        <s v="6503-1"/>
        <s v="6504-1"/>
        <s v="6505-1"/>
        <s v="6506-1"/>
        <s v="6507-1"/>
        <s v="6508-1"/>
        <s v="6509-1"/>
        <s v="6510-1"/>
        <s v="6511-1"/>
        <s v="6512-1"/>
        <s v="6514-1"/>
        <s v="6515-1"/>
        <s v="6515-2"/>
        <s v="6517-1"/>
        <s v="6521-1"/>
        <s v="6523-1"/>
        <s v="6525-1"/>
        <s v="6526-1"/>
        <s v="6527-1"/>
      </sharedItems>
    </cacheField>
    <cacheField name="Order Date" numFmtId="14">
      <sharedItems containsSemiMixedTypes="0" containsDate="1" containsString="0">
        <d v="2016-05-26T00:00:00Z"/>
        <d v="2016-05-27T00:00:00Z"/>
        <d v="2016-05-28T00:00:00Z"/>
        <d v="2016-05-29T00:00:00Z"/>
        <d v="2016-06-01T00:00:00Z"/>
        <d v="2016-06-02T00:00:00Z"/>
        <d v="2016-06-04T00:00:00Z"/>
        <d v="2016-06-06T00:00:00Z"/>
        <d v="2016-06-07T00:00:00Z"/>
        <d v="2016-06-09T00:00:00Z"/>
        <d v="2016-06-10T00:00:00Z"/>
        <d v="2016-06-19T00:00:00Z"/>
        <d v="2016-06-23T00:00:00Z"/>
        <d v="2016-06-25T00:00:00Z"/>
        <d v="2016-06-27T00:00:00Z"/>
        <d v="2016-06-28T00:00:00Z"/>
        <d v="2016-07-05T00:00:00Z"/>
        <d v="2016-07-08T00:00:00Z"/>
        <d v="2016-07-09T00:00:00Z"/>
        <d v="2016-07-12T00:00:00Z"/>
        <d v="2016-08-01T00:00:00Z"/>
        <d v="2016-08-02T00:00:00Z"/>
        <d v="2016-08-09T00:00:00Z"/>
        <d v="2016-08-10T00:00:00Z"/>
        <d v="2016-08-12T00:00:00Z"/>
        <d v="2016-08-13T00:00:00Z"/>
        <d v="2016-08-14T00:00:00Z"/>
        <d v="2016-08-15T00:00:00Z"/>
        <d v="2016-08-16T00:00:00Z"/>
        <d v="2016-08-17T00:00:00Z"/>
        <d v="2016-08-19T00:00:00Z"/>
        <d v="2016-08-21T00:00:00Z"/>
        <d v="2016-08-25T00:00:00Z"/>
        <d v="2016-08-26T00:00:00Z"/>
        <d v="2016-08-27T00:00:00Z"/>
        <d v="2016-08-31T00:00:00Z"/>
        <d v="2016-09-01T00:00:00Z"/>
        <d v="2016-09-02T00:00:00Z"/>
        <d v="2016-09-03T00:00:00Z"/>
        <d v="2016-09-04T00:00:00Z"/>
        <d v="2016-09-07T00:00:00Z"/>
        <d v="2016-09-08T00:00:00Z"/>
        <d v="2016-09-09T00:00:00Z"/>
        <d v="2016-09-10T00:00:00Z"/>
        <d v="2016-09-12T00:00:00Z"/>
        <d v="2016-09-14T00:00:00Z"/>
        <d v="2016-09-16T00:00:00Z"/>
        <d v="2016-09-17T00:00:00Z"/>
        <d v="2016-09-18T00:00:00Z"/>
        <d v="2016-09-19T00:00:00Z"/>
        <d v="2016-09-21T00:00:00Z"/>
        <d v="2016-09-22T00:00:00Z"/>
        <d v="2016-09-23T00:00:00Z"/>
        <d v="2016-09-27T00:00:00Z"/>
        <d v="2016-09-28T00:00:00Z"/>
        <d v="2016-10-02T00:00:00Z"/>
        <d v="2016-10-03T00:00:00Z"/>
        <d v="2016-10-06T00:00:00Z"/>
        <d v="2016-10-07T00:00:00Z"/>
        <d v="2016-10-08T00:00:00Z"/>
        <d v="2016-10-11T00:00:00Z"/>
        <d v="2016-10-12T00:00:00Z"/>
        <d v="2016-10-14T00:00:00Z"/>
        <d v="2016-10-15T00:00:00Z"/>
        <d v="2016-10-16T00:00:00Z"/>
        <d v="2016-10-17T00:00:00Z"/>
        <d v="2016-10-18T00:00:00Z"/>
        <d v="2016-10-22T00:00:00Z"/>
        <d v="2016-10-27T00:00:00Z"/>
        <d v="2016-10-28T00:00:00Z"/>
        <d v="2016-10-29T00:00:00Z"/>
        <d v="2016-10-30T00:00:00Z"/>
        <d v="2016-11-01T00:00:00Z"/>
        <d v="2016-11-02T00:00:00Z"/>
        <d v="2016-11-03T00:00:00Z"/>
        <d v="2016-11-04T00:00:00Z"/>
        <d v="2016-11-05T00:00:00Z"/>
        <d v="2016-11-07T00:00:00Z"/>
        <d v="2016-11-08T00:00:00Z"/>
        <d v="2016-11-09T00:00:00Z"/>
        <d v="2016-11-10T00:00:00Z"/>
        <d v="2016-11-11T00:00:00Z"/>
        <d v="2016-11-12T00:00:00Z"/>
        <d v="2016-11-14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6T00:00:00Z"/>
        <d v="2016-11-27T00:00:00Z"/>
        <d v="2016-11-29T00:00:00Z"/>
        <d v="2016-12-02T00:00:00Z"/>
        <d v="2016-12-04T00:00:00Z"/>
        <d v="2016-12-06T00:00:00Z"/>
        <d v="2016-12-07T00:00:00Z"/>
        <d v="2016-12-10T00:00:00Z"/>
        <d v="2016-12-11T00:00:00Z"/>
        <d v="2016-12-12T00:00:00Z"/>
        <d v="2016-12-14T00:00:00Z"/>
        <d v="2016-12-15T00:00:00Z"/>
        <d v="2016-12-16T00:00:00Z"/>
        <d v="2016-12-17T00:00:00Z"/>
        <d v="2016-12-22T00:00:00Z"/>
        <d v="2016-12-23T00:00:00Z"/>
        <d v="2016-12-25T00:00:00Z"/>
        <d v="2016-12-27T00:00:00Z"/>
        <d v="2016-12-30T00:00:00Z"/>
        <d v="2016-12-31T00:00:00Z"/>
        <d v="2017-01-02T00:00:00Z"/>
        <d v="2017-01-04T00:00:00Z"/>
        <d v="2017-01-05T00:00:00Z"/>
        <d v="2017-01-08T00:00:00Z"/>
        <d v="2017-01-09T00:00:00Z"/>
        <d v="2017-01-12T00:00:00Z"/>
        <d v="2017-01-13T00:00:00Z"/>
        <d v="2017-01-15T00:00:00Z"/>
        <d v="2017-01-16T00:00:00Z"/>
        <d v="2017-01-17T00:00:00Z"/>
        <d v="2017-01-18T00:00:00Z"/>
        <d v="2017-01-21T00:00:00Z"/>
        <d v="2017-01-23T00:00:00Z"/>
        <d v="2017-01-25T00:00:00Z"/>
        <d v="2017-02-01T00:00:00Z"/>
        <d v="2017-02-02T00:00:00Z"/>
        <d v="2017-02-05T00:00:00Z"/>
        <d v="2017-02-06T00:00:00Z"/>
        <d v="2017-02-07T00:00:00Z"/>
        <d v="2017-02-09T00:00:00Z"/>
        <d v="2017-02-10T00:00:00Z"/>
        <d v="2017-02-13T00:00:00Z"/>
        <d v="2017-02-14T00:00:00Z"/>
        <d v="2017-02-15T00:00:00Z"/>
        <d v="2017-02-17T00:00:00Z"/>
        <d v="2017-02-19T00:00:00Z"/>
        <d v="2017-02-21T00:00:00Z"/>
        <d v="2017-02-24T00:00:00Z"/>
        <d v="2017-02-27T00:00:00Z"/>
        <d v="2017-02-28T00:00:00Z"/>
        <d v="2017-03-01T00:00:00Z"/>
        <d v="2017-03-02T00:00:00Z"/>
        <d v="2017-03-03T00:00:00Z"/>
        <d v="2017-03-04T00:00:00Z"/>
        <d v="2017-03-07T00:00:00Z"/>
        <d v="2017-03-11T00:00:00Z"/>
        <d v="2017-03-13T00:00:00Z"/>
        <d v="2017-03-19T00:00:00Z"/>
        <d v="2017-03-22T00:00:00Z"/>
        <d v="2017-03-23T00:00:00Z"/>
        <d v="2017-03-24T00:00:00Z"/>
        <d v="2017-03-25T00:00:00Z"/>
        <d v="2017-03-27T00:00:00Z"/>
        <d v="2017-03-30T00:00:00Z"/>
        <d v="2017-03-31T00:00:00Z"/>
        <d v="2017-04-02T00:00:00Z"/>
        <d v="2017-04-06T00:00:00Z"/>
        <d v="2017-04-10T00:00:00Z"/>
        <d v="2017-04-12T00:00:00Z"/>
        <d v="2017-04-13T00:00:00Z"/>
        <d v="2017-04-18T00:00:00Z"/>
        <d v="2017-04-21T00:00:00Z"/>
        <d v="2017-04-22T00:00:00Z"/>
        <d v="2017-04-24T00:00:00Z"/>
        <d v="2017-04-27T00:00:00Z"/>
        <d v="2017-04-28T00:00:00Z"/>
        <d v="2017-04-29T00:00:00Z"/>
        <d v="2017-05-01T00:00:00Z"/>
        <d v="2017-05-07T00:00:00Z"/>
        <d v="2017-05-08T00:00:00Z"/>
        <d v="2017-05-09T00:00:00Z"/>
        <d v="2017-05-10T00:00:00Z"/>
        <d v="2017-05-11T00:00:00Z"/>
        <d v="2017-05-13T00:00:00Z"/>
        <d v="2017-05-14T00:00:00Z"/>
        <d v="2017-05-17T00:00:00Z"/>
        <d v="2017-05-18T00:00:00Z"/>
        <d v="2017-05-20T00:00:00Z"/>
        <d v="2017-05-22T00:00:00Z"/>
        <d v="2017-05-24T00:00:00Z"/>
        <d v="2017-05-25T00:00:00Z"/>
        <d v="2017-05-27T00:00:00Z"/>
        <d v="2017-05-28T00:00:00Z"/>
        <d v="2017-05-30T00:00:00Z"/>
        <d v="2017-05-31T00:00:00Z"/>
        <d v="2017-06-06T00:00:00Z"/>
        <d v="2017-06-07T00:00:00Z"/>
        <d v="2017-06-08T00:00:00Z"/>
        <d v="2017-06-09T00:00:00Z"/>
        <d v="2017-06-12T00:00:00Z"/>
        <d v="2017-06-14T00:00:00Z"/>
        <d v="2017-06-18T00:00:00Z"/>
        <d v="2017-06-22T00:00:00Z"/>
        <d v="2017-06-23T00:00:00Z"/>
        <d v="2017-06-24T00:00:00Z"/>
        <d v="2017-06-25T00:00:00Z"/>
        <d v="2017-06-27T00:00:00Z"/>
        <d v="2017-06-29T00:00:00Z"/>
        <d v="2017-07-01T00:00:00Z"/>
        <d v="2017-07-03T00:00:00Z"/>
        <d v="2017-07-10T00:00:00Z"/>
        <d v="2017-07-11T00:00:00Z"/>
        <d v="2017-07-13T00:00:00Z"/>
        <d v="2017-07-14T00:00:00Z"/>
        <d v="2017-07-15T00:00:00Z"/>
        <d v="2017-07-16T00:00:00Z"/>
        <d v="2017-07-17T00:00:00Z"/>
        <d v="2017-07-19T00:00:00Z"/>
        <d v="2017-07-20T00:00:00Z"/>
        <d v="2017-07-24T00:00:00Z"/>
        <d v="2017-07-28T00:00:00Z"/>
        <d v="2017-07-30T00:00:00Z"/>
        <d v="2017-08-14T00:00:00Z"/>
        <d v="2017-08-15T00:00:00Z"/>
        <d v="2017-08-18T00:00:00Z"/>
        <d v="2017-08-20T00:00:00Z"/>
        <d v="2017-08-21T00:00:00Z"/>
        <d v="2017-08-23T00:00:00Z"/>
        <d v="2017-08-25T00:00:00Z"/>
        <d v="2017-08-27T00:00:00Z"/>
        <d v="2017-08-29T00:00:00Z"/>
        <d v="2017-08-31T00:00:00Z"/>
        <d v="2017-09-06T00:00:00Z"/>
        <d v="2017-09-10T00:00:00Z"/>
        <d v="2017-09-14T00:00:00Z"/>
        <d v="2017-09-15T00:00:00Z"/>
        <d v="2017-09-16T00:00:00Z"/>
        <d v="2017-09-17T00:00:00Z"/>
        <d v="2017-09-19T00:00:00Z"/>
        <d v="2017-09-20T00:00:00Z"/>
        <d v="2017-09-21T00:00:00Z"/>
        <d v="2017-09-25T00:00:00Z"/>
        <d v="2017-09-28T00:00:00Z"/>
        <d v="2017-09-29T00:00:00Z"/>
        <d v="2017-09-30T00:00:00Z"/>
        <d v="2017-10-01T00:00:00Z"/>
        <d v="2017-10-04T00:00:00Z"/>
        <d v="2017-10-05T00:00:00Z"/>
        <d v="2017-10-07T00:00:00Z"/>
        <d v="2017-10-09T00:00:00Z"/>
        <d v="2017-10-11T00:00:00Z"/>
        <d v="2017-10-12T00:00:00Z"/>
        <d v="2017-10-16T00:00:00Z"/>
        <d v="2017-10-17T00:00:00Z"/>
        <d v="2017-10-23T00:00:00Z"/>
        <d v="2017-10-24T00:00:00Z"/>
        <d v="2017-10-27T00:00:00Z"/>
        <d v="2017-10-29T00:00:00Z"/>
        <d v="2017-10-30T00:00:00Z"/>
        <d v="2017-11-03T00:00:00Z"/>
        <d v="2017-11-05T00:00:00Z"/>
        <d v="2017-11-06T00:00:00Z"/>
        <d v="2017-11-07T00:00:00Z"/>
        <d v="2017-11-09T00:00:00Z"/>
        <d v="2017-11-11T00:00:00Z"/>
        <d v="2017-11-15T00:00:00Z"/>
        <d v="2017-11-17T00:00:00Z"/>
        <d v="2017-11-18T00:00:00Z"/>
        <d v="2017-11-19T00:00:00Z"/>
        <d v="2017-11-23T00:00:00Z"/>
        <d v="2017-11-24T00:00:00Z"/>
        <d v="2017-12-04T00:00:00Z"/>
        <d v="2017-12-07T00:00:00Z"/>
        <d v="2017-12-08T00:00:00Z"/>
        <d v="2017-12-09T00:00:00Z"/>
        <d v="2017-12-10T00:00:00Z"/>
        <d v="2017-12-15T00:00:00Z"/>
        <d v="2017-12-16T00:00:00Z"/>
        <d v="2017-12-17T00:00:00Z"/>
        <d v="2017-12-20T00:00:00Z"/>
        <d v="2017-12-23T00:00:00Z"/>
        <d v="2017-12-24T00:00:00Z"/>
        <d v="2017-12-25T00:00:00Z"/>
        <d v="2017-12-26T00:00:00Z"/>
        <d v="2017-12-30T00:00:00Z"/>
        <d v="2018-01-03T00:00:00Z"/>
        <d v="2018-01-05T00:00:00Z"/>
        <d v="2018-01-09T00:00:00Z"/>
        <d v="2018-01-10T00:00:00Z"/>
        <d v="2018-01-11T00:00:00Z"/>
        <d v="2018-01-13T00:00:00Z"/>
        <d v="2018-01-14T00:00:00Z"/>
        <d v="2018-01-15T00:00:00Z"/>
        <d v="2018-01-16T00:00:00Z"/>
        <d v="2018-01-18T00:00:00Z"/>
        <d v="2018-01-20T00:00:00Z"/>
        <d v="2018-01-21T00:00:00Z"/>
        <d v="2018-01-22T00:00:00Z"/>
        <d v="2018-01-23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7T00:00:00Z"/>
        <d v="2018-02-08T00:00:00Z"/>
        <d v="2018-02-09T00:00:00Z"/>
        <d v="2018-02-10T00:00:00Z"/>
        <d v="2018-02-13T00:00:00Z"/>
        <d v="2018-02-14T00:00:00Z"/>
        <d v="2018-02-15T00:00:00Z"/>
        <d v="2018-02-19T00:00:00Z"/>
        <d v="2018-02-22T00:00:00Z"/>
        <d v="2018-02-23T00:00:00Z"/>
        <d v="2018-02-28T00:00:00Z"/>
        <d v="2018-03-01T00:00:00Z"/>
        <d v="2018-03-02T00:00:00Z"/>
        <d v="2018-03-03T00:00:00Z"/>
        <d v="2018-03-05T00:00:00Z"/>
        <d v="2018-03-06T00:00:00Z"/>
        <d v="2018-03-07T00:00:00Z"/>
        <d v="2018-03-10T00:00:00Z"/>
        <d v="2018-03-14T00:00:00Z"/>
        <d v="2018-03-15T00:00:00Z"/>
        <d v="2018-03-18T00:00:00Z"/>
        <d v="2018-03-19T00:00:00Z"/>
        <d v="2018-03-20T00:00:00Z"/>
        <d v="2018-03-22T00:00:00Z"/>
        <d v="2018-03-23T00:00:00Z"/>
        <d v="2018-03-24T00:00:00Z"/>
        <d v="2018-03-27T00:00:00Z"/>
        <d v="2018-03-30T00:00:00Z"/>
        <d v="2018-04-05T00:00:00Z"/>
        <d v="2018-04-08T00:00:00Z"/>
        <d v="2018-04-09T00:00:00Z"/>
        <d v="2018-04-10T00:00:00Z"/>
        <d v="2018-04-11T00:00:00Z"/>
        <d v="2018-04-13T00:00:00Z"/>
        <d v="2018-04-15T00:00:00Z"/>
        <d v="2018-04-16T00:00:00Z"/>
        <d v="2018-04-21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5-01T00:00:00Z"/>
        <d v="2018-05-04T00:00:00Z"/>
        <d v="2018-05-05T00:00:00Z"/>
        <d v="2018-05-06T00:00:00Z"/>
        <d v="2018-05-07T00:00:00Z"/>
        <d v="2018-05-10T00:00:00Z"/>
        <d v="2018-05-12T00:00:00Z"/>
        <d v="2018-05-14T00:00:00Z"/>
        <d v="2018-05-15T00:00:00Z"/>
        <d v="2018-05-16T00:00:00Z"/>
        <d v="2018-05-18T00:00:00Z"/>
        <d v="2018-05-19T00:00:00Z"/>
        <d v="2018-05-22T00:00:00Z"/>
        <d v="2018-05-23T00:00:00Z"/>
        <d v="2018-05-24T00:00:00Z"/>
        <d v="2018-05-27T00:00:00Z"/>
        <d v="2018-05-29T00:00:00Z"/>
        <d v="2018-05-30T00:00:00Z"/>
        <d v="2018-06-01T00:00:00Z"/>
        <d v="2018-06-02T00:00:00Z"/>
        <d v="2018-06-07T00:00:00Z"/>
        <d v="2018-06-08T00:00:00Z"/>
        <d v="2018-06-11T00:00:00Z"/>
        <d v="2018-06-13T00:00:00Z"/>
        <d v="2018-06-14T00:00:00Z"/>
        <d v="2018-06-15T00:00:00Z"/>
        <d v="2018-06-16T00:00:00Z"/>
        <d v="2018-06-18T00:00:00Z"/>
        <d v="2018-06-23T00:00:00Z"/>
        <d v="2018-06-24T00:00:00Z"/>
        <d v="2018-06-27T00:00:00Z"/>
        <d v="2018-06-28T00:00:00Z"/>
        <d v="2018-06-29T00:00:00Z"/>
        <d v="2018-06-30T00:00:00Z"/>
        <d v="2018-07-02T00:00:00Z"/>
        <d v="2018-07-03T00:00:00Z"/>
        <d v="2018-07-04T00:00:00Z"/>
        <d v="2018-07-06T00:00:00Z"/>
        <d v="2018-07-07T00:00:00Z"/>
        <d v="2018-07-12T00:00:00Z"/>
        <d v="2018-07-17T00:00:00Z"/>
        <d v="2018-07-21T00:00:00Z"/>
        <d v="2018-07-23T00:00:00Z"/>
        <d v="2018-07-24T00:00:00Z"/>
        <d v="2018-07-26T00:00:00Z"/>
        <d v="2018-07-31T00:00:00Z"/>
        <d v="2018-08-01T00:00:00Z"/>
        <d v="2018-08-02T00:00:00Z"/>
        <d v="2018-08-05T00:00:00Z"/>
        <d v="2018-08-06T00:00:00Z"/>
        <d v="2018-08-07T00:00:00Z"/>
        <d v="2018-08-08T00:00:00Z"/>
        <d v="2018-08-10T00:00:00Z"/>
        <d v="2018-08-11T00:00:00Z"/>
        <d v="2018-08-12T00:00:00Z"/>
        <d v="2018-08-13T00:00:00Z"/>
        <d v="2018-08-14T00:00:00Z"/>
        <d v="2018-08-15T00:00:00Z"/>
        <d v="2018-08-16T00:00:00Z"/>
        <d v="2018-08-18T00:00:00Z"/>
        <d v="2018-08-22T00:00:00Z"/>
        <d v="2018-08-23T00:00:00Z"/>
        <d v="2018-08-24T00:00:00Z"/>
        <d v="2018-08-26T00:00:00Z"/>
        <d v="2018-08-27T00:00:00Z"/>
        <d v="2018-08-29T00:00:00Z"/>
        <d v="2018-08-30T00:00:00Z"/>
        <d v="2018-08-31T00:00:00Z"/>
        <d v="2018-09-01T00:00:00Z"/>
        <d v="2018-09-03T00:00:00Z"/>
        <d v="2018-09-05T00:00:00Z"/>
        <d v="2018-09-07T00:00:00Z"/>
        <d v="2018-09-08T00:00:00Z"/>
        <d v="2018-09-09T00:00:00Z"/>
        <d v="2018-09-10T00:00:00Z"/>
        <d v="2018-09-12T00:00:00Z"/>
        <d v="2018-09-13T00:00:00Z"/>
        <d v="2018-09-20T00:00:00Z"/>
        <d v="2018-09-22T00:00:00Z"/>
        <d v="2018-09-23T00:00:00Z"/>
        <d v="2018-09-25T00:00:00Z"/>
        <d v="2018-09-26T00:00:00Z"/>
        <d v="2018-10-02T00:00:00Z"/>
        <d v="2018-10-03T00:00:00Z"/>
        <d v="2018-10-07T00:00:00Z"/>
        <d v="2018-10-09T00:00:00Z"/>
        <d v="2018-10-10T00:00:00Z"/>
        <d v="2018-10-11T00:00:00Z"/>
        <d v="2018-10-14T00:00:00Z"/>
        <d v="2018-10-16T00:00:00Z"/>
        <d v="2018-10-17T00:00:00Z"/>
        <d v="2018-10-21T00:00:00Z"/>
        <d v="2018-10-23T00:00:00Z"/>
        <d v="2018-10-24T00:00:00Z"/>
        <d v="2018-10-26T00:00:00Z"/>
        <d v="2018-10-27T00:00:00Z"/>
        <d v="2018-10-28T00:00:00Z"/>
        <d v="2018-10-29T00:00:00Z"/>
        <d v="2018-10-30T00:00:00Z"/>
        <d v="2018-10-31T00:00:00Z"/>
        <d v="2018-11-01T00:00:00Z"/>
        <d v="2018-11-04T00:00:00Z"/>
        <d v="2018-11-05T00:00:00Z"/>
        <d v="2018-11-06T00:00:00Z"/>
        <d v="2018-11-07T00:00:00Z"/>
        <d v="2018-11-08T00:00:00Z"/>
        <d v="2018-11-10T00:00:00Z"/>
        <d v="2018-11-11T00:00:00Z"/>
        <d v="2018-11-13T00:00:00Z"/>
        <d v="2018-11-14T00:00:00Z"/>
        <d v="2018-11-15T00:00:00Z"/>
        <d v="2018-11-19T00:00:00Z"/>
        <d v="2018-11-20T00:00:00Z"/>
        <d v="2018-11-22T00:00:00Z"/>
        <d v="2018-11-23T00:00:00Z"/>
        <d v="2018-11-24T00:00:00Z"/>
        <d v="2018-11-26T00:00:00Z"/>
        <d v="2018-11-27T00:00:00Z"/>
        <d v="2018-12-03T00:00:00Z"/>
        <d v="2018-12-04T00:00:00Z"/>
        <d v="2018-12-05T00:00:00Z"/>
        <d v="2018-12-06T00:00:00Z"/>
        <d v="2018-12-08T00:00:00Z"/>
        <d v="2018-12-10T00:00:00Z"/>
        <d v="2018-12-12T00:00:00Z"/>
        <d v="2018-12-13T00:00:00Z"/>
        <d v="2018-12-15T00:00:00Z"/>
        <d v="2018-12-16T00:00:00Z"/>
        <d v="2018-12-17T00:00:00Z"/>
        <d v="2018-12-19T00:00:00Z"/>
        <d v="2018-12-20T00:00:00Z"/>
        <d v="2018-12-21T00:00:00Z"/>
        <d v="2018-12-23T00:00:00Z"/>
        <d v="2018-12-24T00:00:00Z"/>
        <d v="2018-12-25T00:00:00Z"/>
        <d v="2018-12-28T00:00:00Z"/>
        <d v="2018-12-29T00:00:00Z"/>
        <d v="2018-12-30T00:00:00Z"/>
        <d v="2019-01-07T00:00:00Z"/>
        <d v="2019-01-08T00:00:00Z"/>
        <d v="2019-01-09T00:00:00Z"/>
        <d v="2019-01-10T00:00:00Z"/>
        <d v="2019-01-11T00:00:00Z"/>
        <d v="2019-01-13T00:00:00Z"/>
        <d v="2019-01-21T00:00:00Z"/>
        <d v="2019-01-24T00:00:00Z"/>
        <d v="2019-01-25T00:00:00Z"/>
        <d v="2019-01-27T00:00:00Z"/>
        <d v="2019-02-01T00:00:00Z"/>
        <d v="2019-02-02T00:00:00Z"/>
        <d v="2019-02-05T00:00:00Z"/>
        <d v="2019-02-09T00:00:00Z"/>
        <d v="2019-02-12T00:00:00Z"/>
        <d v="2019-02-13T00:00:00Z"/>
        <d v="2019-02-18T00:00:00Z"/>
        <d v="2019-02-19T00:00:00Z"/>
        <d v="2019-02-22T00:00:00Z"/>
        <d v="2019-02-23T00:00:00Z"/>
        <d v="2019-02-24T00:00:00Z"/>
        <d v="2019-02-27T00:00:00Z"/>
        <d v="2019-02-28T00:00:00Z"/>
        <d v="2019-03-01T00:00:00Z"/>
        <d v="2019-03-04T00:00:00Z"/>
        <d v="2019-03-06T00:00:00Z"/>
        <d v="2019-03-08T00:00:00Z"/>
        <d v="2019-03-12T00:00:00Z"/>
        <d v="2019-03-14T00:00:00Z"/>
        <d v="2019-03-18T00:00:00Z"/>
        <d v="2019-03-20T00:00:00Z"/>
        <d v="2019-03-22T00:00:00Z"/>
        <d v="2019-03-23T00:00:00Z"/>
        <d v="2019-03-30T00:00:00Z"/>
        <d v="2019-04-02T00:00:00Z"/>
        <d v="2019-04-05T00:00:00Z"/>
        <d v="2019-04-07T00:00:00Z"/>
        <d v="2019-04-08T00:00:00Z"/>
        <d v="2019-04-11T00:00:00Z"/>
        <d v="2019-04-14T00:00:00Z"/>
        <d v="2019-04-16T00:00:00Z"/>
        <d v="2019-04-23T00:00:00Z"/>
        <d v="2019-04-26T00:00:00Z"/>
        <d v="2019-05-01T00:00:00Z"/>
        <d v="2019-05-02T00:00:00Z"/>
        <d v="2019-05-03T00:00:00Z"/>
        <d v="2019-05-08T00:00:00Z"/>
        <d v="2019-05-10T00:00:00Z"/>
        <d v="2019-05-12T00:00:00Z"/>
        <d v="2019-05-13T00:00:00Z"/>
        <d v="2019-05-16T00:00:00Z"/>
        <d v="2019-05-17T00:00:00Z"/>
        <d v="2019-05-18T00:00:00Z"/>
        <d v="2019-05-19T00:00:00Z"/>
        <d v="2019-05-23T00:00:00Z"/>
        <d v="2019-05-24T00:00:00Z"/>
        <d v="2019-05-25T00:00:00Z"/>
        <d v="2019-05-26T00:00:00Z"/>
        <d v="2019-05-27T00:00:00Z"/>
        <d v="2019-05-28T00:00:00Z"/>
        <d v="2019-05-31T00:00:00Z"/>
        <d v="2019-06-01T00:00:00Z"/>
        <d v="2019-06-04T00:00:00Z"/>
        <d v="2019-06-06T00:00:00Z"/>
        <d v="2019-06-07T00:00:00Z"/>
        <d v="2019-06-10T00:00:00Z"/>
        <d v="2019-06-13T00:00:00Z"/>
        <d v="2019-06-18T00:00:00Z"/>
        <d v="2019-06-19T00:00:00Z"/>
        <d v="2019-06-20T00:00:00Z"/>
        <d v="2019-06-22T00:00:00Z"/>
        <d v="2019-06-24T00:00:00Z"/>
        <d v="2019-06-25T00:00:00Z"/>
        <d v="2019-06-27T00:00:00Z"/>
        <d v="2019-06-30T00:00:00Z"/>
        <d v="2019-07-01T00:00:00Z"/>
        <d v="2019-07-03T00:00:00Z"/>
        <d v="2019-07-04T00:00:00Z"/>
        <d v="2019-07-08T00:00:00Z"/>
        <d v="2019-07-09T00:00:00Z"/>
        <d v="2019-07-10T00:00:00Z"/>
        <d v="2019-07-12T00:00:00Z"/>
        <d v="2019-07-13T00:00:00Z"/>
        <d v="2019-07-16T00:00:00Z"/>
        <d v="2019-07-17T00:00:00Z"/>
        <d v="2019-07-19T00:00:00Z"/>
        <d v="2019-07-20T00:00:00Z"/>
        <d v="2019-07-24T00:00:00Z"/>
        <d v="2019-07-25T00:00:00Z"/>
        <d v="2019-07-27T00:00:00Z"/>
        <d v="2019-07-31T00:00:00Z"/>
        <d v="2019-08-01T00:00:00Z"/>
        <d v="2019-08-06T00:00:00Z"/>
        <d v="2019-08-07T00:00:00Z"/>
        <d v="2019-08-08T00:00:00Z"/>
        <d v="2019-08-10T00:00:00Z"/>
        <d v="2019-08-14T00:00:00Z"/>
        <d v="2019-08-15T00:00:00Z"/>
        <d v="2019-08-18T00:00:00Z"/>
        <d v="2019-08-21T00:00:00Z"/>
        <d v="2019-08-22T00:00:00Z"/>
        <d v="2019-08-23T00:00:00Z"/>
        <d v="2019-08-25T00:00:00Z"/>
        <d v="2019-08-27T00:00:00Z"/>
        <d v="2019-08-30T00:00:00Z"/>
        <d v="2019-08-31T00:00:00Z"/>
        <d v="2019-09-01T00:00:00Z"/>
        <d v="2019-09-03T00:00:00Z"/>
        <d v="2019-09-04T00:00:00Z"/>
        <d v="2019-09-05T00:00:00Z"/>
        <d v="2019-09-08T00:00:00Z"/>
        <d v="2019-09-09T00:00:00Z"/>
        <d v="2019-09-11T00:00:00Z"/>
        <d v="2019-09-12T00:00:00Z"/>
        <d v="2019-09-13T00:00:00Z"/>
        <d v="2019-09-15T00:00:00Z"/>
        <d v="2019-09-16T00:00:00Z"/>
        <d v="2019-09-24T00:00:00Z"/>
        <d v="2019-09-26T00:00:00Z"/>
        <d v="2019-09-27T00:00:00Z"/>
        <d v="2019-09-28T00:00:00Z"/>
        <d v="2019-10-01T00:00:00Z"/>
        <d v="2019-10-02T00:00:00Z"/>
        <d v="2019-10-03T00:00:00Z"/>
        <d v="2019-10-08T00:00:00Z"/>
        <d v="2019-10-11T00:00:00Z"/>
        <d v="2019-10-12T00:00:00Z"/>
        <d v="2019-10-13T00:00:00Z"/>
        <d v="2019-10-15T00:00:00Z"/>
        <d v="2019-10-16T00:00:00Z"/>
        <d v="2019-10-18T00:00:00Z"/>
        <d v="2019-10-20T00:00:00Z"/>
        <d v="2019-10-24T00:00:00Z"/>
        <d v="2019-10-25T00:00:00Z"/>
        <d v="2019-10-29T00:00:00Z"/>
        <d v="2019-10-30T00:00:00Z"/>
        <d v="2019-11-09T00:00:00Z"/>
        <d v="2019-11-10T00:00:00Z"/>
        <d v="2019-11-15T00:00:00Z"/>
        <d v="2019-11-16T00:00:00Z"/>
        <d v="2019-11-17T00:00:00Z"/>
        <d v="2019-11-18T00:00:00Z"/>
        <d v="2019-11-20T00:00:00Z"/>
        <d v="2019-11-21T00:00:00Z"/>
        <d v="2019-11-24T00:00:00Z"/>
        <d v="2019-11-28T00:00:00Z"/>
        <d v="2019-11-30T00:00:00Z"/>
        <d v="2019-12-01T00:00:00Z"/>
        <d v="2019-12-03T00:00:00Z"/>
        <d v="2019-12-06T00:00:00Z"/>
        <d v="2019-12-07T00:00:00Z"/>
        <d v="2019-12-10T00:00:00Z"/>
        <d v="2019-12-14T00:00:00Z"/>
        <d v="2019-12-17T00:00:00Z"/>
        <d v="2019-12-18T00:00:00Z"/>
        <d v="2019-12-19T00:00:00Z"/>
        <d v="2019-12-20T00:00:00Z"/>
        <d v="2019-12-27T00:00:00Z"/>
        <d v="2019-12-28T00:00:00Z"/>
        <d v="2019-12-29T00:00:00Z"/>
        <d v="2019-12-31T00:00:00Z"/>
        <d v="2020-01-01T00:00:00Z"/>
        <d v="2020-01-03T00:00:00Z"/>
        <d v="2020-01-04T00:00:00Z"/>
        <d v="2020-01-05T00:00:00Z"/>
        <d v="2020-01-06T00:00:00Z"/>
        <d v="2020-01-08T00:00:00Z"/>
        <d v="2020-01-09T00:00:00Z"/>
        <d v="2020-01-11T00:00:00Z"/>
        <d v="2020-01-13T00:00:00Z"/>
        <d v="2020-01-14T00:00:00Z"/>
        <d v="2020-01-19T00:00:00Z"/>
        <d v="2020-01-21T00:00:00Z"/>
        <d v="2020-01-24T00:00:00Z"/>
        <d v="2020-01-25T00:00:00Z"/>
        <d v="2020-01-26T00:00:00Z"/>
        <d v="2020-01-27T00:00:00Z"/>
        <d v="2020-01-28T00:00:00Z"/>
        <d v="2020-01-29T00:00:00Z"/>
        <d v="2020-01-31T00:00:00Z"/>
        <d v="2020-02-01T00:00:00Z"/>
        <d v="2020-02-02T00:00:00Z"/>
        <d v="2020-02-04T00:00:00Z"/>
        <d v="2020-02-05T00:00:00Z"/>
        <d v="2020-02-07T00:00:00Z"/>
        <d v="2020-02-09T00:00:00Z"/>
        <d v="2020-02-10T00:00:00Z"/>
        <d v="2020-02-11T00:00:00Z"/>
        <d v="2020-02-13T00:00:00Z"/>
        <d v="2020-02-15T00:00:00Z"/>
        <d v="2020-02-16T00:00:00Z"/>
        <d v="2020-02-18T00:00:00Z"/>
        <d v="2020-02-21T00:00:00Z"/>
        <d v="2020-02-22T00:00:00Z"/>
        <d v="2020-02-23T00:00:00Z"/>
        <d v="2020-02-25T00:00:00Z"/>
        <d v="2020-02-26T00:00:00Z"/>
        <d v="2020-02-27T00:00:00Z"/>
        <d v="2020-02-29T00:00:00Z"/>
        <d v="2020-03-01T00:00:00Z"/>
        <d v="2020-03-04T00:00:00Z"/>
        <d v="2020-03-06T00:00:00Z"/>
        <d v="2020-03-07T00:00:00Z"/>
        <d v="2020-03-10T00:00:00Z"/>
        <d v="2020-03-11T00:00:00Z"/>
        <d v="2020-03-12T00:00:00Z"/>
        <d v="2020-03-13T00:00:00Z"/>
        <d v="2020-03-15T00:00:00Z"/>
        <d v="2020-03-17T00:00:00Z"/>
        <d v="2020-03-18T00:00:00Z"/>
        <d v="2020-03-19T00:00:00Z"/>
        <d v="2020-03-20T00:00:00Z"/>
        <d v="2020-03-22T00:00:00Z"/>
        <d v="2020-03-23T00:00:00Z"/>
        <d v="2020-03-24T00:00:00Z"/>
      </sharedItems>
    </cacheField>
    <cacheField name="Order Year" numFmtId="0">
      <sharedItems containsSemiMixedTypes="0" containsString="0" containsNumber="1" containsInteger="1">
        <n v="2016.0"/>
        <n v="2017.0"/>
        <n v="2018.0"/>
        <n v="2019.0"/>
        <n v="2020.0"/>
      </sharedItems>
    </cacheField>
    <cacheField name="Customer Name" numFmtId="0">
      <sharedItems>
        <s v="Wawan Riyanti"/>
        <s v="Aditya Nainggolan"/>
        <s v="Rafid Sudiati"/>
        <s v="Pangestu Maulana"/>
        <s v="Pangestu Hariyah"/>
        <s v="Nilam Suwarno"/>
        <s v="Endra Hutapea"/>
        <s v="Embuh Wibisono"/>
        <s v="Unggul Zulaika"/>
        <s v="Gina Rajata"/>
        <s v="Opung Kuswoyo"/>
        <s v="Rafi Januar"/>
        <s v="Ajimat Hutapea"/>
        <s v="Rafi Anggriawan"/>
        <s v="Balamantri Mandasari"/>
        <s v="Gaduh Hassanah"/>
        <s v="Bagya Permadi"/>
        <s v="Labuh Permata"/>
        <s v="Lantar Yuliarti"/>
        <s v="Darijan Pratiwi"/>
        <s v="Ami Utami"/>
        <s v="Citra Riyanti"/>
        <s v="Aris Ardianto"/>
        <s v="Kenes Nababan"/>
        <s v="Cindy Maryati"/>
        <s v="Prakosa Budiman"/>
        <s v="Padma Nugroho"/>
        <s v="Ani Maryadi"/>
        <s v="Bakidin Anggraini"/>
        <s v="Koko Setiawan"/>
        <s v="Teddy Yuniar"/>
        <s v="Narji Wastuti"/>
        <s v="Ami Maheswara"/>
        <s v="Pandu Mustofa"/>
        <s v="Ganep Waluyo"/>
        <s v="Elma Agustina"/>
        <s v="Wani Astuti"/>
        <s v="Raditya Uwais"/>
        <s v="Cahyono Hidayanto"/>
        <s v="Rika Uwais"/>
        <s v="Indra Jailani"/>
        <s v="Umaya Yulianti"/>
        <s v="Yuni Pradipta"/>
        <s v="Kasiran Firgantoro"/>
        <s v="Gara Aryani"/>
        <s v="Saadat Hutapea"/>
        <s v="Asman Dongoran"/>
        <s v="Cengkal Prastuti"/>
        <s v="Danang Uyainah"/>
        <s v="Cager Prayoga"/>
        <s v="Joko Mangunsong"/>
        <s v="Gandewa Hariyah"/>
        <s v="Candrakanta Aryani"/>
        <s v="Enteng Simbolon"/>
        <s v="Limar Laksmiwati"/>
        <s v="Gara Purwanti"/>
        <s v="Cakrawala Yuniar"/>
        <s v="Gamani Laksmiwati"/>
        <s v="Caturangga Dabukke"/>
        <s v="Jagapati Marbun"/>
        <s v="Saiful Putra"/>
        <s v="Yuni Wastuti"/>
        <s v="Cahya Purnawati"/>
        <s v="Asmadi Simanjuntak"/>
        <s v="Kamila Sinaga"/>
        <s v="Ibun Haryanto"/>
        <s v="Chandra Firmansyah"/>
        <s v="Eja Anggriawan"/>
        <s v="Harja Pratiwi"/>
        <s v="Hasan Megantara"/>
        <s v="Widya Sihotang"/>
        <s v="Wulan Mustofa"/>
        <s v="Danang Mansur"/>
        <s v="Luhung Padmasari"/>
        <s v="Respati Puspita"/>
        <s v="Galang Sitompul"/>
        <s v="Kayla Sihombing"/>
        <s v="Jumadi Suartini"/>
        <s v="Rachel Pertiwi"/>
        <s v="Ellis Wahyudin"/>
        <s v="Praba Widodo"/>
        <s v="Ibrani Widiastuti"/>
        <s v="Karsa Kuswoyo"/>
        <s v="Zulaikha Salahudin"/>
        <s v="Siska Halim"/>
        <s v="Marsito Prasetya"/>
        <s v="Kuncara Hasanah"/>
        <s v="Warta Situmorang"/>
        <s v="Saadat Manullang"/>
        <s v="Rina Simanjuntak"/>
        <s v="Hari Situmorang"/>
        <s v="Oman Sihombing"/>
        <s v="Tira Wibowo"/>
        <s v="Martani Sudiati"/>
        <s v="Gabriella Simbolon"/>
        <s v="Ani Anggraini"/>
        <s v="Bagus Pranowo"/>
        <s v="Warsita Megantara"/>
        <s v="Daru Haryanti"/>
        <s v="Citra Saputra"/>
        <s v="Ismail Uwais"/>
        <s v="Wardi Rahayu"/>
        <s v="Ajiman Mandasari"/>
        <s v="Limar Usamah"/>
        <s v="Puji Haryanto"/>
        <s v="Tiara Halim"/>
        <s v="Hana Hastuti"/>
        <s v="Karta Purnawati"/>
        <s v="Siska Utami"/>
        <s v="Xanana Padmasari"/>
        <s v="Latika Namaga"/>
        <s v="Empluk Marbun"/>
        <s v="Rangga Hutasoit"/>
        <s v="Nugraha Nurdiyanti"/>
        <s v="Intan Oktaviani"/>
        <s v="Padma Adriansyah"/>
        <s v="Hendri Fujiati"/>
        <s v="Purwanto Pratama"/>
        <s v="Baktianto Halim"/>
        <s v="Kalim Simanjuntak"/>
        <s v="Latif Nasyiah"/>
        <s v="Yance Anggraini"/>
        <s v="Anita Siregar"/>
        <s v="Ikin Januar"/>
        <s v="Caraka Nasyiah"/>
        <s v="Bahuwarna Winarsih"/>
        <s v="Cindy Dongoran"/>
        <s v="Dadi Anggraini"/>
        <s v="Galang Namaga"/>
        <s v="Naradi Handayani"/>
        <s v="Almira Suryono"/>
        <s v="Halim Jailani"/>
        <s v="Olga Marpaung"/>
        <s v="Kawaya Puspasari"/>
        <s v="Nadine Waskita"/>
        <s v="Kani Aryani"/>
        <s v="Putri Maryadi"/>
        <s v="Ganep Uwais"/>
        <s v="Cawisadi Anggriawan"/>
        <s v="Olga Usamah"/>
        <s v="Warsita Maryadi"/>
        <s v="Anom Januar"/>
        <s v="Diah Sudiati"/>
        <s v="Bajragin Saputra"/>
        <s v="Prakosa Januar"/>
        <s v="Ilsa Hassanah"/>
        <s v="Eluh Usamah"/>
        <s v="Sakura Sihombing"/>
        <s v="Bancar Melani"/>
        <s v="Eja Aryani"/>
        <s v="Luis Siregar"/>
        <s v="Yuliana Rahmawati"/>
        <s v="Wahyu Mulyani"/>
        <s v="Mujur Hariyah"/>
        <s v="Intan Widodo"/>
        <s v="Tomi Putra"/>
        <s v="Pangeran Rahimah"/>
        <s v="Rachel Agustina"/>
        <s v="Sidiq Sirait"/>
        <s v="Genta Usada"/>
        <s v="Kairav Winarno"/>
        <s v="Daliman Pranowo"/>
        <s v="Harsaya Rahmawati"/>
        <s v="Raditya Mayasari"/>
        <s v="Tantri Handayani"/>
        <s v="Michelle Oktaviani"/>
        <s v="Luwar Yuniar"/>
        <s v="Ega Zulaika"/>
        <s v="Karya Haryanto"/>
        <s v="Prayogo Rajata"/>
        <s v="Cawuk Fujiati"/>
        <s v="Cakrawangsa Waluyo"/>
        <s v="Rafid Rahayu"/>
        <s v="Uda Megantara"/>
        <s v="Akarsana Purwanti"/>
        <s v="Dina Suryatmi"/>
        <s v="Tantri Hutapea"/>
        <s v="Capa Hartati"/>
        <s v="Najib Pratama"/>
        <s v="Ajiono Setiawan"/>
        <s v="Praba Handayani"/>
        <s v="Imam Pertiwi"/>
        <s v="Tantri Anggraini"/>
        <s v="Daruna Mustofa"/>
        <s v="Argono Farida"/>
        <s v="Salimah Habibi"/>
        <s v="Zulfa Puspasari"/>
        <s v="Ina Permata"/>
        <s v="Wardi Yolanda"/>
        <s v="Ega Rajata"/>
        <s v="Rahayu Nurdiyanti"/>
        <s v="Rangga Jailani"/>
        <s v="Wadi Siregar"/>
        <s v="Balapati Agustina"/>
        <s v="Tasdik Nugroho"/>
        <s v="Kiandra Salahudin"/>
        <s v="Usman Prabowo"/>
        <s v="Bahuraksa Saragih"/>
        <s v="Jasmani Napitupulu"/>
        <s v="Balangga Rahmawati"/>
        <s v="Kayla Melani"/>
        <s v="Raden Hasanah"/>
        <s v="Karsana Halim"/>
        <s v="Bakiadi Hassanah"/>
        <s v="Luhung Sudiati"/>
        <s v="Wisnu Kuswandari"/>
        <s v="Kunthara Prasetya"/>
        <s v="Umay Hardiansyah"/>
        <s v="Febi Pangestu"/>
        <s v="Rika Mayasari"/>
        <s v="Ayu Ardianto"/>
        <s v="Rusman Aryani"/>
        <s v="Jasmani Zulkarnain"/>
        <s v="Jinawi Puspita"/>
        <s v="Hilda Yulianti"/>
        <s v="Edi Waskita"/>
        <s v="Iriana Firmansyah"/>
        <s v="Tugiman Santoso"/>
        <s v="Iriana Permadi"/>
        <s v="Rizki Purnawati"/>
        <s v="Panca Saptono"/>
        <s v="Keisha Prayoga"/>
        <s v="Dwi Yuniar"/>
        <s v="Nurul Samosir"/>
        <s v="Taswir Budiman"/>
        <s v="Asirwanda Rahimah"/>
        <s v="Nilam Prastuti"/>
        <s v="Bagas Putra"/>
        <s v="Oskar Permadi"/>
        <s v="Gamani Maryati"/>
        <s v="Rahmi Prabowo"/>
        <s v="Galiono Wibowo"/>
        <s v="Viktor Sihombing"/>
        <s v="Lega Anggriawan"/>
        <s v="Cengkal Lazuardi"/>
        <s v="Raina Laksita"/>
        <s v="Jamil Mustofa"/>
        <s v="Nyana Suryatmi"/>
        <s v="Natalia Palastri"/>
        <s v="Dwi Utami"/>
        <s v="Jamal Hidayanto"/>
        <s v="Rahmi Prakasa"/>
        <s v="Eman Widodo"/>
        <s v="Gambira Prasasta"/>
        <s v="Lanang Wijayanti"/>
        <s v="Galuh Zulaika"/>
        <s v="Harimurti Wulandari"/>
        <s v="Mila Napitupulu"/>
        <s v="Eka Sitorus"/>
        <s v="Ade Novitasari"/>
        <s v="Wardi Nasyidah"/>
        <s v="Gatot Siregar"/>
        <s v="Dwi Suartini"/>
        <s v="Cahyono Novitasari"/>
        <s v="Puspa Maryati"/>
        <s v="Cawisadi Wijaya"/>
        <s v="Elma Samosir"/>
        <s v="Maman Wulandari"/>
        <s v="Prasetya Wahyuni"/>
        <s v="Elma Susanti"/>
        <s v="Tiara Lazuardi"/>
        <s v="Upik Siregar"/>
        <s v="Taufik Najmudin"/>
        <s v="Kardi Narpati"/>
        <s v="Gabriella Napitupulu"/>
        <s v="Kania Budiyanto"/>
        <s v="Gada Gunawan"/>
        <s v="Siska Maryadi"/>
        <s v="Mustofa Tarihoran"/>
        <s v="Paris Palastri"/>
        <s v="Bakiono Wahyuni"/>
        <s v="Emas Kurniawan"/>
        <s v="Bakti Simbolon"/>
        <s v="Gatot Wibisono"/>
        <s v="Abyasa Yulianti"/>
        <s v="Jumadi Sitompul"/>
        <s v="Cahyadi Wulandari"/>
        <s v="Garang Kuswoyo"/>
        <s v="Irwan Wahyuni"/>
        <s v="Gantar Kuswoyo"/>
        <s v="Luis Hasanah"/>
        <s v="Talia Maryadi"/>
        <s v="Gambira Kusmawati"/>
        <s v="Bagus Astuti"/>
        <s v="Gada Hardiansyah"/>
        <s v="Salwa Wulandari"/>
        <s v="Aswani Winarno"/>
        <s v="Arsipatra Halimah"/>
        <s v="Diah Prakasa"/>
        <s v="Hasim Salahudin"/>
        <s v="Saka Wijaya"/>
        <s v="Dadap Zulkarnain"/>
        <s v="Luhung Nuraini"/>
        <s v="Dian Haryanti"/>
        <s v="Latika Siregar"/>
        <s v="Jaiman Marbun"/>
        <s v="Cawuk Pradipta"/>
        <s v="Rama Firgantoro"/>
        <s v="Anom Hasanah"/>
        <s v="Leo Pranowo"/>
        <s v="Janet Riyanti"/>
        <s v="Aris Widiastuti"/>
        <s v="Argono Pertiwi"/>
        <s v="Laras Lazuardi"/>
        <s v="Prabawa Maryadi"/>
        <s v="Citra Natsir"/>
        <s v="Luluh Pratiwi"/>
        <s v="Harjaya Budiyanto"/>
        <s v="Panca Damanik"/>
        <s v="Yoga Lestari"/>
        <s v="Kamidin Saptono"/>
        <s v="Maimunah Safitri"/>
        <s v="Virman Prayoga"/>
        <s v="Gantar Permata"/>
        <s v="Rini Marbun"/>
        <s v="Mumpuni Haryanto"/>
        <s v="Anastasia Rahimah"/>
        <s v="Raina Manullang"/>
        <s v="Yulia Mahendra"/>
        <s v="Darmaji Rajasa"/>
        <s v="Lantar Gunawan"/>
        <s v="Adhiarja Wahyudin"/>
        <s v="Arta Rahmawati"/>
        <s v="Taufan Gunawan"/>
        <s v="Cengkir Pradana"/>
        <s v="Ira Prasetyo"/>
        <s v="Ajimin Andriani"/>
        <s v="Aswani Rajata"/>
        <s v="Oliva Melani"/>
        <s v="Tiara Megantara"/>
        <s v="Daliono Yolanda"/>
        <s v="Prayitna Pangestu"/>
        <s v="Jati Laksmiwati"/>
        <s v="Julia Situmorang"/>
        <s v="Opung Saptono"/>
        <s v="Caket Rahimah"/>
        <s v="Kania Tampubolon"/>
        <s v="Farhunnisa Yulianti"/>
        <s v="Kajen Zulkarnain"/>
        <s v="Gamani Mulyani"/>
        <s v="Karna Pertiwi"/>
        <s v="Yuni Nugroho"/>
        <s v="Bakidin Firmansyah"/>
        <s v="Rendy Andriani"/>
        <s v="Olga Gunawan"/>
        <s v="Purwa Nasyidah"/>
        <s v="Calista Ardianto"/>
        <s v="Nasim Purwanti"/>
        <s v="Gambira Suryono"/>
        <s v="Cawisono Mardhiyah"/>
        <s v="Jayeng Wastuti"/>
        <s v="Juli Waluyo"/>
        <s v="Lembah Rajasa"/>
        <s v="Nilam Dabukke"/>
        <s v="Mahmud Tarihoran"/>
        <s v="Rahmat Handayani"/>
        <s v="Najwa Usamah"/>
        <s v="Danuja Prayoga"/>
        <s v="Warsita Nurdiyanti"/>
        <s v="Paiman Uwais"/>
        <s v="Mahdi Rajata"/>
        <s v="Nilam Latupono"/>
        <s v="Yoga Damanik"/>
        <s v="Lukita Lestari"/>
        <s v="Cakrajiya Sihombing"/>
        <s v="Putu Suwarno"/>
        <s v="Hilda Sihotang"/>
        <s v="Kezia Astuti"/>
        <s v="Ilyas Najmudin"/>
        <s v="Najwa Najmudin"/>
        <s v="Danuja Rajasa"/>
        <s v="Hafshah Utami"/>
        <s v="Anggabaya Palastri"/>
        <s v="Marwata Fujiati"/>
        <s v="Jayadi Safitri"/>
        <s v="Ratna Sitorus"/>
        <s v="Galar Nasyidah"/>
        <s v="Lembah Saragih"/>
        <s v="Dacin Setiawan"/>
        <s v="Balijan Setiawan"/>
        <s v="Amelia Kuswoyo"/>
        <s v="Satya Nurdiyanti"/>
        <s v="Bakda Firmansyah"/>
        <s v="Mursita Yuniar"/>
        <s v="Liman Siregar"/>
        <s v="Kairav Mandasari"/>
        <s v="Ozy Pratama"/>
        <s v="Cahyo Widodo"/>
        <s v="Unggul Megantara"/>
        <s v="Lanjar Tampubolon"/>
        <s v="Lintang Prabowo"/>
        <s v="Elvin Yuniar"/>
        <s v="Titi Kuswandari"/>
        <s v="Harsaya Salahudin"/>
        <s v="Agus Winarsih"/>
        <s v="Emil Mayasari"/>
        <s v="Harto Firgantoro"/>
        <s v="Karsana Nugroho"/>
        <s v="Hasna Prakasa"/>
        <s v="Ibun Hutapea"/>
        <s v="Ibrani Anggraini"/>
        <s v="Silvia Siregar"/>
        <s v="Nalar Zulaika"/>
        <s v="Artawan Mahendra"/>
        <s v="Jayadi Prakasa"/>
        <s v="Vega Kurniawan"/>
        <s v="Ajimin Suartini"/>
        <s v="Sari Januar"/>
        <s v="Lala Wacana"/>
        <s v="Jatmiko Megantara"/>
        <s v="Oni Prastuti"/>
        <s v="Laila Usamah"/>
        <s v="Carub Hardiansyah"/>
        <s v="Lanjar Hakim"/>
        <s v="Kawaya Hastuti"/>
        <s v="Arta Lestari"/>
        <s v="Bagus Setiawan"/>
        <s v="Kambali Wahyuni"/>
        <s v="Ida Waluyo"/>
        <s v="Zaenab Aryani"/>
        <s v="Jais Wahyudin"/>
        <s v="Azalea Anggriawan"/>
        <s v="Opung Padmasari"/>
        <s v="Opan Permata"/>
        <s v="Ophelia Natsir"/>
        <s v="Rusman Adriansyah"/>
        <s v="Nardi Simanjuntak"/>
        <s v="Emas Megantara"/>
        <s v="Kamidin Yolanda"/>
        <s v="Mahmud Tampubolon"/>
        <s v="Wirda Novitasari"/>
        <s v="Daruna Irawan"/>
        <s v="Karen Kuswandari"/>
        <s v="Dimas Marbun"/>
        <s v="Rahman Prastuti"/>
        <s v="Endah Budiyanto"/>
        <s v="Icha Mandala"/>
        <s v="Ina Nasyidah"/>
        <s v="Keisha Hutasoit"/>
        <s v="Laras Hartati"/>
        <s v="Dadi Laksita"/>
        <s v="Jindra Safitri"/>
        <s v="Ayu Wastuti"/>
        <s v="Ibrani Yuniar"/>
        <s v="Betania Thamrin"/>
        <s v="Karna Sinaga"/>
        <s v="Kemba Sihotang"/>
        <s v="Novi Hardiansyah"/>
        <s v="Tedi Hartati"/>
        <s v="Eja Mulyani"/>
        <s v="Lasmanto Yuliarti"/>
        <s v="Putu Hardiansyah"/>
        <s v="Hilda Halim"/>
        <s v="Keisha Budiyanto"/>
        <s v="Harja Safitri"/>
        <s v="Melinda Hutapea"/>
        <s v="Harjasa Irawan"/>
        <s v="Bambang Rajata"/>
        <s v="Tri Siregar"/>
        <s v="Agnes Yulianti"/>
        <s v="Imam Iswahyudi"/>
        <s v="Jane Gunawan"/>
        <s v="Kawaca Andriani"/>
        <s v="Akarsana Winarno"/>
        <s v="Dadap Riyanti"/>
        <s v="Vicky Mardhiyah"/>
        <s v="Abyasa Salahudin"/>
        <s v="Bakidin Nugroho"/>
        <s v="Prima Andriani"/>
        <s v="Purwanto Irawan"/>
        <s v="Opan Prasetyo"/>
        <s v="Lukman Nurdiyanti"/>
        <s v="Pangestu Sihombing"/>
        <s v="Raharja Saputra"/>
        <s v="Genta Iswahyudi"/>
        <s v="Siti Maulana"/>
        <s v="Mahfud Laksita"/>
        <s v="Hasna Prasetya"/>
        <s v="Empluk Uyainah"/>
        <s v="Queen Fujiati"/>
        <s v="Gandewa Sitorus"/>
        <s v="Mila Sihotang"/>
        <s v="Wisnu Rahmawati"/>
        <s v="Margana Handayani"/>
        <s v="Lega Thamrin"/>
        <s v="Nabila Padmasari"/>
        <s v="Kasiyah Puspasari"/>
        <s v="Cinta Rahmawati"/>
        <s v="Leo Sudiati"/>
        <s v="Prima Prasetyo"/>
        <s v="Rahman Yuliarti"/>
        <s v="Dina Sitorus"/>
        <s v="Radika Suartini"/>
        <s v="Enteng Widodo"/>
        <s v="Laila Tarihoran"/>
        <s v="Timbul Marpaung"/>
        <s v="Niyaga Laksita"/>
        <s v="Vinsen Widodo"/>
        <s v="Puji Waskita"/>
        <s v="Wawan Haryanti"/>
        <s v="Umi Marbun"/>
        <s v="Galih Halim"/>
        <s v="Vero Kusumo"/>
        <s v="Kuncara Melani"/>
        <s v="Siti Anggraini"/>
        <s v="Widya Setiawan"/>
        <s v="Daliman Sitorus"/>
        <s v="Bancar Mulyani"/>
        <s v="Among Firmansyah"/>
        <s v="Galih Mustofa"/>
        <s v="Aditya Uyainah"/>
        <s v="Laila Anggraini"/>
        <s v="Wulan Hariyah"/>
        <s v="Rizki Firgantoro"/>
        <s v="Rendy Firmansyah"/>
        <s v="Gaduh Marbun"/>
        <s v="Pangestu Rajata"/>
        <s v="Tri Rahmawati"/>
        <s v="Farah Maheswara"/>
        <s v="Rangga Budiman"/>
        <s v="Kania Kuswandari"/>
        <s v="Hartana Nurdiyanti"/>
        <s v="Anita Halim"/>
        <s v="Olga Irawan"/>
        <s v="Ulya Agustina"/>
        <s v="Hardi Prayoga"/>
        <s v="Zelaya Maryati"/>
      </sharedItems>
    </cacheField>
    <cacheField name="Address" numFmtId="0">
      <sharedItems>
        <s v="Jl. Antapani Lama No. 705"/>
        <s v="Jl. Surapati No. 996"/>
        <s v="Jalan K.H. Wahid Hasyim No. 5"/>
        <s v="Gg. Joyoboyo No. 026"/>
        <s v="Gg. Surapati No. 4"/>
        <s v="Gg. Joyoboyo No. 691"/>
        <s v="Jalan Ciwastra No. 383"/>
        <s v="Jl. Jend. Sudirman No. 0"/>
        <s v="Gang Gedebage Selatan No. 424"/>
        <s v="Gg. Otto Iskandardinata No. 6"/>
        <s v="Gg. Waringin No. 112"/>
        <s v="Jl. Dipenogoro No. 422"/>
        <s v="Gg. Stasiun Wonokromo No. 0"/>
        <s v="Gang Sadang Serang No. 74"/>
        <s v="Jalan Jamika No. 4"/>
        <s v="Jalan Jend. A. Yani No. 48"/>
        <s v="Jl. Astana Anyar No. 51"/>
        <s v="Gang Otto Iskandardinata No. 167"/>
        <s v="Jl. S. Parman No. 91"/>
        <s v="Gg. Suniaraja No. 21"/>
        <s v="Gg. M.H Thamrin No. 784"/>
        <s v="Gg. Jakarta No. 646"/>
        <s v="Gg. Dr. Djunjunan No. 33"/>
        <s v="Gg. Monginsidi No. 3"/>
        <s v="Gang Soekarno Hatta No. 2"/>
        <s v="Jl. Rumah Sakit No. 738"/>
        <s v="Gang Yos Sudarso No. 13"/>
        <s v="Gang Asia Afrika No. 72"/>
        <s v="Jl. Jamika No. 246"/>
        <s v="Gg. Siliwangi No. 82"/>
        <s v="Jl. Gardujati No. 82"/>
        <s v="Gang Pacuan Kuda No. 04"/>
        <s v="Jl. Ciwastra No. 543"/>
        <s v="Jalan Jayawijaya No. 5"/>
        <s v="Jalan Gardujati No. 513"/>
        <s v="Gang R.E Martadinata No. 969"/>
        <s v="Jalan PHH. Mustofa No. 625"/>
        <s v="Gang Setiabudhi No. 1"/>
        <s v="Jalan Moch. Ramdan No. 338"/>
        <s v="Gg. Stasiun Wonokromo No. 32"/>
        <s v="Jl. Sadang Serang No. 015"/>
        <s v="Gg. Pacuan Kuda No. 49"/>
        <s v="Gg. Raya Ujungberung No. 54"/>
        <s v="Jl. Surapati No. 30"/>
        <s v="Jl. Laswi No. 04"/>
        <s v="Jalan Tebet Barat Dalam No. 229"/>
        <s v="Gg. HOS. Cokroaminoto No. 1"/>
        <s v="Gang H.J Maemunah No. 6"/>
        <s v="Jalan Kutai No. 503"/>
        <s v="Jalan Gedebage Selatan No. 048"/>
        <s v="Jalan R.E Martadinata No. 6"/>
        <s v="Jalan Indragiri No. 077"/>
        <s v="Jl. Pelajar Pejuang No. 25"/>
        <s v="Gang Pelajar Pejuang No. 95"/>
        <s v="Jalan Sukabumi No. 509"/>
        <s v="Jalan Lembong No. 9"/>
        <s v="Gang Jakarta No. 938"/>
        <s v="Gang Gedebage Selatan No. 92"/>
        <s v="Jl. HOS. Cokroaminoto No. 1"/>
        <s v="Gg. Kapten Muslihat No. 5"/>
        <s v="Gang Jayawijaya No. 91"/>
        <s v="Gang Monginsidi No. 432"/>
        <s v="Jl. Raya Ujungberung No. 121"/>
        <s v="Jl. BKR No. 46"/>
        <s v="Jalan Kapten Muslihat No. 168"/>
        <s v="Jalan Rajawali Barat No. 70"/>
        <s v="Gang Suniaraja No. 67"/>
        <s v="Jalan Astana Anyar No. 41"/>
        <s v="Jl. K.H. Wahid Hasyim No. 4"/>
        <s v="Jalan Raya Ujungberung No. 5"/>
        <s v="Jl. S. Parman No. 38"/>
        <s v="Jl. Sukabumi No. 44"/>
        <s v="Jl. Medokan Ayu No. 7"/>
        <s v="Gang Dipatiukur No. 9"/>
        <s v="Jl. Raya Ujungberung No. 86"/>
        <s v="Gang R.E Martadinata No. 16"/>
        <s v="Jalan Cikapayang No. 311"/>
        <s v="Jl. Erlangga No. 7"/>
        <s v="Jalan Pasteur No. 217"/>
        <s v="Jl. Pasir Koja No. 08"/>
        <s v="Gang Asia Afrika No. 96"/>
        <s v="Gg. Moch. Toha No. 0"/>
        <s v="Gg. Surapati No. 50"/>
        <s v="Gang Rawamangun No. 02"/>
        <s v="Jalan S. Parman No. 88"/>
        <s v="Gg. Cihampelas No. 423"/>
        <s v="Jl. Dipenogoro No. 447"/>
        <s v="Jalan Ciumbuleuit No. 76"/>
        <s v="Gg. HOS. Cokroaminoto No. 72"/>
        <s v="Gg. Ronggowarsito No. 033"/>
        <s v="Gang Kebonjati No. 827"/>
        <s v="Jl. Kapten Muslihat No. 853"/>
        <s v="Jalan Moch. Toha No. 9"/>
        <s v="Gang Cikapayang No. 055"/>
        <s v="Gg. Merdeka No. 97"/>
        <s v="Jalan Rumah Sakit No. 287"/>
        <s v="Gg. Siliwangi No. 26"/>
        <s v="Jalan Gegerkalong Hilir No. 763"/>
        <s v="Jalan Cikapayang No. 31"/>
        <s v="Gang Astana Anyar No. 0"/>
        <s v="Gg. Surapati No. 471"/>
        <s v="Gg. Jamika No. 6"/>
        <s v="Jl. Pasir Koja No. 059"/>
        <s v="Gg. Joyoboyo No. 8"/>
        <s v="Jl. W.R. Supratman No. 473"/>
        <s v="Gang Sentot Alibasa No. 38"/>
        <s v="Jalan Asia Afrika No. 3"/>
        <s v="Gang Monginsidi No. 138"/>
        <s v="Jalan Pasirkoja No. 329"/>
        <s v="Gang R.E Martadinata No. 35"/>
        <s v="Jl. Ciwastra No. 2"/>
        <s v="Gang Ahmad Yani No. 6"/>
        <s v="Jalan Cikutra Barat No. 96"/>
        <s v="Jalan Sadang Serang No. 54"/>
        <s v="Gang Yos Sudarso No. 78"/>
        <s v="Jalan Otto Iskandardinata No. 1"/>
        <s v="Jalan Kendalsari No. 1"/>
        <s v="Jl. Cihampelas No. 4"/>
        <s v="Gg. Tubagus Ismail No. 864"/>
        <s v="Gang Raya Setiabudhi No. 870"/>
        <s v="Jl. Pasir Koja No. 64"/>
        <s v="Gang Medokan Ayu No. 764"/>
        <s v="Gg. BKR No. 882"/>
        <s v="Jl. R.E Martadinata No. 18"/>
        <s v="Jl. Moch. Toha No. 1"/>
        <s v="Jl. Pasir Koja No. 2"/>
        <s v="Gang W.R. Supratman No. 8"/>
        <s v="Jl. Indragiri No. 43"/>
        <s v="Jalan Gardujati No. 6"/>
        <s v="Gg. Wonoayu No. 96"/>
        <s v="Jalan Joyoboyo No. 3"/>
        <s v="Jl. Gardujati No. 178"/>
        <s v="Gang Jend. A. Yani No. 7"/>
        <s v="Gg. Moch. Toha No. 63"/>
        <s v="Jl. Kutisari Selatan No. 078"/>
        <s v="Gg. Rumah Sakit No. 617"/>
        <s v="Gang Ciwastra No. 43"/>
        <s v="Gg. Stasiun Wonokromo No. 324"/>
        <s v="Jalan Raya Setiabudhi No. 595"/>
        <s v="Gang Gedebage Selatan No. 1"/>
        <s v="Jl. Rumah Sakit No. 65"/>
        <s v="Gang Dipatiukur No. 24"/>
        <s v="Gg. Setiabudhi No. 32"/>
        <s v="Gang Lembong No. 1"/>
        <s v="Jl. Suryakencana No. 75"/>
        <s v="Gg. Dipenogoro No. 947"/>
        <s v="Jalan Dipatiukur No. 56"/>
        <s v="Jalan Pasirkoja No. 750"/>
        <s v="Jl. Monginsidi No. 1"/>
        <s v="Jalan Kapten Muslihat No. 4"/>
        <s v="Jalan Sukajadi No. 09"/>
        <s v="Gg. Jayawijaya No. 34"/>
        <s v="Jl. Kiaracondong No. 48"/>
        <s v="Gg. Jakarta No. 86"/>
        <s v="Gang Jakarta No. 158"/>
        <s v="Gang K.H. Wahid Hasyim No. 1"/>
        <s v="Gang Merdeka No. 298"/>
        <s v="Jl. Yos Sudarso No. 78"/>
        <s v="Gang Ronggowarsito No. 27"/>
        <s v="Jl. Abdul Muis No. 3"/>
        <s v="Gang Jend. A. Yani No. 75"/>
        <s v="Gg. Gedebage Selatan No. 794"/>
        <s v="Gg. Dipatiukur No. 002"/>
      </sharedItems>
    </cacheField>
    <cacheField name="City" numFmtId="0">
      <sharedItems>
        <s v="Jakarta"/>
        <s v="Surabaya"/>
        <s v="Bandung"/>
      </sharedItems>
    </cacheField>
    <cacheField name="Customer Type" numFmtId="0">
      <sharedItems>
        <s v="Home Office"/>
        <s v="Corporate"/>
        <s v="Consumer"/>
        <s v="Small Business"/>
      </sharedItems>
    </cacheField>
    <cacheField name="Account Manager ID" numFmtId="0">
      <sharedItems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</sharedItems>
    </cacheField>
    <cacheField name="Order Priority" numFmtId="0">
      <sharedItems>
        <s v="High"/>
        <s v="Critical"/>
        <s v="Low"/>
        <s v="Not Specified"/>
        <s v="Medium"/>
      </sharedItems>
    </cacheField>
    <cacheField name="Product Name" numFmtId="0">
      <sharedItems>
        <s v="Artisan Heavy-Duty EZD  Binder With Locking Rings"/>
        <s v="DrawIt Pizazz Watercolor Pencils, 10-Color Set with Brush"/>
        <s v="Message Book, One Form per Page"/>
        <s v="Cando S750 Color Inkjet Printer"/>
        <s v="Steady EarthWrite Recycled Pencils, Medium Soft, #2"/>
        <s v="12 Colored Short Pencils"/>
        <s v="Multimedia Mailers"/>
        <s v="Pizazz Dustless Chalk Sticks"/>
        <s v="TypeRight Side-Opening Peel &amp; Seel Expanding Envelopes"/>
        <s v="Artisan Printable Repositionable Plastic Tabs"/>
        <s v="Security-Tint Envelopes"/>
        <s v="Artisan Arch Ring Binders"/>
        <s v="OIC Thumb-Tacks"/>
        <s v="Apex Elite Stainless Steel Scissors"/>
        <s v="Alto Parchment Paper, Assorted Colors"/>
        <s v="Steady Colorific Colored Pencils, 12/Box"/>
        <s v="Smiths Gold Paper Clips"/>
        <s v="UGen RF Keyboard"/>
        <s v="Smiths Standard Envelopes"/>
        <s v="Office Shears by Apex"/>
        <s v="EcoTones Memo Sheets"/>
        <s v="Smiths Premium Bright 1-Part Blank Computer Paper"/>
        <s v="Artisan 479 Labels"/>
        <s v="Beekin 105-Key Black Keyboard"/>
        <s v="Adesso Programmable 142-Key Keyboard"/>
        <s v="TechSavi Access Keyboard"/>
        <s v="Smiths SlimLine Pencil Sharpener"/>
        <s v="Artisan Premier Heavy-Duty Binder with Round Locking Rings"/>
        <s v="Steady Liquid Accent Highlighters"/>
        <s v="Laser Neon Mac Format Diskettes, 10/Pack"/>
        <s v="1726 Digital Answering Machine"/>
        <s v="Artisan Flip-Chart Easel Binder, Black"/>
        <s v="DrawIt Colored Pencils, 48-Color Set"/>
        <s v="600 Series Non-Flip"/>
        <s v="210 Trimline Phone, White"/>
        <s v="Steady Major Accent Highlighters"/>
        <s v="Aluminum Document Frame"/>
        <s v="Artisan Legal 4-Ring Binder"/>
        <s v="Smiths General Use 3-Ring Binders"/>
        <s v="Alto Keyboard-In-A-Box"/>
        <s v="Artisan 48 Labels"/>
        <s v="UGen Ultra Professional Cordless Optical Suite"/>
        <s v="OIC Colored Binder Clips, Assorted Sizes"/>
        <s v="Colored Envelopes"/>
        <s v="Xit Blank Computer Paper"/>
        <s v="Alto Perma 2700 Stacking Storage Drawers"/>
        <s v="TechSavi Cordless Elite Duo"/>
        <s v="Wirebound Message Book, 4 per Page"/>
        <s v="Laser DVD-RAM discs"/>
        <s v="Artisan Hi-Liter Fluorescent Desk Style Markers"/>
        <s v="Deluxe Rollaway Locking File with Drawer"/>
        <s v="Smiths Colored Interoffice Envelopes"/>
        <s v="Wirebound Voice Message Log Book"/>
        <s v="Smiths Metal Binder Clips"/>
        <s v="3Max Organizer Strips"/>
        <s v="PastelOcean Color Pencil Set"/>
        <s v="Economy Binders"/>
        <s v="HFX 6S Scientific Calculator"/>
        <s v="Self-Adhesive Removable Labels"/>
        <s v="TypeRight  Top-Opening Peel &amp; Seel Envelopes, Plain White"/>
        <s v="TypeRight  Top-Opening Peel &amp; Seel  Envelopes, Gray"/>
        <s v="Artisan Non-Stick Binders"/>
        <s v="DrawIt Colored Pencils"/>
        <s v="Smiths Pen Style Liquid Stix; Assorted (yellow, pink, green, blue, orange), 5/Pack"/>
        <s v="Steady Liquid Accent Tank-Style Highlighters"/>
        <s v="Bagged Rubber Bands"/>
        <s v="UGen Ultra Cordless Optical Suite"/>
        <s v="Cando PC940 Copier"/>
        <s v="TechSavi Internet Navigator Keyboard"/>
        <s v="Artisan Hi-Liter Smear-Safe Highlighters"/>
        <s v="Artisan Hanging File Binders"/>
        <s v="Beekin 6 Outlet Metallic Surge Strip"/>
        <s v="Fluorescent Highlighters by DrawIt"/>
        <s v="Artisan 481 Labels"/>
        <s v="Emerson C82 Color Inkjet Printer"/>
        <s v="Artisan Durable Binders"/>
        <s v="Pizazz Drawing Pencil Set"/>
        <s v="Artisan Poly Binder Pockets"/>
        <s v="Barrel Sharpener"/>
        <s v="Binding Machine Supplies"/>
        <s v="Binder Posts"/>
        <s v="Binder Clips by OIC"/>
        <s v="Economy Rollaway Files"/>
        <s v="Self-Adhesive Ring Binder Labels"/>
        <s v="3Max Polarizing Task Lamp with Clamp Arm, Light Gray"/>
        <s v="Apex Straight Scissors"/>
        <s v="Artisan Binder Labels"/>
        <s v="Alto Memo Cubes"/>
        <s v="TechSavi Cordless Navigator Duo"/>
        <s v="Apex Preferred Stainless Steel Scissors"/>
        <s v="Multi-Use Personal File Cart and Caster Set, Three Stacking Bins"/>
        <s v="Desktop 3-Pocket Hot File"/>
        <s v="600 Series Flip"/>
        <s v="300 Series Non-Flip"/>
        <s v="Angle-D Binders with Locking Rings, Label Holders"/>
        <s v="Brown Kraft Recycled Envelopes"/>
        <s v="Steady 52201 APSCO Electric Pencil Sharpener"/>
        <s v="Artisan 487 Labels"/>
        <s v="Lumi Crayons"/>
        <s v="Artisan Durable Poly Binders"/>
        <s v="Pizazz Colored Pencils"/>
        <s v="Apex Office Executive Series Stainless Steel Trimmers"/>
        <s v="3Max Polarizing Light Filter Sleeves"/>
        <s v="Steady Pocket Accent Highlighters"/>
        <s v="Artisan Binding System Hidden Tab Executive Style Index Sets"/>
        <s v="Artisan Hi-Liter GlideStik Fluorescent Highlighter, Yellow Ink"/>
        <s v="Artisan 478 Labels"/>
        <s v="Apex Forged Steel Scissors with Black Enamel Handles"/>
        <s v="Smiths Bulldog Clip"/>
        <s v="Emerson LQ-870 Dot Matrix Printer"/>
        <s v="HFX LaserJet 3310 Copier"/>
        <s v="Unpadded Memo Slips"/>
        <s v="Ames Color-File Green Diamond Border X-ray Mailers"/>
        <s v="Artisan Hi-Liter Pen Style Six-Color Fluorescent Set"/>
        <s v="Blackstonian Pencils"/>
        <s v="Creator Colored Pencils"/>
        <s v="Apex Box Cutter Scissors"/>
        <s v="Airmail Envelopes"/>
        <s v="Smiths Colored Bar Computer Paper"/>
        <s v="Alto Perma 3000 Stacking Storage Drawers"/>
        <s v="OIC Bulk Pack Metal Binder Clips"/>
        <s v="Artisan Hi-Liter Comfort Grip Fluorescent Highlighter, Yellow Ink"/>
        <s v="Emerson Stylus 1520 Color Inkjet Printer"/>
        <s v="24 Capacity Maxi Data Binder Racks, Pearl"/>
        <s v="Assorted Color Push Pins"/>
        <s v="Alto 3-Hole Punch"/>
        <s v="Creator Anti Dust Chalk, 12/Pack"/>
        <s v="Adams &quot;While You Were Out&quot; Message Pads"/>
        <s v="Artisan 474 Labels"/>
        <s v="Smiths Paper Clips"/>
        <s v="TechSavi Cordless Access Keyboard"/>
        <s v="Artisan File Folder Labels"/>
        <s v="Artisan Round Ring Poly Binders"/>
        <s v="Colored Push Pins"/>
        <s v="Steady Colorific Eraseable Coloring Pencils, 12 Count"/>
        <s v="Smiths File Caddy"/>
        <s v="Artisan Reinforcements for Hole-Punch Pages"/>
        <s v="Artisan Hi-Liter EverBold Pen Style Fluorescent Highlighters, 4/Pack"/>
        <s v="TechSavi Cordless Keyboard"/>
        <s v="Smiths Pushpins"/>
        <s v="Apex Design Stainless Steel Bent Scissors"/>
        <s v="Col-Erase Pencils with Erasers"/>
        <s v="Artisan Hole Reinforcements"/>
        <s v="Alto Six-Outlet Power Strip, 4 Cord Length"/>
        <s v="Smiths Bulk Pack Metal Binder Clips"/>
        <s v="Alliance Rubber Bands"/>
        <s v="HFX 610 Color Digital Copier / Printer"/>
      </sharedItems>
    </cacheField>
    <cacheField name="Product Category" numFmtId="0">
      <sharedItems>
        <s v="Office Supplies"/>
        <s v="Technology"/>
        <s v="Furniture"/>
      </sharedItems>
    </cacheField>
    <cacheField name="Product Container" numFmtId="0">
      <sharedItems>
        <s v="Small Box"/>
        <s v="Wrap Bag"/>
        <s v="Jumbo Drum"/>
        <s v="Small Pack"/>
        <s v="Medium Box"/>
        <s v="Large Box"/>
      </sharedItems>
    </cacheField>
    <cacheField name="Ship Mode" numFmtId="0">
      <sharedItems>
        <s v="Regular Air"/>
        <s v="Express Air"/>
        <s v="Delivery Truck"/>
      </sharedItems>
    </cacheField>
    <cacheField name="Ship Date" numFmtId="14">
      <sharedItems containsSemiMixedTypes="0" containsDate="1" containsString="0">
        <d v="2016-05-27T00:00:00Z"/>
        <d v="2016-05-29T00:00:00Z"/>
        <d v="2016-05-30T00:00:00Z"/>
        <d v="2016-06-06T00:00:00Z"/>
        <d v="2016-06-04T00:00:00Z"/>
        <d v="2016-06-07T00:00:00Z"/>
        <d v="2016-06-11T00:00:00Z"/>
        <d v="2016-06-10T00:00:00Z"/>
        <d v="2016-06-22T00:00:00Z"/>
        <d v="2016-06-25T00:00:00Z"/>
        <d v="2016-06-28T00:00:00Z"/>
        <d v="2016-07-02T00:00:00Z"/>
        <d v="2016-07-08T00:00:00Z"/>
        <d v="2016-07-10T00:00:00Z"/>
        <d v="2016-07-16T00:00:00Z"/>
        <d v="2016-07-09T00:00:00Z"/>
        <d v="2016-07-13T00:00:00Z"/>
        <d v="2016-08-02T00:00:00Z"/>
        <d v="2016-08-04T00:00:00Z"/>
        <d v="2016-08-10T00:00:00Z"/>
        <d v="2016-08-12T00:00:00Z"/>
        <d v="2016-08-13T00:00:00Z"/>
        <d v="2016-08-14T00:00:00Z"/>
        <d v="2016-08-15T00:00:00Z"/>
        <d v="2016-08-17T00:00:00Z"/>
        <d v="2016-08-18T00:00:00Z"/>
        <d v="2016-08-22T00:00:00Z"/>
        <d v="2016-08-21T00:00:00Z"/>
        <d v="2016-08-23T00:00:00Z"/>
        <d v="2016-08-27T00:00:00Z"/>
        <d v="2016-08-28T00:00:00Z"/>
        <d v="2016-09-01T00:00:00Z"/>
        <d v="2016-09-02T00:00:00Z"/>
        <d v="2016-09-03T00:00:00Z"/>
        <d v="2016-09-04T00:00:00Z"/>
        <d v="2016-09-05T00:00:00Z"/>
        <d v="2016-09-06T00:00:00Z"/>
        <d v="2016-09-07T00:00:00Z"/>
        <d v="2016-09-09T00:00:00Z"/>
        <d v="2016-09-13T00:00:00Z"/>
        <d v="2016-09-10T00:00:00Z"/>
        <d v="2016-09-12T00:00:00Z"/>
        <d v="2016-09-14T00:00:00Z"/>
        <d v="2016-09-16T00:00:00Z"/>
        <d v="2016-09-18T00:00:00Z"/>
        <d v="2016-09-19T00:00:00Z"/>
        <d v="2016-09-17T00:00:00Z"/>
        <d v="2016-09-20T00:00:00Z"/>
        <d v="2016-09-21T00:00:00Z"/>
        <d v="2016-09-24T00:00:00Z"/>
        <d v="2016-09-25T00:00:00Z"/>
        <d v="2016-09-29T00:00:00Z"/>
        <d v="2016-09-28T00:00:00Z"/>
        <d v="2016-10-03T00:00:00Z"/>
        <d v="2016-10-04T00:00:00Z"/>
        <d v="2016-10-05T00:00:00Z"/>
        <d v="2016-10-07T00:00:00Z"/>
        <d v="2016-10-08T00:00:00Z"/>
        <d v="2016-10-09T00:00:00Z"/>
        <d v="2016-10-13T00:00:00Z"/>
        <d v="2016-10-16T00:00:00Z"/>
        <d v="2016-10-15T00:00:00Z"/>
        <d v="2016-10-17T00:00:00Z"/>
        <d v="2016-10-19T00:00:00Z"/>
        <d v="2016-10-18T00:00:00Z"/>
        <d v="2016-10-22T00:00:00Z"/>
        <d v="2016-10-25T00:00:00Z"/>
        <d v="2016-10-28T00:00:00Z"/>
        <d v="2016-10-29T00:00:00Z"/>
        <d v="2016-11-01T00:00:00Z"/>
        <d v="2016-11-03T00:00:00Z"/>
        <d v="2016-11-04T00:00:00Z"/>
        <d v="2016-11-07T00:00:00Z"/>
        <d v="2016-11-06T00:00:00Z"/>
        <d v="2016-11-12T00:00:00Z"/>
        <d v="2016-11-09T00:00:00Z"/>
        <d v="2016-11-10T00:00:00Z"/>
        <d v="2016-11-11T00:00:00Z"/>
        <d v="2016-11-13T00:00:00Z"/>
        <d v="2016-11-14T00:00:00Z"/>
        <d v="2016-11-16T00:00:00Z"/>
        <d v="2016-11-20T00:00:00Z"/>
        <d v="2016-11-21T00:00:00Z"/>
        <d v="2016-11-22T00:00:00Z"/>
        <d v="2016-11-25T00:00:00Z"/>
        <d v="2016-11-28T00:00:00Z"/>
        <d v="2016-11-24T00:00:00Z"/>
        <d v="2016-11-26T00:00:00Z"/>
        <d v="2016-12-05T00:00:00Z"/>
        <d v="2016-11-29T00:00:00Z"/>
        <d v="2016-12-04T00:00:00Z"/>
        <d v="2016-12-06T00:00:00Z"/>
        <d v="2016-12-09T00:00:00Z"/>
        <d v="2016-12-08T00:00:00Z"/>
        <d v="2016-12-11T00:00:00Z"/>
        <d v="2016-12-12T00:00:00Z"/>
        <d v="2016-12-16T00:00:00Z"/>
        <d v="2016-12-14T00:00:00Z"/>
        <d v="2016-12-15T00:00:00Z"/>
        <d v="2016-12-18T00:00:00Z"/>
        <d v="2016-12-19T00:00:00Z"/>
        <d v="2016-12-22T00:00:00Z"/>
        <d v="2016-12-23T00:00:00Z"/>
        <d v="2016-12-25T00:00:00Z"/>
        <d v="2016-12-27T00:00:00Z"/>
        <d v="2016-12-28T00:00:00Z"/>
        <d v="2016-12-31T00:00:00Z"/>
        <d v="2017-01-01T00:00:00Z"/>
        <d v="2017-01-07T00:00:00Z"/>
        <d v="2017-01-03T00:00:00Z"/>
        <d v="2017-01-06T00:00:00Z"/>
        <d v="2017-01-12T00:00:00Z"/>
        <d v="2017-01-10T00:00:00Z"/>
        <d v="2017-01-14T00:00:00Z"/>
        <d v="2017-01-16T00:00:00Z"/>
        <d v="2017-01-17T00:00:00Z"/>
        <d v="2017-01-24T00:00:00Z"/>
        <d v="2017-01-19T00:00:00Z"/>
        <d v="2017-01-23T00:00:00Z"/>
        <d v="2017-01-25T00:00:00Z"/>
        <d v="2017-01-26T00:00:00Z"/>
        <d v="2017-02-03T00:00:00Z"/>
        <d v="2017-02-01T00:00:00Z"/>
        <d v="2017-02-02T00:00:00Z"/>
        <d v="2017-02-04T00:00:00Z"/>
        <d v="2017-02-08T00:00:00Z"/>
        <d v="2017-02-09T00:00:00Z"/>
        <d v="2017-02-10T00:00:00Z"/>
        <d v="2017-02-11T00:00:00Z"/>
        <d v="2017-02-14T00:00:00Z"/>
        <d v="2017-02-15T00:00:00Z"/>
        <d v="2017-02-19T00:00:00Z"/>
        <d v="2017-02-18T00:00:00Z"/>
        <d v="2017-02-20T00:00:00Z"/>
        <d v="2017-02-21T00:00:00Z"/>
        <d v="2017-02-26T00:00:00Z"/>
        <d v="2017-03-01T00:00:00Z"/>
        <d v="2017-02-28T00:00:00Z"/>
        <d v="2017-03-03T00:00:00Z"/>
        <d v="2017-03-02T00:00:00Z"/>
        <d v="2017-03-04T00:00:00Z"/>
        <d v="2017-03-05T00:00:00Z"/>
        <d v="2017-03-11T00:00:00Z"/>
        <d v="2017-03-08T00:00:00Z"/>
        <d v="2017-03-09T00:00:00Z"/>
        <d v="2017-03-13T00:00:00Z"/>
        <d v="2017-03-15T00:00:00Z"/>
        <d v="2017-03-21T00:00:00Z"/>
        <d v="2017-03-29T00:00:00Z"/>
        <d v="2017-03-22T00:00:00Z"/>
        <d v="2017-03-23T00:00:00Z"/>
        <d v="2017-03-26T00:00:00Z"/>
        <d v="2017-03-27T00:00:00Z"/>
        <d v="2017-03-28T00:00:00Z"/>
        <d v="2017-04-02T00:00:00Z"/>
        <d v="2017-04-04T00:00:00Z"/>
        <d v="2017-04-08T00:00:00Z"/>
        <d v="2017-04-06T00:00:00Z"/>
        <d v="2017-04-12T00:00:00Z"/>
        <d v="2017-04-13T00:00:00Z"/>
        <d v="2017-04-14T00:00:00Z"/>
        <d v="2017-04-20T00:00:00Z"/>
        <d v="2017-04-19T00:00:00Z"/>
        <d v="2017-04-21T00:00:00Z"/>
        <d v="2017-04-22T00:00:00Z"/>
        <d v="2017-04-29T00:00:00Z"/>
        <d v="2017-04-26T00:00:00Z"/>
        <d v="2017-04-24T00:00:00Z"/>
        <d v="2017-04-25T00:00:00Z"/>
        <d v="2017-05-02T00:00:00Z"/>
        <d v="2017-04-30T00:00:00Z"/>
        <d v="2017-05-01T00:00:00Z"/>
        <d v="2017-05-03T00:00:00Z"/>
        <d v="2017-05-09T00:00:00Z"/>
        <d v="2017-05-10T00:00:00Z"/>
        <d v="2017-05-11T00:00:00Z"/>
        <d v="2017-05-17T00:00:00Z"/>
        <d v="2017-05-16T00:00:00Z"/>
        <d v="2017-05-22T00:00:00Z"/>
        <d v="2017-05-19T00:00:00Z"/>
        <d v="2017-05-21T00:00:00Z"/>
        <d v="2017-05-31T00:00:00Z"/>
        <d v="2017-05-27T00:00:00Z"/>
        <d v="2017-05-28T00:00:00Z"/>
        <d v="2017-05-26T00:00:00Z"/>
        <d v="2017-06-04T00:00:00Z"/>
        <d v="2017-06-02T00:00:00Z"/>
        <d v="2017-06-07T00:00:00Z"/>
        <d v="2017-06-10T00:00:00Z"/>
        <d v="2017-06-09T00:00:00Z"/>
        <d v="2017-06-11T00:00:00Z"/>
        <d v="2017-06-13T00:00:00Z"/>
        <d v="2017-06-15T00:00:00Z"/>
        <d v="2017-06-19T00:00:00Z"/>
        <d v="2017-06-23T00:00:00Z"/>
        <d v="2017-06-24T00:00:00Z"/>
        <d v="2017-06-25T00:00:00Z"/>
        <d v="2017-06-27T00:00:00Z"/>
        <d v="2017-06-30T00:00:00Z"/>
        <d v="2017-07-03T00:00:00Z"/>
        <d v="2017-07-08T00:00:00Z"/>
        <d v="2017-07-10T00:00:00Z"/>
        <d v="2017-07-12T00:00:00Z"/>
        <d v="2017-07-13T00:00:00Z"/>
        <d v="2017-07-15T00:00:00Z"/>
        <d v="2017-07-17T00:00:00Z"/>
        <d v="2017-07-18T00:00:00Z"/>
        <d v="2017-07-24T00:00:00Z"/>
        <d v="2017-07-20T00:00:00Z"/>
        <d v="2017-07-22T00:00:00Z"/>
        <d v="2017-07-25T00:00:00Z"/>
        <d v="2017-07-29T00:00:00Z"/>
        <d v="2017-08-01T00:00:00Z"/>
        <d v="2017-07-31T00:00:00Z"/>
        <d v="2017-08-16T00:00:00Z"/>
        <d v="2017-08-15T00:00:00Z"/>
        <d v="2017-08-19T00:00:00Z"/>
        <d v="2017-08-20T00:00:00Z"/>
        <d v="2017-08-25T00:00:00Z"/>
        <d v="2017-08-24T00:00:00Z"/>
        <d v="2017-08-22T00:00:00Z"/>
        <d v="2017-08-26T00:00:00Z"/>
        <d v="2017-08-28T00:00:00Z"/>
        <d v="2017-08-30T00:00:00Z"/>
        <d v="2017-09-01T00:00:00Z"/>
        <d v="2017-09-05T00:00:00Z"/>
        <d v="2017-09-10T00:00:00Z"/>
        <d v="2017-09-14T00:00:00Z"/>
        <d v="2017-09-16T00:00:00Z"/>
        <d v="2017-09-17T00:00:00Z"/>
        <d v="2017-09-19T00:00:00Z"/>
        <d v="2017-09-20T00:00:00Z"/>
        <d v="2017-09-22T00:00:00Z"/>
        <d v="2017-09-21T00:00:00Z"/>
        <d v="2017-10-04T00:00:00Z"/>
        <d v="2017-10-03T00:00:00Z"/>
        <d v="2017-09-30T00:00:00Z"/>
        <d v="2017-10-06T00:00:00Z"/>
        <d v="2017-10-05T00:00:00Z"/>
        <d v="2017-10-07T00:00:00Z"/>
        <d v="2017-10-10T00:00:00Z"/>
        <d v="2017-10-12T00:00:00Z"/>
        <d v="2017-10-11T00:00:00Z"/>
        <d v="2017-10-15T00:00:00Z"/>
        <d v="2017-10-18T00:00:00Z"/>
        <d v="2017-10-20T00:00:00Z"/>
        <d v="2017-10-25T00:00:00Z"/>
        <d v="2017-10-26T00:00:00Z"/>
        <d v="2017-10-29T00:00:00Z"/>
        <d v="2017-10-30T00:00:00Z"/>
        <d v="2017-10-31T00:00:00Z"/>
        <d v="2017-11-01T00:00:00Z"/>
        <d v="2017-11-06T00:00:00Z"/>
        <d v="2017-11-05T00:00:00Z"/>
        <d v="2017-11-07T00:00:00Z"/>
        <d v="2017-11-08T00:00:00Z"/>
        <d v="2017-11-16T00:00:00Z"/>
        <d v="2017-11-14T00:00:00Z"/>
        <d v="2017-11-11T00:00:00Z"/>
        <d v="2017-11-12T00:00:00Z"/>
        <d v="2017-11-13T00:00:00Z"/>
        <d v="2017-11-19T00:00:00Z"/>
        <d v="2017-11-18T00:00:00Z"/>
        <d v="2017-11-21T00:00:00Z"/>
        <d v="2017-11-24T00:00:00Z"/>
        <d v="2017-11-26T00:00:00Z"/>
        <d v="2017-11-25T00:00:00Z"/>
        <d v="2017-12-01T00:00:00Z"/>
        <d v="2017-12-05T00:00:00Z"/>
        <d v="2017-12-09T00:00:00Z"/>
        <d v="2017-12-08T00:00:00Z"/>
        <d v="2017-12-10T00:00:00Z"/>
        <d v="2017-12-11T00:00:00Z"/>
        <d v="2017-12-14T00:00:00Z"/>
        <d v="2017-12-17T00:00:00Z"/>
        <d v="2017-12-18T00:00:00Z"/>
        <d v="2017-12-23T00:00:00Z"/>
        <d v="2017-12-20T00:00:00Z"/>
        <d v="2017-12-22T00:00:00Z"/>
        <d v="2017-12-25T00:00:00Z"/>
        <d v="2017-12-26T00:00:00Z"/>
        <d v="2018-01-01T00:00:00Z"/>
        <d v="2017-12-30T00:00:00Z"/>
        <d v="2017-12-31T00:00:00Z"/>
        <d v="2018-01-05T00:00:00Z"/>
        <d v="2018-01-04T00:00:00Z"/>
        <d v="2018-01-07T00:00:00Z"/>
        <d v="2018-01-14T00:00:00Z"/>
        <d v="2018-01-11T00:00:00Z"/>
        <d v="2018-01-15T00:00:00Z"/>
        <d v="2018-01-16T00:00:00Z"/>
        <d v="2018-01-17T00:00:00Z"/>
        <d v="2018-01-23T00:00:00Z"/>
        <d v="2018-01-18T00:00:00Z"/>
        <d v="2018-01-19T00:00:00Z"/>
        <d v="2018-01-22T00:00:00Z"/>
        <d v="2018-01-21T00:00:00Z"/>
        <d v="2018-01-29T00:00:00Z"/>
        <d v="2018-01-31T00:00:00Z"/>
        <d v="2018-02-01T00:00:00Z"/>
        <d v="2018-02-03T00:00:00Z"/>
        <d v="2018-02-02T00:00:00Z"/>
        <d v="2018-02-04T00:00:00Z"/>
        <d v="2018-02-06T00:00:00Z"/>
        <d v="2018-02-08T00:00:00Z"/>
        <d v="2018-02-12T00:00:00Z"/>
        <d v="2018-02-10T00:00:00Z"/>
        <d v="2018-02-15T00:00:00Z"/>
        <d v="2018-02-16T00:00:00Z"/>
        <d v="2018-02-19T00:00:00Z"/>
        <d v="2018-02-21T00:00:00Z"/>
        <d v="2018-02-24T00:00:00Z"/>
        <d v="2018-03-02T00:00:00Z"/>
        <d v="2018-03-05T00:00:00Z"/>
        <d v="2018-03-03T00:00:00Z"/>
        <d v="2018-03-04T00:00:00Z"/>
        <d v="2018-03-07T00:00:00Z"/>
        <d v="2018-03-06T00:00:00Z"/>
        <d v="2018-03-08T00:00:00Z"/>
        <d v="2018-03-10T00:00:00Z"/>
        <d v="2018-03-11T00:00:00Z"/>
        <d v="2018-03-12T00:00:00Z"/>
        <d v="2018-03-16T00:00:00Z"/>
        <d v="2018-03-19T00:00:00Z"/>
        <d v="2018-03-22T00:00:00Z"/>
        <d v="2018-03-20T00:00:00Z"/>
        <d v="2018-03-24T00:00:00Z"/>
        <d v="2018-03-25T00:00:00Z"/>
        <d v="2018-03-26T00:00:00Z"/>
        <d v="2018-03-29T00:00:00Z"/>
        <d v="2018-04-01T00:00:00Z"/>
        <d v="2018-04-06T00:00:00Z"/>
        <d v="2018-04-10T00:00:00Z"/>
        <d v="2018-04-12T00:00:00Z"/>
        <d v="2018-04-11T00:00:00Z"/>
        <d v="2018-04-13T00:00:00Z"/>
        <d v="2018-04-14T00:00:00Z"/>
        <d v="2018-04-17T00:00:00Z"/>
        <d v="2018-04-18T00:00:00Z"/>
        <d v="2018-04-23T00:00:00Z"/>
        <d v="2018-04-25T00:00:00Z"/>
        <d v="2018-04-26T00:00:00Z"/>
        <d v="2018-04-24T00:00:00Z"/>
        <d v="2018-04-27T00:00:00Z"/>
        <d v="2018-04-28T00:00:00Z"/>
        <d v="2018-04-29T00:00:00Z"/>
        <d v="2018-05-01T00:00:00Z"/>
        <d v="2018-05-03T00:00:00Z"/>
        <d v="2018-05-05T00:00:00Z"/>
        <d v="2018-05-07T00:00:00Z"/>
        <d v="2018-05-06T00:00:00Z"/>
        <d v="2018-05-08T00:00:00Z"/>
        <d v="2018-05-09T00:00:00Z"/>
        <d v="2018-05-12T00:00:00Z"/>
        <d v="2018-05-13T00:00:00Z"/>
        <d v="2018-05-15T00:00:00Z"/>
        <d v="2018-05-17T00:00:00Z"/>
        <d v="2018-05-18T00:00:00Z"/>
        <d v="2018-05-21T00:00:00Z"/>
        <d v="2018-06-14T00:00:00Z"/>
        <d v="2018-06-02T00:00:00Z"/>
        <d v="2018-05-25T00:00:00Z"/>
        <d v="2018-05-31T00:00:00Z"/>
        <d v="2018-05-27T00:00:00Z"/>
        <d v="2018-05-28T00:00:00Z"/>
        <d v="2018-05-30T00:00:00Z"/>
        <d v="2018-06-03T00:00:00Z"/>
        <d v="2018-06-04T00:00:00Z"/>
        <d v="2018-06-05T00:00:00Z"/>
        <d v="2018-06-10T00:00:00Z"/>
        <d v="2018-06-09T00:00:00Z"/>
        <d v="2018-06-08T00:00:00Z"/>
        <d v="2018-06-12T00:00:00Z"/>
        <d v="2018-06-13T00:00:00Z"/>
        <d v="2018-06-15T00:00:00Z"/>
        <d v="2018-06-16T00:00:00Z"/>
        <d v="2018-06-18T00:00:00Z"/>
        <d v="2018-06-19T00:00:00Z"/>
        <d v="2018-06-24T00:00:00Z"/>
        <d v="2018-06-25T00:00:00Z"/>
        <d v="2018-06-29T00:00:00Z"/>
        <d v="2018-06-28T00:00:00Z"/>
        <d v="2018-07-03T00:00:00Z"/>
        <d v="2018-07-10T00:00:00Z"/>
        <d v="2018-07-04T00:00:00Z"/>
        <d v="2018-07-05T00:00:00Z"/>
        <d v="2018-07-08T00:00:00Z"/>
        <d v="2018-07-07T00:00:00Z"/>
        <d v="2018-07-09T00:00:00Z"/>
        <d v="2018-07-14T00:00:00Z"/>
        <d v="2018-07-18T00:00:00Z"/>
        <d v="2018-07-22T00:00:00Z"/>
        <d v="2018-07-26T00:00:00Z"/>
        <d v="2018-07-24T00:00:00Z"/>
        <d v="2018-07-25T00:00:00Z"/>
        <d v="2018-07-27T00:00:00Z"/>
        <d v="2018-08-01T00:00:00Z"/>
        <d v="2018-07-31T00:00:00Z"/>
        <d v="2018-08-04T00:00:00Z"/>
        <d v="2018-08-05T00:00:00Z"/>
        <d v="2018-08-06T00:00:00Z"/>
        <d v="2018-08-08T00:00:00Z"/>
        <d v="2018-08-09T00:00:00Z"/>
        <d v="2018-08-10T00:00:00Z"/>
        <d v="2018-08-12T00:00:00Z"/>
        <d v="2018-08-13T00:00:00Z"/>
        <d v="2018-08-16T00:00:00Z"/>
        <d v="2018-08-14T00:00:00Z"/>
        <d v="2018-08-15T00:00:00Z"/>
        <d v="2018-08-17T00:00:00Z"/>
        <d v="2018-08-20T00:00:00Z"/>
        <d v="2018-08-23T00:00:00Z"/>
        <d v="2018-08-25T00:00:00Z"/>
        <d v="2018-08-26T00:00:00Z"/>
        <d v="2018-08-28T00:00:00Z"/>
        <d v="2018-08-29T00:00:00Z"/>
        <d v="2018-09-01T00:00:00Z"/>
        <d v="2018-08-30T00:00:00Z"/>
        <d v="2018-09-06T00:00:00Z"/>
        <d v="2018-09-04T00:00:00Z"/>
        <d v="2018-09-03T00:00:00Z"/>
        <d v="2018-09-02T00:00:00Z"/>
        <d v="2018-09-05T00:00:00Z"/>
        <d v="2018-09-09T00:00:00Z"/>
        <d v="2018-09-10T00:00:00Z"/>
        <d v="2018-09-12T00:00:00Z"/>
        <d v="2018-09-14T00:00:00Z"/>
        <d v="2018-09-13T00:00:00Z"/>
        <d v="2018-09-17T00:00:00Z"/>
        <d v="2018-09-18T00:00:00Z"/>
        <d v="2018-09-22T00:00:00Z"/>
        <d v="2018-09-21T00:00:00Z"/>
        <d v="2018-09-24T00:00:00Z"/>
        <d v="2018-09-26T00:00:00Z"/>
        <d v="2018-09-23T00:00:00Z"/>
        <d v="2018-09-25T00:00:00Z"/>
        <d v="2018-09-28T00:00:00Z"/>
        <d v="2018-09-27T00:00:00Z"/>
        <d v="2018-10-04T00:00:00Z"/>
        <d v="2018-10-05T00:00:00Z"/>
        <d v="2018-10-07T00:00:00Z"/>
        <d v="2018-10-09T00:00:00Z"/>
        <d v="2018-10-08T00:00:00Z"/>
        <d v="2018-10-11T00:00:00Z"/>
        <d v="2018-10-12T00:00:00Z"/>
        <d v="2018-10-15T00:00:00Z"/>
        <d v="2018-10-16T00:00:00Z"/>
        <d v="2018-10-17T00:00:00Z"/>
        <d v="2018-10-19T00:00:00Z"/>
        <d v="2018-10-22T00:00:00Z"/>
        <d v="2018-10-25T00:00:00Z"/>
        <d v="2018-10-26T00:00:00Z"/>
        <d v="2018-10-31T00:00:00Z"/>
        <d v="2018-11-01T00:00:00Z"/>
        <d v="2018-10-29T00:00:00Z"/>
        <d v="2018-11-04T00:00:00Z"/>
        <d v="2018-11-11T00:00:00Z"/>
        <d v="2018-11-05T00:00:00Z"/>
        <d v="2018-11-07T00:00:00Z"/>
        <d v="2018-11-08T00:00:00Z"/>
        <d v="2018-11-09T00:00:00Z"/>
        <d v="2018-11-12T00:00:00Z"/>
        <d v="2018-11-13T00:00:00Z"/>
        <d v="2018-11-15T00:00:00Z"/>
        <d v="2018-11-16T00:00:00Z"/>
        <d v="2018-11-20T00:00:00Z"/>
        <d v="2018-11-21T00:00:00Z"/>
        <d v="2018-11-23T00:00:00Z"/>
        <d v="2018-11-25T00:00:00Z"/>
        <d v="2018-11-24T00:00:00Z"/>
        <d v="2018-11-26T00:00:00Z"/>
        <d v="2018-11-27T00:00:00Z"/>
        <d v="2018-11-28T00:00:00Z"/>
        <d v="2018-11-29T00:00:00Z"/>
        <d v="2018-12-05T00:00:00Z"/>
        <d v="2018-12-09T00:00:00Z"/>
        <d v="2018-12-12T00:00:00Z"/>
        <d v="2018-12-07T00:00:00Z"/>
        <d v="2018-12-10T00:00:00Z"/>
        <d v="2018-12-08T00:00:00Z"/>
        <d v="2018-12-14T00:00:00Z"/>
        <d v="2018-12-13T00:00:00Z"/>
        <d v="2018-12-18T00:00:00Z"/>
        <d v="2018-12-17T00:00:00Z"/>
        <d v="2018-12-20T00:00:00Z"/>
        <d v="2018-12-19T00:00:00Z"/>
        <d v="2018-12-22T00:00:00Z"/>
        <d v="2018-12-23T00:00:00Z"/>
        <d v="2018-12-24T00:00:00Z"/>
        <d v="2018-12-26T00:00:00Z"/>
        <d v="2018-12-30T00:00:00Z"/>
        <d v="2019-01-03T00:00:00Z"/>
        <d v="2019-01-08T00:00:00Z"/>
        <d v="2019-01-09T00:00:00Z"/>
        <d v="2019-01-10T00:00:00Z"/>
        <d v="2019-01-11T00:00:00Z"/>
        <d v="2019-01-12T00:00:00Z"/>
        <d v="2019-01-22T00:00:00Z"/>
        <d v="2019-01-23T00:00:00Z"/>
        <d v="2019-01-26T00:00:00Z"/>
        <d v="2019-01-27T00:00:00Z"/>
        <d v="2019-01-28T00:00:00Z"/>
        <d v="2019-02-05T00:00:00Z"/>
        <d v="2019-02-04T00:00:00Z"/>
        <d v="2019-02-07T00:00:00Z"/>
        <d v="2019-02-11T00:00:00Z"/>
        <d v="2019-02-12T00:00:00Z"/>
        <d v="2019-02-13T00:00:00Z"/>
        <d v="2019-02-15T00:00:00Z"/>
        <d v="2019-02-18T00:00:00Z"/>
        <d v="2019-02-25T00:00:00Z"/>
        <d v="2019-02-20T00:00:00Z"/>
        <d v="2019-02-26T00:00:00Z"/>
        <d v="2019-02-22T00:00:00Z"/>
        <d v="2019-03-08T00:00:00Z"/>
        <d v="2019-03-01T00:00:00Z"/>
        <d v="2019-03-03T00:00:00Z"/>
        <d v="2019-03-06T00:00:00Z"/>
        <d v="2019-03-07T00:00:00Z"/>
        <d v="2019-03-14T00:00:00Z"/>
        <d v="2019-03-15T00:00:00Z"/>
        <d v="2019-03-19T00:00:00Z"/>
        <d v="2019-03-22T00:00:00Z"/>
        <d v="2019-03-21T00:00:00Z"/>
        <d v="2019-03-26T00:00:00Z"/>
        <d v="2019-03-23T00:00:00Z"/>
        <d v="2019-03-24T00:00:00Z"/>
        <d v="2019-04-01T00:00:00Z"/>
        <d v="2019-03-31T00:00:00Z"/>
        <d v="2019-04-04T00:00:00Z"/>
        <d v="2019-04-07T00:00:00Z"/>
        <d v="2019-04-09T00:00:00Z"/>
        <d v="2019-04-15T00:00:00Z"/>
        <d v="2019-04-12T00:00:00Z"/>
        <d v="2019-04-13T00:00:00Z"/>
        <d v="2019-04-18T00:00:00Z"/>
        <d v="2019-04-17T00:00:00Z"/>
        <d v="2019-04-25T00:00:00Z"/>
        <d v="2019-04-28T00:00:00Z"/>
        <d v="2019-05-02T00:00:00Z"/>
        <d v="2019-05-01T00:00:00Z"/>
        <d v="2019-05-03T00:00:00Z"/>
        <d v="2019-05-04T00:00:00Z"/>
        <d v="2019-05-09T00:00:00Z"/>
        <d v="2019-05-12T00:00:00Z"/>
        <d v="2019-05-13T00:00:00Z"/>
        <d v="2019-05-14T00:00:00Z"/>
        <d v="2019-05-15T00:00:00Z"/>
        <d v="2019-05-17T00:00:00Z"/>
        <d v="2019-05-18T00:00:00Z"/>
        <d v="2019-05-20T00:00:00Z"/>
        <d v="2019-05-24T00:00:00Z"/>
        <d v="2019-05-29T00:00:00Z"/>
        <d v="2019-05-26T00:00:00Z"/>
        <d v="2019-05-28T00:00:00Z"/>
        <d v="2019-06-04T00:00:00Z"/>
        <d v="2019-05-31T00:00:00Z"/>
        <d v="2019-06-01T00:00:00Z"/>
        <d v="2019-06-05T00:00:00Z"/>
        <d v="2019-06-02T00:00:00Z"/>
        <d v="2019-06-06T00:00:00Z"/>
        <d v="2019-06-07T00:00:00Z"/>
        <d v="2019-06-08T00:00:00Z"/>
        <d v="2019-06-17T00:00:00Z"/>
        <d v="2019-06-13T00:00:00Z"/>
        <d v="2019-06-22T00:00:00Z"/>
        <d v="2019-06-24T00:00:00Z"/>
        <d v="2019-06-20T00:00:00Z"/>
        <d v="2019-06-21T00:00:00Z"/>
        <d v="2019-06-23T00:00:00Z"/>
        <d v="2019-06-26T00:00:00Z"/>
        <d v="2019-06-25T00:00:00Z"/>
        <d v="2019-06-30T00:00:00Z"/>
        <d v="2019-07-01T00:00:00Z"/>
        <d v="2019-07-03T00:00:00Z"/>
        <d v="2019-07-02T00:00:00Z"/>
        <d v="2019-07-06T00:00:00Z"/>
        <d v="2019-07-05T00:00:00Z"/>
        <d v="2019-07-08T00:00:00Z"/>
        <d v="2019-07-11T00:00:00Z"/>
        <d v="2019-07-17T00:00:00Z"/>
        <d v="2019-07-13T00:00:00Z"/>
        <d v="2019-07-14T00:00:00Z"/>
        <d v="2019-07-24T00:00:00Z"/>
        <d v="2019-07-25T00:00:00Z"/>
        <d v="2019-07-22T00:00:00Z"/>
        <d v="2019-07-26T00:00:00Z"/>
        <d v="2019-07-27T00:00:00Z"/>
        <d v="2019-07-29T00:00:00Z"/>
        <d v="2019-08-02T00:00:00Z"/>
        <d v="2019-08-03T00:00:00Z"/>
        <d v="2019-08-07T00:00:00Z"/>
        <d v="2019-08-08T00:00:00Z"/>
        <d v="2019-08-09T00:00:00Z"/>
        <d v="2019-08-10T00:00:00Z"/>
        <d v="2019-08-11T00:00:00Z"/>
        <d v="2019-08-16T00:00:00Z"/>
        <d v="2019-08-15T00:00:00Z"/>
        <d v="2019-08-17T00:00:00Z"/>
        <d v="2019-08-20T00:00:00Z"/>
        <d v="2019-08-25T00:00:00Z"/>
        <d v="2019-08-21T00:00:00Z"/>
        <d v="2019-08-24T00:00:00Z"/>
        <d v="2019-08-27T00:00:00Z"/>
        <d v="2019-08-29T00:00:00Z"/>
        <d v="2019-08-31T00:00:00Z"/>
        <d v="2019-09-02T00:00:00Z"/>
        <d v="2019-09-04T00:00:00Z"/>
        <d v="2019-09-03T00:00:00Z"/>
        <d v="2019-09-06T00:00:00Z"/>
        <d v="2019-09-05T00:00:00Z"/>
        <d v="2019-09-09T00:00:00Z"/>
        <d v="2019-09-12T00:00:00Z"/>
        <d v="2019-09-15T00:00:00Z"/>
        <d v="2019-09-16T00:00:00Z"/>
        <d v="2019-09-17T00:00:00Z"/>
        <d v="2019-09-18T00:00:00Z"/>
        <d v="2019-09-25T00:00:00Z"/>
        <d v="2019-09-28T00:00:00Z"/>
        <d v="2019-09-27T00:00:00Z"/>
        <d v="2019-09-29T00:00:00Z"/>
        <d v="2019-10-02T00:00:00Z"/>
        <d v="2019-09-30T00:00:00Z"/>
        <d v="2019-10-03T00:00:00Z"/>
        <d v="2019-10-04T00:00:00Z"/>
        <d v="2019-10-06T00:00:00Z"/>
        <d v="2019-10-10T00:00:00Z"/>
        <d v="2019-10-13T00:00:00Z"/>
        <d v="2019-10-17T00:00:00Z"/>
        <d v="2019-10-16T00:00:00Z"/>
        <d v="2019-10-14T00:00:00Z"/>
        <d v="2019-10-15T00:00:00Z"/>
        <d v="2019-10-22T00:00:00Z"/>
        <d v="2019-10-18T00:00:00Z"/>
        <d v="2019-10-20T00:00:00Z"/>
        <d v="2019-10-21T00:00:00Z"/>
        <d v="2019-10-25T00:00:00Z"/>
        <d v="2019-10-26T00:00:00Z"/>
        <d v="2019-10-31T00:00:00Z"/>
        <d v="2019-11-11T00:00:00Z"/>
        <d v="2019-11-12T00:00:00Z"/>
        <d v="2019-11-17T00:00:00Z"/>
        <d v="2019-11-19T00:00:00Z"/>
        <d v="2019-11-21T00:00:00Z"/>
        <d v="2019-11-22T00:00:00Z"/>
        <d v="2019-11-26T00:00:00Z"/>
        <d v="2019-12-03T00:00:00Z"/>
        <d v="2019-12-01T00:00:00Z"/>
        <d v="2019-12-05T00:00:00Z"/>
        <d v="2019-12-08T00:00:00Z"/>
        <d v="2019-12-07T00:00:00Z"/>
        <d v="2019-12-10T00:00:00Z"/>
        <d v="2019-12-16T00:00:00Z"/>
        <d v="2019-12-11T00:00:00Z"/>
        <d v="2019-12-19T00:00:00Z"/>
        <d v="2019-12-21T00:00:00Z"/>
        <d v="2019-12-22T00:00:00Z"/>
        <d v="2020-01-03T00:00:00Z"/>
        <d v="2019-12-30T00:00:00Z"/>
        <d v="2020-01-02T00:00:00Z"/>
        <d v="2020-01-01T00:00:00Z"/>
        <d v="2020-01-04T00:00:00Z"/>
        <d v="2020-01-06T00:00:00Z"/>
        <d v="2020-01-09T00:00:00Z"/>
        <d v="2020-01-11T00:00:00Z"/>
        <d v="2020-01-10T00:00:00Z"/>
        <d v="2020-01-18T00:00:00Z"/>
        <d v="2020-01-13T00:00:00Z"/>
        <d v="2020-01-15T00:00:00Z"/>
        <d v="2020-01-21T00:00:00Z"/>
        <d v="2020-01-28T00:00:00Z"/>
        <d v="2020-01-27T00:00:00Z"/>
        <d v="2020-01-31T00:00:00Z"/>
        <d v="2020-01-30T00:00:00Z"/>
        <d v="2020-02-01T00:00:00Z"/>
        <d v="2020-02-03T00:00:00Z"/>
        <d v="2020-02-02T00:00:00Z"/>
        <d v="2020-02-06T00:00:00Z"/>
        <d v="2020-02-07T00:00:00Z"/>
        <d v="2020-02-12T00:00:00Z"/>
        <d v="2020-02-09T00:00:00Z"/>
        <d v="2020-02-10T00:00:00Z"/>
        <d v="2020-02-19T00:00:00Z"/>
        <d v="2020-02-13T00:00:00Z"/>
        <d v="2020-02-14T00:00:00Z"/>
        <d v="2020-02-16T00:00:00Z"/>
        <d v="2020-02-17T00:00:00Z"/>
        <d v="2020-02-25T00:00:00Z"/>
        <d v="2020-02-26T00:00:00Z"/>
        <d v="2020-02-23T00:00:00Z"/>
        <d v="2020-02-21T00:00:00Z"/>
        <d v="2020-02-24T00:00:00Z"/>
        <d v="2020-02-28T00:00:00Z"/>
        <d v="2020-02-29T00:00:00Z"/>
        <d v="2020-03-03T00:00:00Z"/>
        <d v="2020-03-05T00:00:00Z"/>
        <d v="2020-03-11T00:00:00Z"/>
        <d v="2020-03-09T00:00:00Z"/>
        <d v="2020-03-12T00:00:00Z"/>
        <d v="2020-03-14T00:00:00Z"/>
        <d v="2020-03-13T00:00:00Z"/>
        <d v="2020-03-15T00:00:00Z"/>
        <d v="2020-03-16T00:00:00Z"/>
        <d v="2020-03-19T00:00:00Z"/>
        <d v="2020-03-21T00:00:00Z"/>
        <d v="2020-03-22T00:00:00Z"/>
        <d v="2020-03-29T00:00:00Z"/>
        <d v="2020-03-26T00:00:00Z"/>
        <d v="2020-03-24T00:00:00Z"/>
        <d v="2020-03-28T00:00:00Z"/>
      </sharedItems>
    </cacheField>
    <cacheField name="Cost Price" numFmtId="164">
      <sharedItems containsSemiMixedTypes="0" containsString="0" containsNumber="1">
        <n v="52800.0"/>
        <n v="35850.0"/>
        <n v="36150.0"/>
        <n v="1125000.0"/>
        <n v="13500.0"/>
        <n v="16350.000000000002"/>
        <n v="1490850.0"/>
        <n v="814350.0"/>
        <n v="79950.0"/>
        <n v="73350.0"/>
        <n v="540300.0"/>
        <n v="10650.0"/>
        <n v="51300.0"/>
        <n v="68850.0"/>
        <n v="19500.0"/>
        <n v="27300.0"/>
        <n v="1223850.0"/>
        <n v="14100.0"/>
        <n v="37800.0"/>
        <n v="114150.0"/>
        <n v="23850.0"/>
        <n v="95850.0"/>
        <n v="480300.00000000006"/>
        <n v="151050.0"/>
        <n v="71850.0"/>
        <n v="130650.00000000001"/>
        <n v="52050.0"/>
        <n v="28050.0"/>
        <n v="132300.0"/>
        <n v="208200.0"/>
        <n v="323400.0"/>
        <n v="296700.0"/>
        <n v="148650.0"/>
        <n v="56250.0"/>
        <n v="82500.0"/>
        <n v="204600.0"/>
        <n v="17700.0"/>
        <n v="96000.0"/>
        <n v="57600.0"/>
        <n v="2347500.0"/>
        <n v="34350.0"/>
        <n v="33750.0"/>
        <n v="185850.0"/>
        <n v="133800.0"/>
        <n v="908850.0"/>
        <n v="52200.0"/>
        <n v="302700.0"/>
        <n v="26400.0"/>
        <n v="2682450.0"/>
        <n v="297450.0"/>
        <n v="43500.0"/>
        <n v="24000.0"/>
        <n v="51000.0"/>
        <n v="166650.0"/>
        <n v="19950.0"/>
        <n v="118800.0"/>
        <n v="29700.0"/>
        <n v="252750.00000000003"/>
        <n v="41100.0"/>
        <n v="65550.0"/>
        <n v="58200.0"/>
        <n v="19650.0"/>
        <n v="3600.0"/>
        <n v="817800.0"/>
        <n v="4184850.0"/>
        <n v="97650.0"/>
        <n v="44700.0"/>
        <n v="54750.0"/>
        <n v="66900.0"/>
        <n v="594600.0"/>
        <n v="29250.0"/>
        <n v="29100.0"/>
        <n v="1151850.0"/>
        <n v="27600.0"/>
        <n v="22950.0"/>
        <n v="33900.0"/>
        <n v="21900.0"/>
        <n v="275700.0"/>
        <n v="3240000.0"/>
        <n v="52500.0"/>
        <n v="13950.0"/>
        <n v="1015950.0000000001"/>
        <n v="32700.000000000004"/>
        <n v="842400.0"/>
        <n v="77850.0"/>
        <n v="36750.0"/>
        <n v="49800.0"/>
        <n v="631650.0"/>
        <n v="37500.0"/>
        <n v="224250.0"/>
        <n v="332700.0"/>
        <n v="619200.0"/>
        <n v="936000.0"/>
        <n v="67950.0"/>
        <n v="165600.0"/>
        <n v="252000.0"/>
        <n v="78300.0"/>
        <n v="50550.0"/>
        <n v="52650.0"/>
        <n v="170700.0"/>
        <n v="28800.0"/>
        <n v="47100.0"/>
        <n v="61499.99999999999"/>
        <n v="34650.0"/>
        <n v="3294150.0"/>
        <n v="5669850.0"/>
        <n v="38850.0"/>
        <n v="781050.0"/>
        <n v="32400.000000000004"/>
        <n v="17250.0"/>
        <n v="23550.0"/>
        <n v="62850.00000000001"/>
        <n v="780600.0"/>
        <n v="329550.0"/>
        <n v="106950.0"/>
        <n v="31950.0"/>
        <n v="15750.0"/>
        <n v="4734150.0"/>
        <n v="1263300.0"/>
        <n v="13050.0"/>
        <n v="41400.0"/>
        <n v="28200.0"/>
        <n v="220500.0"/>
        <n v="124650.00000000001"/>
        <n v="13800.0"/>
        <n v="28500.0"/>
        <n v="60450.00000000001"/>
        <n v="17850.0"/>
        <n v="67200.0"/>
        <n v="267600.0"/>
        <n v="43050.0"/>
        <n v="40200.0"/>
        <n v="59850.0"/>
        <n v="52950.0"/>
        <n v="59250.0"/>
        <n v="17550.0"/>
        <n v="4800.0"/>
        <n v="93000.0"/>
        <n v="4049850.0"/>
      </sharedItems>
    </cacheField>
    <cacheField name="Retail Price" numFmtId="164">
      <sharedItems containsSemiMixedTypes="0" containsString="0" containsNumber="1">
        <n v="83700.0"/>
        <n v="63900.0"/>
        <n v="55650.0"/>
        <n v="1814550.0"/>
        <n v="31500.0"/>
        <n v="39000.0"/>
        <n v="2443950.0"/>
        <n v="25200.0"/>
        <n v="1357200.0"/>
        <n v="129000.0"/>
        <n v="114600.0"/>
        <n v="871500.0"/>
        <n v="17100.0"/>
        <n v="125100.0"/>
        <n v="109200.0"/>
        <n v="43200.0"/>
        <n v="44700.0"/>
        <n v="2399850.0"/>
        <n v="85200.0"/>
        <n v="31200.0"/>
        <n v="60000.0"/>
        <n v="184200.0"/>
        <n v="39150.0"/>
        <n v="299700.0"/>
        <n v="2287200.0"/>
        <n v="239700.0"/>
        <n v="179550.0"/>
        <n v="214200.0"/>
        <n v="100200.0"/>
        <n v="33379.50000000001"/>
        <n v="314850.0"/>
        <n v="335700.0"/>
        <n v="548250.0"/>
        <n v="689850.0"/>
        <n v="239850.0"/>
        <n v="106200.0"/>
        <n v="183300.0"/>
        <n v="314700.0"/>
        <n v="28200.0"/>
        <n v="436500.0"/>
        <n v="94500.0"/>
        <n v="4514550.0"/>
        <n v="53700.0"/>
        <n v="55350.0"/>
        <n v="446100.0"/>
        <n v="1514700.0"/>
        <n v="81450.0"/>
        <n v="531150.0"/>
        <n v="50700.0"/>
        <n v="6238200.0"/>
        <n v="464700.0"/>
        <n v="71400.0"/>
        <n v="39300.0"/>
        <n v="81000.0"/>
        <n v="297600.0"/>
        <n v="194850.0"/>
        <n v="121799.99999999999"/>
        <n v="47250.0"/>
        <n v="407700.0"/>
        <n v="539100.0"/>
        <n v="67350.0"/>
        <n v="136650.0"/>
        <n v="97050.0"/>
        <n v="42600.0"/>
        <n v="18900.0"/>
        <n v="1514550.0"/>
        <n v="6749850.0"/>
        <n v="87600.0"/>
        <n v="89700.0"/>
        <n v="163350.0"/>
        <n v="59700.0"/>
        <n v="46200.0"/>
        <n v="1799850.0"/>
        <n v="41700.0"/>
        <n v="53550.0"/>
        <n v="437550.0"/>
        <n v="86100.0"/>
        <n v="22200.0"/>
        <n v="2478000.0"/>
        <n v="52800.0"/>
        <n v="2054699.9999999998"/>
        <n v="194700.0"/>
        <n v="58350.0"/>
        <n v="77700.0"/>
        <n v="1214700.0"/>
        <n v="521399.99999999994"/>
        <n v="811500.0"/>
        <n v="1439850.0"/>
        <n v="2339850.0"/>
        <n v="109500.0"/>
        <n v="254700.0"/>
        <n v="614550.0"/>
        <n v="147750.0"/>
        <n v="82950.0"/>
        <n v="44100.0"/>
        <n v="128550.0"/>
        <n v="279750.0"/>
        <n v="24000.0"/>
        <n v="86550.0"/>
        <n v="48900.0"/>
        <n v="73650.0"/>
        <n v="139650.0"/>
        <n v="56700.0"/>
        <n v="8034600.0"/>
        <n v="8999850.0"/>
        <n v="1259700.0"/>
        <n v="57750.0"/>
        <n v="40050.0"/>
        <n v="49200.0"/>
        <n v="153450.0"/>
        <n v="1258950.0"/>
        <n v="531600.0"/>
        <n v="52350.0"/>
        <n v="29250.0"/>
        <n v="7514550.0"/>
        <n v="3158250.0"/>
        <n v="27150.0"/>
        <n v="65700.0"/>
        <n v="27300.0"/>
        <n v="47100.0"/>
        <n v="37050.0"/>
        <n v="449850.0"/>
        <n v="140700.0"/>
        <n v="29700.0"/>
        <n v="122100.00000000001"/>
        <n v="524850.0"/>
        <n v="102600.0"/>
        <n v="91200.0"/>
        <n v="93450.0"/>
        <n v="129299.99999999999"/>
      </sharedItems>
    </cacheField>
    <cacheField name="Profit Margin" numFmtId="164">
      <sharedItems containsSemiMixedTypes="0" containsString="0" containsNumber="1">
        <n v="30900.0"/>
        <n v="28050.0"/>
        <n v="19500.0"/>
        <n v="689550.0"/>
        <n v="18000.0"/>
        <n v="22650.0"/>
        <n v="953100.0"/>
        <n v="8849.999999999998"/>
        <n v="542850.0"/>
        <n v="49050.0"/>
        <n v="41250.0"/>
        <n v="331200.0"/>
        <n v="6450.0"/>
        <n v="73800.0"/>
        <n v="40350.0"/>
        <n v="23700.0"/>
        <n v="17400.0"/>
        <n v="1176000.0"/>
        <n v="32400.0"/>
        <n v="17100.0"/>
        <n v="22200.0"/>
        <n v="70050.0"/>
        <n v="15300.0"/>
        <n v="203850.0"/>
        <n v="1806900.0"/>
        <n v="88650.0"/>
        <n v="107700.0"/>
        <n v="83549.99999999999"/>
        <n v="48150.0"/>
        <n v="5329.500000000007"/>
        <n v="182550.0"/>
        <n v="127500.0"/>
        <n v="224850.0"/>
        <n v="393150.0"/>
        <n v="91200.0"/>
        <n v="49950.0"/>
        <n v="100800.0"/>
        <n v="110100.0"/>
        <n v="10500.0"/>
        <n v="340500.0"/>
        <n v="36900.0"/>
        <n v="2167050.0"/>
        <n v="19350.0"/>
        <n v="21600.0"/>
        <n v="113850.0"/>
        <n v="312300.0"/>
        <n v="605850.0"/>
        <n v="29250.0"/>
        <n v="228450.0"/>
        <n v="24300.0"/>
        <n v="3555750.0"/>
        <n v="167250.0"/>
        <n v="27900.0"/>
        <n v="30000.0"/>
        <n v="130950.0"/>
        <n v="11250.0"/>
        <n v="76050.0"/>
        <n v="93749.99999999999"/>
        <n v="17550.0"/>
        <n v="154949.99999999997"/>
        <n v="215700.0"/>
        <n v="26250.0"/>
        <n v="71100.0"/>
        <n v="38850.0"/>
        <n v="22950.0"/>
        <n v="696750.0"/>
        <n v="2565000.0"/>
        <n v="367050.0"/>
        <n v="42900.0"/>
        <n v="34950.0"/>
        <n v="96450.0"/>
        <n v="1692600.0"/>
        <n v="30450.0"/>
        <n v="648000.0"/>
        <n v="15600.0"/>
        <n v="18750.0"/>
        <n v="19800.0"/>
        <n v="31650.0"/>
        <n v="161850.0"/>
        <n v="3509850.0"/>
        <n v="33600.0"/>
        <n v="8250.0"/>
        <n v="1462050.0"/>
        <n v="20099.999999999996"/>
        <n v="1212299.9999999998"/>
        <n v="116850.0"/>
        <n v="583050.0"/>
        <n v="47700.0"/>
        <n v="297149.99999999994"/>
        <n v="478800.0"/>
        <n v="820650.0"/>
        <n v="1403850.0"/>
        <n v="41550.0"/>
        <n v="89100.0"/>
        <n v="362550.0"/>
        <n v="21000.0"/>
        <n v="69450.0"/>
        <n v="17700.0"/>
        <n v="75900.0"/>
        <n v="109050.0"/>
        <n v="10050.0"/>
        <n v="30300.0"/>
        <n v="20100.0"/>
        <n v="26550.0"/>
        <n v="78150.0"/>
        <n v="22050.0"/>
        <n v="4740450.0"/>
        <n v="3330000.0"/>
        <n v="20850.0"/>
        <n v="478650.0"/>
        <n v="25349.999999999996"/>
        <n v="22800.0"/>
        <n v="25650.0"/>
        <n v="90600.0"/>
        <n v="478350.0"/>
        <n v="202050.0"/>
        <n v="207750.0"/>
        <n v="20400.0"/>
        <n v="13500.0"/>
        <n v="2780400.0"/>
        <n v="1894950.0"/>
        <n v="14100.0"/>
        <n v="10949.999999999998"/>
        <n v="18900.0"/>
        <n v="229350.0"/>
        <n v="115049.99999999999"/>
        <n v="13350.0"/>
        <n v="20700.0"/>
        <n v="80250.0"/>
        <n v="11850.0"/>
        <n v="54900.000000000015"/>
        <n v="257250.0"/>
        <n v="59550.0"/>
        <n v="51000.0"/>
        <n v="76349.99999999999"/>
        <n v="31950.0"/>
        <n v="24150.0"/>
        <n v="371700.0"/>
        <n v="2700000.0"/>
      </sharedItems>
    </cacheField>
    <cacheField name="Order Quantity" numFmtId="164">
      <sharedItems containsSemiMixedTypes="0" containsString="0" containsNumber="1" containsInteger="1">
        <n v="29.0"/>
        <n v="42.0"/>
        <n v="6.0"/>
        <n v="17.0"/>
        <n v="47.0"/>
        <n v="32.0"/>
        <n v="33.0"/>
        <n v="8.0"/>
        <n v="48.0"/>
        <n v="18.0"/>
        <n v="3.0"/>
        <n v="50.0"/>
        <n v="16.0"/>
        <n v="38.0"/>
        <n v="22.0"/>
        <n v="30.0"/>
        <n v="37.0"/>
        <n v="24.0"/>
        <n v="4.0"/>
        <n v="36.0"/>
        <n v="31.0"/>
        <n v="9.0"/>
        <n v="7.0"/>
        <n v="27.0"/>
        <n v="39.0"/>
        <n v="15.0"/>
        <n v="20.0"/>
        <n v="41.0"/>
        <n v="2.0"/>
        <n v="34.0"/>
        <n v="19.0"/>
        <n v="26.0"/>
        <n v="45.0"/>
        <n v="14.0"/>
        <n v="35.0"/>
        <n v="1.0"/>
        <n v="13.0"/>
        <n v="10.0"/>
        <n v="49.0"/>
        <n v="5.0"/>
        <n v="25.0"/>
        <n v="44.0"/>
        <n v="23.0"/>
        <n v="21.0"/>
        <n v="28.0"/>
        <n v="11.0"/>
        <n v="12.0"/>
        <n v="43.0"/>
        <n v="40.0"/>
        <n v="46.0"/>
      </sharedItems>
    </cacheField>
    <cacheField name="Sub Total" numFmtId="164">
      <sharedItems containsSemiMixedTypes="0" containsString="0" containsNumber="1">
        <n v="2427300.0"/>
        <n v="1853100.0"/>
        <n v="2337300.0"/>
        <n v="1.08873E7"/>
        <n v="535500.0"/>
        <n v="1833000.0"/>
        <n v="7.82064E7"/>
        <n v="831600.0"/>
        <n v="1.08576E7"/>
        <n v="6192000.0"/>
        <n v="2062800.0"/>
        <n v="4071600.0"/>
        <n v="4.3575E7"/>
        <n v="855000.0"/>
        <n v="2001600.0"/>
        <n v="649800.0"/>
        <n v="2402400.0"/>
        <n v="2073600.0"/>
        <n v="983400.0"/>
        <n v="7.19955E7"/>
        <n v="4773000.0"/>
        <n v="2044800.0"/>
        <n v="124800.0"/>
        <n v="4644000.0"/>
        <n v="1860000.0"/>
        <n v="5341800.0"/>
        <n v="352350.0"/>
        <n v="2097900.0"/>
        <n v="3.65952E7"/>
        <n v="4973400.0"/>
        <n v="9348300.0"/>
        <n v="1256850.0"/>
        <n v="8996400.0"/>
        <n v="2.0358E7"/>
        <n v="1704000.0"/>
        <n v="4108200.0"/>
        <n v="1368559.5000000002"/>
        <n v="200400.0"/>
        <n v="8149800.0"/>
        <n v="3231900.0"/>
        <n v="2518800.0"/>
        <n v="453600.0"/>
        <n v="1140000.0"/>
        <n v="8728200.0"/>
        <n v="2.467125E7"/>
        <n v="9657900.0"/>
        <n v="1678950.0"/>
        <n v="3079800.0"/>
        <n v="6415500.0"/>
        <n v="1.47909E7"/>
        <n v="3002400.0"/>
        <n v="218400.0"/>
        <n v="28200.0"/>
        <n v="1.44045E7"/>
        <n v="3969000.0"/>
        <n v="6.32037E7"/>
        <n v="2040600.0"/>
        <n v="1937250.0"/>
        <n v="3896100.0"/>
        <n v="6245400.0"/>
        <n v="4.99851E7"/>
        <n v="2362050.0"/>
        <n v="2.01837E7"/>
        <n v="1723800.0"/>
        <n v="8715000.0"/>
        <n v="1.715529E8"/>
        <n v="3753000.0"/>
        <n v="4.39263E7"/>
        <n v="1.24764E7"/>
        <n v="2340000.0"/>
        <n v="2.27703E7"/>
        <n v="2.257275E7"/>
        <n v="1927800.0"/>
        <n v="4514550.0"/>
        <n v="537000.0"/>
        <n v="1.710765E7"/>
        <n v="1336200.0"/>
        <n v="2025000.0"/>
        <n v="7737600.0"/>
        <n v="134100.0"/>
        <n v="1372800.0"/>
        <n v="9547650.0"/>
        <n v="5694300.0"/>
        <n v="3897599.9999999995"/>
        <n v="1086750.0"/>
        <n v="1.38618E7"/>
        <n v="825300.0"/>
        <n v="1.290885E7"/>
        <n v="2106000.0"/>
        <n v="1.50948E7"/>
        <n v="740850.0"/>
        <n v="819900.0"/>
        <n v="1941000.0"/>
        <n v="1661400.0"/>
        <n v="189000.0"/>
        <n v="928200.0"/>
        <n v="5.300925E7"/>
        <n v="1876500.0"/>
        <n v="2967000.0"/>
        <n v="8.09982E7"/>
        <n v="343200.0"/>
        <n v="1.34763E7"/>
        <n v="963600.0"/>
        <n v="1255800.0"/>
        <n v="6043950.0"/>
        <n v="3717600.0"/>
        <n v="7.09032E7"/>
        <n v="1791000.0"/>
        <n v="1755600.0"/>
        <n v="4.31964E7"/>
        <n v="475200.0"/>
        <n v="1.28871E7"/>
        <n v="1668000.0"/>
        <n v="2470200.0"/>
        <n v="1231650.0"/>
        <n v="2.04468E7"/>
        <n v="3500400.0"/>
        <n v="2.69994E8"/>
        <n v="6.350925E7"/>
        <n v="4305000.0"/>
        <n v="421800.0"/>
        <n v="9.1686E7"/>
        <n v="633600.0"/>
        <n v="553800.0"/>
        <n v="2460000.0"/>
        <n v="8.424269999999999E7"/>
        <n v="501000.0"/>
        <n v="5.6994E7"/>
        <n v="8761500.0"/>
        <n v="1184400.0"/>
        <n v="2726400.0"/>
        <n v="2079000.0"/>
        <n v="1713600.0"/>
        <n v="1.81764E7"/>
        <n v="1867200.0"/>
        <n v="1212600.0"/>
        <n v="1470150.0"/>
        <n v="1392300.0"/>
        <n v="2874900.0"/>
        <n v="3685500.0"/>
        <n v="1108800.0"/>
        <n v="1368900.0"/>
        <n v="5042400.0"/>
        <n v="4.12998E7"/>
        <n v="3919200.0"/>
        <n v="258300.0"/>
        <n v="5371200.0"/>
        <n v="6100500.0"/>
        <n v="1341600.0"/>
        <n v="6475950.0"/>
        <n v="1787100.0"/>
        <n v="7820999.999999999"/>
        <n v="1.54185E7"/>
        <n v="777000.0"/>
        <n v="8498400.0"/>
        <n v="2.52195E7"/>
        <n v="2.447745E7"/>
        <n v="499200.0"/>
        <n v="7871250.0"/>
        <n v="250200.0"/>
        <n v="116700.0"/>
        <n v="1.4868E7"/>
        <n v="957600.0"/>
        <n v="1.123128E8"/>
        <n v="648000.0"/>
        <n v="1404000.0"/>
        <n v="39150.0"/>
        <n v="1883700.0"/>
        <n v="3588000.0"/>
        <n v="930600.0"/>
        <n v="3394500.0"/>
        <n v="6876900.0"/>
        <n v="3807000.0"/>
        <n v="4506599.999999999"/>
        <n v="6760050.0"/>
        <n v="1894200.0"/>
        <n v="1948799.9999999998"/>
        <n v="4927500.0"/>
        <n v="7788000.0"/>
        <n v="2324700.0"/>
        <n v="3989250.0"/>
        <n v="621600.0"/>
        <n v="1410150.0"/>
        <n v="1.40859E7"/>
        <n v="4949100.0"/>
        <n v="1014300.0"/>
        <n v="4574400.0"/>
        <n v="3085200.0"/>
        <n v="2742450.0"/>
        <n v="1021800.0"/>
        <n v="1.02429E7"/>
        <n v="327600.0"/>
        <n v="7199400.0"/>
        <n v="1503000.0"/>
        <n v="5315250.0"/>
        <n v="1.199925E8"/>
        <n v="1.43988E7"/>
        <n v="3.011295E7"/>
        <n v="1847100.0"/>
        <n v="600000.0"/>
        <n v="170100.0"/>
        <n v="2242500.0"/>
        <n v="774000.0"/>
        <n v="1611000.0"/>
        <n v="7000800.0"/>
        <n v="778950.0"/>
        <n v="293400.0"/>
        <n v="2490750.0"/>
        <n v="1.57911E7"/>
        <n v="9.37752E7"/>
        <n v="883800.0"/>
        <n v="1.618935E7"/>
        <n v="1514700.0"/>
        <n v="2513700.0"/>
        <n v="7238100.0"/>
        <n v="4101300.0"/>
        <n v="3.4083E7"/>
        <n v="1.21422E8"/>
        <n v="2664900.0"/>
        <n v="7049700.0"/>
        <n v="1987200.0"/>
        <n v="729000.0"/>
        <n v="3.698459999999999E7"/>
        <n v="7008300.0"/>
        <n v="1134000.0"/>
        <n v="2447700.0"/>
        <n v="6619800.0"/>
        <n v="8034600.0"/>
        <n v="3024000.0"/>
        <n v="599400.0"/>
        <n v="2.339805E7"/>
        <n v="1053000.0"/>
        <n v="3482700.0"/>
        <n v="1917600.0"/>
        <n v="516000.0"/>
        <n v="3.66444E7"/>
        <n v="9755700.0"/>
        <n v="162900.0"/>
        <n v="1107000.0"/>
        <n v="2.271825E7"/>
        <n v="2.6324415E8"/>
        <n v="4.319928E8"/>
        <n v="656700.0"/>
        <n v="2255400.0"/>
        <n v="1.32237E7"/>
        <n v="1.13373E7"/>
        <n v="3.374925E7"/>
        <n v="1790250.0"/>
        <n v="760950.0"/>
        <n v="2164800.0"/>
        <n v="7556400.0"/>
        <n v="1381050.0"/>
        <n v="1021200.0"/>
        <n v="5.46615E7"/>
        <n v="404100.0"/>
        <n v="1980000.0"/>
        <n v="1279200.0"/>
        <n v="3306600.0"/>
        <n v="661500.0"/>
        <n v="437550.0"/>
        <n v="5227200.0"/>
        <n v="46200.0"/>
        <n v="6.29475E7"/>
        <n v="7573500.0"/>
        <n v="3610800.0"/>
        <n v="3874500.0"/>
        <n v="1677000.0"/>
        <n v="1.11525E7"/>
        <n v="1.11636E7"/>
        <n v="2094300.0"/>
        <n v="231000.0"/>
        <n v="7895700.0"/>
        <n v="1971000.0"/>
        <n v="136650.0"/>
        <n v="2.70402E7"/>
        <n v="1.22733E7"/>
        <n v="2195550.0"/>
        <n v="2408100.0"/>
        <n v="1701000.0"/>
        <n v="906750.0"/>
        <n v="2.3295105E8"/>
        <n v="2.699955E8"/>
        <n v="78000.0"/>
        <n v="1.67292E7"/>
        <n v="1201200.0"/>
        <n v="3375900.0"/>
        <n v="1.01064E8"/>
        <n v="4405800.0"/>
        <n v="805500.0"/>
        <n v="1342500.0"/>
        <n v="1221750.0"/>
        <n v="732600.0"/>
        <n v="1248000.0"/>
        <n v="9.040679999999999E7"/>
        <n v="2955000.0"/>
        <n v="1905300.0"/>
        <n v="415800.0"/>
        <n v="3894000.0"/>
        <n v="3299400.0"/>
        <n v="850500.0"/>
        <n v="3.1724295E8"/>
        <n v="1.120728E8"/>
        <n v="8259300.0"/>
        <n v="3148500.0"/>
        <n v="1092000.0"/>
        <n v="4779000.0"/>
        <n v="2.682426E8"/>
        <n v="2.70873E7"/>
        <n v="2997000.0"/>
        <n v="2362800.0"/>
        <n v="5035500.0"/>
        <n v="2.13762E7"/>
        <n v="535800.0"/>
        <n v="2170350.0"/>
        <n v="1507200.0"/>
        <n v="2.6316E7"/>
        <n v="1.115415E7"/>
        <n v="3.91032E7"/>
        <n v="3.492989999999999E7"/>
        <n v="1767600.0"/>
        <n v="345600.0"/>
        <n v="2.888385E7"/>
        <n v="2463300.0"/>
        <n v="5475000.0"/>
        <n v="1593150.0"/>
        <n v="1722600.0"/>
        <n v="8997000.0"/>
        <n v="1784400.0"/>
        <n v="3341100.0"/>
        <n v="2030400.0"/>
        <n v="9588000.0"/>
        <n v="809400.0"/>
        <n v="487199.99999999994"/>
        <n v="1182600.0"/>
        <n v="432000.0"/>
        <n v="217200.0"/>
        <n v="2017200.0"/>
        <n v="624000.0"/>
        <n v="982500.0"/>
        <n v="2173500.0"/>
        <n v="2.2499625E8"/>
        <n v="393000.0"/>
        <n v="2833650.0"/>
        <n v="1.14138E7"/>
        <n v="802200.0"/>
        <n v="602700.0"/>
        <n v="2870400.0"/>
        <n v="1320900.0"/>
        <n v="37800.0"/>
        <n v="1.3158E7"/>
        <n v="4991400.0"/>
        <n v="785400.0"/>
        <n v="1498500.0"/>
        <n v="2391900.0"/>
        <n v="6782100.0"/>
        <n v="8332800.0"/>
        <n v="1.10262E7"/>
        <n v="1768500.0"/>
        <n v="1.0124775E8"/>
        <n v="840000.0"/>
        <n v="1.71939E7"/>
        <n v="6951300.0"/>
        <n v="1515900.0"/>
        <n v="1927200.0"/>
        <n v="1959600.0"/>
        <n v="1325400.0"/>
        <n v="1958250.0"/>
        <n v="333000.0"/>
        <n v="982800.0"/>
        <n v="1.7727599999999996E7"/>
        <n v="2847000.0"/>
        <n v="1020300.0"/>
        <n v="1.586655E7"/>
        <n v="6559200.0"/>
        <n v="1123200.0"/>
        <n v="1815450.0"/>
        <n v="1603200.0"/>
        <n v="136800.0"/>
        <n v="1.097856E8"/>
        <n v="4464000.0"/>
        <n v="1660500.0"/>
        <n v="1.54164E7"/>
        <n v="68400.0"/>
        <n v="2963400.0"/>
        <n v="2655750.0"/>
        <n v="2125200.0"/>
        <n v="183300.0"/>
        <n v="5677650.0"/>
        <n v="1128600.0"/>
        <n v="1.27968E7"/>
        <n v="4.28298E7"/>
        <n v="2160000.0"/>
        <n v="2141700.0"/>
        <n v="756000.0"/>
        <n v="653400.0"/>
        <n v="9108600.0"/>
        <n v="5616600.000000001"/>
        <n v="1436400.0"/>
        <n v="1782000.0"/>
        <n v="8475900.0"/>
        <n v="1704300.0"/>
        <n v="577500.0"/>
        <n v="1.522065E7"/>
        <n v="4129650.0"/>
        <n v="3.02328E7"/>
        <n v="1375200.0"/>
        <n v="1920000.0"/>
        <n v="5576400.0"/>
        <n v="3.6899385E8"/>
        <n v="1.79997E8"/>
        <n v="1015200.0"/>
        <n v="1.40391E7"/>
        <n v="1306800.0"/>
        <n v="511200.0"/>
        <n v="1.13988E8"/>
        <n v="6.63288E7"/>
        <n v="3357000.0"/>
        <n v="1.51674E7"/>
        <n v="2.294949E8"/>
        <n v="1198500.0"/>
        <n v="699300.0"/>
        <n v="238800.0"/>
        <n v="4171199.9999999995"/>
        <n v="2269350.0"/>
        <n v="894600.0"/>
        <n v="2.49528E7"/>
        <n v="1.43856E7"/>
        <n v="7058700.0"/>
        <n v="1339799.9999999998"/>
        <n v="3931200.0"/>
        <n v="1214400.0"/>
        <n v="1303200.0"/>
        <n v="6.74985E7"/>
        <n v="1454100.0"/>
        <n v="3578400.0"/>
        <n v="1448550.0"/>
        <n v="5213999.999999999"/>
        <n v="4057500.0"/>
        <n v="1150200.0"/>
        <n v="3591000.0"/>
        <n v="3.44925E7"/>
        <n v="2736000.0"/>
        <n v="244350.0"/>
        <n v="1.6785E7"/>
        <n v="531150.0"/>
        <n v="724500.0"/>
        <n v="1533600.0"/>
        <n v="2998800.0"/>
        <n v="2667600.0"/>
        <n v="1071000.0"/>
        <n v="1.30923E7"/>
        <n v="1166400.0"/>
        <n v="2.7803835E8"/>
        <n v="1.173096E8"/>
        <n v="2808300.0000000005"/>
        <n v="719550.0"/>
        <n v="944550.0"/>
        <n v="1.40994E7"/>
        <n v="1.34865E7"/>
        <n v="779100.0"/>
        <n v="718200.0"/>
        <n v="221400.0"/>
        <n v="4.80312E7"/>
        <n v="1.6874625E8"/>
        <n v="4109399.9999999995"/>
        <n v="1.881465E7"/>
        <n v="7241550.0"/>
        <n v="253500.0"/>
        <n v="3052350.0"/>
        <n v="1.86405E7"/>
        <n v="1.96911E7"/>
        <n v="9.531405E7"/>
        <n v="854700.0"/>
        <n v="9735000.0"/>
        <n v="1.8509655E8"/>
        <n v="546000.0"/>
        <n v="89100.0"/>
        <n v="5386500.0"/>
        <n v="950400.0"/>
        <n v="995400.0"/>
        <n v="693000.0"/>
        <n v="3667200.0"/>
        <n v="1113150.0"/>
        <n v="664200.0"/>
        <n v="388800.0"/>
        <n v="6232200.0"/>
        <n v="373800.0"/>
        <n v="1857600.0"/>
        <n v="6057750.0"/>
        <n v="258000.0"/>
        <n v="1274400.0"/>
        <n v="184800.0"/>
        <n v="2587200.0"/>
        <n v="2.254365E7"/>
        <n v="2.2420199999999996E7"/>
        <n v="9590400.0"/>
        <n v="2.1825E7"/>
        <n v="916500.0"/>
        <n v="3292200.0"/>
        <n v="4368000.0"/>
        <n v="1907850.0"/>
        <n v="681600.0"/>
        <n v="1.416825E7"/>
        <n v="1417800.0"/>
        <n v="1.968915E7"/>
        <n v="6.89529E7"/>
        <n v="119400.0"/>
        <n v="746550.0"/>
        <n v="1058850.0"/>
        <n v="6464999.999999999"/>
        <n v="792300.0"/>
        <n v="2425500.0"/>
        <n v="2488500.0"/>
        <n v="2239650.0"/>
        <n v="1980300.0"/>
        <n v="1798200.0"/>
        <n v="1051200.0"/>
        <n v="4.499925E8"/>
        <n v="1571700.0"/>
        <n v="1.34997E7"/>
        <n v="5982150.0"/>
        <n v="2014200.0"/>
        <n v="4485000.0"/>
        <n v="3.306402E8"/>
        <n v="1252800.0"/>
        <n v="375900.0"/>
        <n v="4361700.0"/>
        <n v="2627100.0"/>
        <n v="5.68485E7"/>
        <n v="1.51065E7"/>
        <n v="358800.0"/>
        <n v="2355000.0"/>
        <n v="6.86202E7"/>
        <n v="4478100.0"/>
        <n v="9890100.0"/>
        <n v="1.49292E7"/>
        <n v="861300.0"/>
        <n v="691200.0"/>
        <n v="2.602635E7"/>
        <n v="4.559715E7"/>
        <n v="1077300.0"/>
        <n v="5203800.0"/>
        <n v="312000.0"/>
        <n v="1638000.0"/>
        <n v="1036800.0"/>
        <n v="5667300.0"/>
        <n v="365399.99999999994"/>
        <n v="5370750.0"/>
        <n v="4.913685E7"/>
        <n v="8.79822E7"/>
        <n v="2828100.0"/>
        <n v="576000.0"/>
        <n v="1466400.0"/>
        <n v="979800.0"/>
        <n v="1747200.0"/>
        <n v="1014000.0"/>
        <n v="141000.0"/>
        <n v="1834800.0"/>
        <n v="52800.0"/>
        <n v="2788200.0"/>
        <n v="2116800.0"/>
        <n v="297600.0"/>
        <n v="1.2309E7"/>
        <n v="1010250.0"/>
        <n v="1.542765E7"/>
        <n v="1.4382899999999998E7"/>
        <n v="620400.0"/>
        <n v="254700.0"/>
        <n v="3909600.0"/>
        <n v="3102750.0"/>
        <n v="723450.0"/>
        <n v="1789200.0"/>
        <n v="2309100.0"/>
        <n v="3530100.0"/>
        <n v="3630900.0"/>
        <n v="3.20208E7"/>
        <n v="77700.0"/>
        <n v="225600.0"/>
        <n v="623700.0"/>
        <n v="1543500.0"/>
        <n v="2025300.0"/>
        <n v="1017450.0"/>
        <n v="803250.0"/>
        <n v="2184000.0"/>
        <n v="1314000.0"/>
        <n v="821400.0"/>
        <n v="1584600.0"/>
        <n v="2656800.0"/>
        <n v="1.214595E7"/>
        <n v="2.67234E7"/>
        <n v="1.9574565E8"/>
        <n v="1.31868E7"/>
        <n v="955200.0"/>
        <n v="1935000.0"/>
        <n v="1576800.0"/>
        <n v="4189500.0"/>
        <n v="4.139931E8"/>
        <n v="1719900.0"/>
        <n v="1677900.0"/>
        <n v="5097600.0"/>
        <n v="2755200.0"/>
        <n v="2006400.0"/>
        <n v="1438200.0"/>
        <n v="1034399.9999999999"/>
        <n v="6316500.0"/>
        <n v="1146600.0"/>
        <n v="1.72074E7"/>
        <n v="3776850.0"/>
        <n v="2158650.0"/>
        <n v="277200.0"/>
        <n v="3.74361E7"/>
        <n v="8167500.0"/>
        <n v="1.36323E7"/>
        <n v="9.0291E7"/>
        <n v="490050.0"/>
        <n v="8.34693E7"/>
        <n v="6.66468E7"/>
        <n v="8618400.0"/>
        <n v="1554000.0"/>
        <n v="585900.0"/>
        <n v="1273050.0"/>
        <n v="2072700.0"/>
        <n v="22200.0"/>
        <n v="6298950.0"/>
        <n v="3147000.0"/>
        <n v="686400.0"/>
        <n v="810000.0"/>
        <n v="5994000.0"/>
        <n v="1.01898E7"/>
        <n v="3929400.0"/>
        <n v="2238600.0"/>
        <n v="117000.0"/>
        <n v="1.8786375E8"/>
        <n v="817800.0"/>
        <n v="118800.0"/>
        <n v="157050.0"/>
        <n v="169200.0"/>
        <n v="3723000.0"/>
        <n v="2601450.0"/>
        <n v="8963100.0"/>
        <n v="1.310022E8"/>
        <n v="1.0383465E8"/>
        <n v="3003300.0"/>
        <n v="734400.0"/>
        <n v="6.65028E7"/>
        <n v="1202400.0"/>
        <n v="3376800.0"/>
        <n v="1566000.0"/>
        <n v="3739200.0"/>
        <n v="2135100.0"/>
        <n v="2455200.0"/>
        <n v="1633500.0"/>
        <n v="508200.0"/>
        <n v="875700.0"/>
        <n v="3.88824E7"/>
        <n v="1552800.0"/>
        <n v="2.35305E7"/>
        <n v="4099500.0"/>
        <n v="1209600.0"/>
        <n v="1626300.0"/>
        <n v="564000.0"/>
        <n v="151200.0"/>
        <n v="5394600.0"/>
        <n v="2.3984399999999996E7"/>
        <n v="1.0020195E8"/>
        <n v="1942500.0"/>
        <n v="4900500.0"/>
        <n v="7588350.0"/>
        <n v="1099800.0"/>
        <n v="1.5299745E8"/>
        <n v="604800.0"/>
        <n v="9445500.0"/>
        <n v="4161000.0"/>
        <n v="2869650.0"/>
        <n v="6297900.0"/>
        <n v="1002000.0"/>
        <n v="1.06998E7"/>
        <n v="5724599.999999999"/>
        <n v="4384799.999999999"/>
        <n v="5027400.0"/>
        <n v="958800.0"/>
        <n v="4083750.0"/>
        <n v="1029600.0"/>
        <n v="1.9412565E8"/>
        <n v="890400.0"/>
        <n v="6.17544E7"/>
        <n v="356400.0"/>
        <n v="1.079976E8"/>
        <n v="3830400.0"/>
        <n v="3289500.0"/>
        <n v="2985000.0"/>
        <n v="2976000.0"/>
        <n v="2.01579E7"/>
        <n v="5.37669E7"/>
        <n v="7092000.0"/>
        <n v="793800.0"/>
        <n v="2915550.0"/>
        <n v="2356200.0"/>
        <n v="3942000.0"/>
        <n v="1886400.0"/>
        <n v="4948350.0"/>
        <n v="2.564943E8"/>
        <n v="2.55168E7"/>
        <n v="1664400.0"/>
        <n v="2.17152E7"/>
        <n v="1032000.0"/>
        <n v="5.7594E7"/>
        <n v="3083850.0"/>
        <n v="8603700.0"/>
        <n v="1.16883E7"/>
        <n v="1.4077799999999998E7"/>
        <n v="960000.0"/>
        <n v="888300.0"/>
        <n v="1096500.0"/>
        <n v="777600.0"/>
        <n v="1699200.0"/>
        <n v="1642200.0"/>
        <n v="629700.0"/>
        <n v="1587600.0"/>
        <n v="3834000.0"/>
        <n v="313200.0"/>
        <n v="3.3074265E8"/>
        <n v="7.62111E7"/>
        <n v="1940400.0"/>
        <n v="62400.0"/>
        <n v="4887750.0"/>
        <n v="417000.0"/>
        <n v="1.04895E7"/>
        <n v="1962450.0"/>
        <n v="597300.0"/>
        <n v="2172600.0"/>
        <n v="2.9024355E8"/>
        <n v="672750.0"/>
        <n v="2.8765799999999996E7"/>
        <n v="66600.0"/>
        <n v="207900.0"/>
        <n v="9320250.0"/>
        <n v="1430400.0"/>
        <n v="1689600.0"/>
        <n v="4314600.0"/>
        <n v="3013650.0"/>
        <n v="2546100.0"/>
        <n v="1944000.0"/>
        <n v="6370650.0"/>
        <n v="8431800.0"/>
        <n v="429600.0"/>
        <n v="2130000.0"/>
        <n v="1088100.0"/>
        <n v="1611900.0"/>
        <n v="342000.0"/>
        <n v="1.2633E7"/>
        <n v="2896800.0"/>
        <n v="2217600.0"/>
        <n v="679350.0"/>
        <n v="1367100.0"/>
        <n v="5.79462E7"/>
        <n v="2.4505799999999996E7"/>
        <n v="163350.0"/>
        <n v="319500.0"/>
        <n v="6294750.0"/>
        <n v="129000.0"/>
        <n v="1.6684799999999998E7"/>
        <n v="1.11528E7"/>
        <n v="1528800.0"/>
        <n v="449850.0"/>
        <n v="4560000.0"/>
        <n v="51300.0"/>
        <n v="383400.0"/>
        <n v="2.74464E7"/>
        <n v="8.46264E7"/>
        <n v="1.59345E7"/>
        <n v="530100.0"/>
        <n v="3692700.0"/>
        <n v="976500.0"/>
        <n v="7.439535E7"/>
        <n v="2300400.0"/>
        <n v="1959900.0"/>
        <n v="1179000.0"/>
        <n v="357000.0"/>
        <n v="1080000.0"/>
        <n v="350400.0"/>
        <n v="2062200.0"/>
        <n v="3021300.0"/>
        <n v="628800.0"/>
        <n v="1357500.0"/>
        <n v="1933200.0"/>
        <n v="1260000.0"/>
        <n v="1973400.0"/>
        <n v="936000.0"/>
        <n v="2.024955E7"/>
        <n v="6042600.0"/>
        <n v="8797950.0"/>
        <n v="6.209655E7"/>
        <n v="4.658115E7"/>
        <n v="1050300.0"/>
        <n v="642600.0"/>
        <n v="1750500.0"/>
        <n v="71400.0"/>
        <n v="4489500.0"/>
        <n v="885600.0"/>
        <n v="6547200.0"/>
        <n v="3.17331E7"/>
        <n v="1331100.0"/>
        <n v="1.439976E8"/>
        <n v="1.16064E7"/>
        <n v="959100.0"/>
        <n v="2.0385E7"/>
        <n v="8177400.0"/>
        <n v="2486400.0"/>
        <n v="7191000.0"/>
        <n v="3780000.0"/>
        <n v="2154600.0"/>
        <n v="5.14767E7"/>
        <n v="1858200.0"/>
        <n v="6472200.0"/>
        <n v="3.535224E8"/>
        <n v="957450.0"/>
        <n v="2.478E7"/>
        <n v="6822900.0"/>
        <n v="977400.0"/>
        <n v="2917500.0"/>
        <n v="1320000.0"/>
        <n v="3078000.0"/>
        <n v="3103650.0"/>
        <n v="1.61946E7"/>
        <n v="2.33904E7"/>
        <n v="1.3941E7"/>
        <n v="5460000.0"/>
        <n v="1.09521E7"/>
        <n v="1247400.0"/>
        <n v="3.393E7"/>
        <n v="1.54926E7"/>
        <n v="2697300.0"/>
        <n v="5.547689999999999E7"/>
        <n v="1667250.0"/>
        <n v="895950.0"/>
        <n v="468000.0"/>
        <n v="4.314869999999999E7"/>
        <n v="9540300.0"/>
        <n v="1825800.0"/>
        <n v="5352450.0"/>
        <n v="6164099.999999999"/>
        <n v="1382400.0"/>
        <n v="978750.0"/>
        <n v="1039500.0"/>
        <n v="4.392195E7"/>
        <n v="7915050.0"/>
        <n v="2063100.0"/>
        <n v="4132800.0"/>
        <n v="1.006368E8"/>
        <n v="1.59783E7"/>
        <n v="1771200.0"/>
        <n v="3307500.0"/>
        <n v="430500.0"/>
        <n v="1.38291E7"/>
        <n v="1216800.0"/>
        <n v="6970500.0"/>
        <n v="429000.0"/>
        <n v="1718400.0"/>
        <n v="1.32174E7"/>
        <n v="1.17162E7"/>
        <n v="585000.0"/>
        <n v="852000.0"/>
        <n v="81000.0"/>
        <n v="259200.0"/>
        <n v="488700.0"/>
        <n v="5.61564E7"/>
        <n v="1.214973E8"/>
        <n v="4468800.0"/>
        <n v="6.36111E7"/>
        <n v="1728000.0"/>
        <n v="8691300.0"/>
        <n v="1.052112E8"/>
        <n v="1965600.0"/>
        <n v="478800.0"/>
        <n v="2811600.0"/>
        <n v="2011500.0"/>
      </sharedItems>
    </cacheField>
    <cacheField name="Discount %" numFmtId="9">
      <sharedItems containsSemiMixedTypes="0" containsString="0" containsNumber="1">
        <n v="0.03"/>
        <n v="0.07"/>
        <n v="0.08"/>
        <n v="0.1"/>
        <n v="0.09"/>
        <n v="0.04"/>
        <n v="0.0"/>
        <n v="0.05"/>
        <n v="0.06"/>
        <n v="0.02"/>
        <n v="0.01"/>
      </sharedItems>
    </cacheField>
    <cacheField name="Discount Rp" numFmtId="164">
      <sharedItems containsSemiMixedTypes="0" containsString="0" containsNumber="1">
        <n v="72819.0"/>
        <n v="55593.0"/>
        <n v="163611.00000000003"/>
        <n v="870984.0"/>
        <n v="16065.0"/>
        <n v="183300.0"/>
        <n v="7038576.0"/>
        <n v="33264.0"/>
        <n v="760032.0000000001"/>
        <n v="0.0"/>
        <n v="206280.0"/>
        <n v="122148.0"/>
        <n v="2178750.0"/>
        <n v="51300.0"/>
        <n v="60048.0"/>
        <n v="12996.0"/>
        <n v="24024.0"/>
        <n v="145152.0"/>
        <n v="39336.0"/>
        <n v="719955.0"/>
        <n v="190920.0"/>
        <n v="122688.0"/>
        <n v="2496.0"/>
        <n v="278640.0"/>
        <n v="18600.0"/>
        <n v="21141.0"/>
        <n v="20979.0"/>
        <n v="3659520.0"/>
        <n v="149202.0"/>
        <n v="841347.0"/>
        <n v="62842.5"/>
        <n v="899640.0"/>
        <n v="1017900.0"/>
        <n v="119280.00000000001"/>
        <n v="328656.0"/>
        <n v="82113.57"/>
        <n v="2004.0"/>
        <n v="814980.0"/>
        <n v="258552.0"/>
        <n v="226692.0"/>
        <n v="27216.0"/>
        <n v="102600.0"/>
        <n v="872820.0"/>
        <n v="2467125.0"/>
        <n v="193158.0"/>
        <n v="50368.5"/>
        <n v="123192.0"/>
        <n v="1479090.0"/>
        <n v="300240.0"/>
        <n v="17472.0"/>
        <n v="1410.0"/>
        <n v="144045.0"/>
        <n v="277830.0"/>
        <n v="6320370.0"/>
        <n v="122436.0"/>
        <n v="58117.5"/>
        <n v="389610.0"/>
        <n v="124908.0"/>
        <n v="2499255.0"/>
        <n v="165343.50000000003"/>
        <n v="605511.0"/>
        <n v="120666.00000000001"/>
        <n v="784350.0"/>
        <n v="1.5439761E7"/>
        <n v="75060.0"/>
        <n v="1317789.0"/>
        <n v="873348.0000000001"/>
        <n v="187200.0"/>
        <n v="2049327.0"/>
        <n v="1580092.5000000002"/>
        <n v="134946.0"/>
        <n v="270873.0"/>
        <n v="26850.0"/>
        <n v="513229.5"/>
        <n v="106896.0"/>
        <n v="182250.0"/>
        <n v="541632.0"/>
        <n v="12069.0"/>
        <n v="54912.0"/>
        <n v="668335.5000000001"/>
        <n v="455544.0"/>
        <n v="311807.99999999994"/>
        <n v="10867.5"/>
        <n v="1386180.0"/>
        <n v="41265.0"/>
        <n v="258177.0"/>
        <n v="105300.0"/>
        <n v="150948.0"/>
        <n v="59268.0"/>
        <n v="32796.0"/>
        <n v="38820.0"/>
        <n v="116298.00000000001"/>
        <n v="18900.0"/>
        <n v="64974.00000000001"/>
        <n v="2650462.5"/>
        <n v="59340.0"/>
        <n v="4859892.0"/>
        <n v="3432.0"/>
        <n v="404289.0"/>
        <n v="9636.0"/>
        <n v="113022.0"/>
        <n v="362637.0"/>
        <n v="37176.0"/>
        <n v="4963224.000000001"/>
        <n v="179100.0"/>
        <n v="70224.0"/>
        <n v="863928.0"/>
        <n v="42768.0"/>
        <n v="1288710.0"/>
        <n v="50040.0"/>
        <n v="148212.0"/>
        <n v="110848.5"/>
        <n v="408936.0"/>
        <n v="70008.0"/>
        <n v="1.079976E7"/>
        <n v="5080740.0"/>
        <n v="430500.0"/>
        <n v="37962.0"/>
        <n v="3667440.0"/>
        <n v="25344.0"/>
        <n v="5538.0"/>
        <n v="49200.0"/>
        <n v="3369707.9999999995"/>
        <n v="45090.0"/>
        <n v="3989580.0000000005"/>
        <n v="175230.0"/>
        <n v="136320.0"/>
        <n v="83160.0"/>
        <n v="17136.0"/>
        <n v="727056.0"/>
        <n v="168048.0"/>
        <n v="36378.0"/>
        <n v="44104.5"/>
        <n v="55692.0"/>
        <n v="201243.00000000003"/>
        <n v="368550.0"/>
        <n v="44352.0"/>
        <n v="109512.0"/>
        <n v="604395.0"/>
        <n v="50424.0"/>
        <n v="2890986.0000000005"/>
        <n v="391920.0"/>
        <n v="20664.0"/>
        <n v="610050.0"/>
        <n v="67080.0"/>
        <n v="64759.5"/>
        <n v="89355.0"/>
        <n v="703889.9999999999"/>
        <n v="1541850.0"/>
        <n v="7770.0"/>
        <n v="1260975.0"/>
        <n v="998112.0"/>
        <n v="2202970.5"/>
        <n v="19968.0"/>
        <n v="393562.5"/>
        <n v="2502.0"/>
        <n v="8169.000000000001"/>
        <n v="1338120.0"/>
        <n v="67032.0"/>
        <n v="4492512.0"/>
        <n v="51840.0"/>
        <n v="2349.0"/>
        <n v="37674.0"/>
        <n v="65142.00000000001"/>
        <n v="101835.0"/>
        <n v="687690.0"/>
        <n v="114210.0"/>
        <n v="202801.5"/>
        <n v="75768.0"/>
        <n v="58463.99999999999"/>
        <n v="197100.0"/>
        <n v="389400.0"/>
        <n v="92988.0"/>
        <n v="398925.0"/>
        <n v="215586.00000000003"/>
        <n v="37296.0"/>
        <n v="28203.0"/>
        <n v="563436.0"/>
        <n v="346437.00000000006"/>
        <n v="71001.0"/>
        <n v="91488.0"/>
        <n v="185112.0"/>
        <n v="91962.0"/>
        <n v="921861.0"/>
        <n v="3276.0"/>
        <n v="431964.0"/>
        <n v="372067.50000000006"/>
        <n v="185976.0"/>
        <n v="5999625.0"/>
        <n v="1295892.0"/>
        <n v="2710165.5"/>
        <n v="184710.0"/>
        <n v="60000.0"/>
        <n v="10206.0"/>
        <n v="67275.0"/>
        <n v="30960.0"/>
        <n v="16110.0"/>
        <n v="490056.00000000006"/>
        <n v="2934.0"/>
        <n v="199260.0"/>
        <n v="473733.0"/>
        <n v="6564264.000000001"/>
        <n v="35352.0"/>
        <n v="1457041.5"/>
        <n v="166140.0"/>
        <n v="151470.0"/>
        <n v="25137.0"/>
        <n v="217143.0"/>
        <n v="82026.0"/>
        <n v="681660.0"/>
        <n v="6071100.0"/>
        <n v="53298.0"/>
        <n v="281988.0"/>
        <n v="79488.0"/>
        <n v="65610.0"/>
        <n v="739691.9999999999"/>
        <n v="630747.0"/>
        <n v="102060.0"/>
        <n v="171339.00000000003"/>
        <n v="264792.0"/>
        <n v="401730.0"/>
        <n v="120960.0"/>
        <n v="935922.0"/>
        <n v="94770.0"/>
        <n v="313443.0"/>
        <n v="76704.0"/>
        <n v="20640.0"/>
        <n v="878013.0"/>
        <n v="16290.0"/>
        <n v="88560.0"/>
        <n v="1817460.0"/>
        <n v="2.1059532E7"/>
        <n v="3.4559424E7"/>
        <n v="65670.0"/>
        <n v="22554.0"/>
        <n v="925659.0000000001"/>
        <n v="566865.0"/>
        <n v="674985.0"/>
        <n v="161122.5"/>
        <n v="22828.5"/>
        <n v="75564.0"/>
        <n v="96673.50000000001"/>
        <n v="210249.0"/>
        <n v="12123.0"/>
        <n v="158400.0"/>
        <n v="102336.0"/>
        <n v="99198.0"/>
        <n v="26460.0"/>
        <n v="8751.0"/>
        <n v="522720.0"/>
        <n v="3696.0"/>
        <n v="6294750.0"/>
        <n v="108324.0"/>
        <n v="16770.0"/>
        <n v="13860.0"/>
        <n v="236871.0"/>
        <n v="98550.0"/>
        <n v="13665.0"/>
        <n v="2163216.0"/>
        <n v="490932.0"/>
        <n v="65866.5"/>
        <n v="24081.0"/>
        <n v="170100.0"/>
        <n v="18135.0"/>
        <n v="59535.0"/>
        <n v="1.3977063E7"/>
        <n v="2.4299595E7"/>
        <n v="2340.0"/>
        <n v="84084.00000000001"/>
        <n v="236313.00000000003"/>
        <n v="80064.0"/>
        <n v="1.01064E7"/>
        <n v="440580.0"/>
        <n v="40275.0"/>
        <n v="204480.0"/>
        <n v="97740.0"/>
        <n v="51282.00000000001"/>
        <n v="7232543.999999999"/>
        <n v="177300.0"/>
        <n v="152424.0"/>
        <n v="4158.0"/>
        <n v="155760.0"/>
        <n v="131976.0"/>
        <n v="25515.0"/>
        <n v="3.1724295E7"/>
        <n v="3362184.0"/>
        <n v="610974.0"/>
        <n v="578151.0"/>
        <n v="109200.0"/>
        <n v="286740.0"/>
        <n v="1.8776982E7"/>
        <n v="1083492.0"/>
        <n v="299700.0"/>
        <n v="337492.5"/>
        <n v="141768.0"/>
        <n v="503550.0"/>
        <n v="855048.0"/>
        <n v="272640.0"/>
        <n v="37506.0"/>
        <n v="130221.0"/>
        <n v="45216.0"/>
        <n v="1842120.0000000002"/>
        <n v="111541.5"/>
        <n v="3910320.0"/>
        <n v="17676.0"/>
        <n v="24192.000000000004"/>
        <n v="1733031.0"/>
        <n v="24633.0"/>
        <n v="109500.0"/>
        <n v="31863.0"/>
        <n v="155034.0"/>
        <n v="89220.0"/>
        <n v="100233.0"/>
        <n v="60912.0"/>
        <n v="287640.0"/>
        <n v="34104.0"/>
        <n v="35478.0"/>
        <n v="4320.0"/>
        <n v="10860.0"/>
        <n v="100860.0"/>
        <n v="24960.0"/>
        <n v="88425.0"/>
        <n v="217350.0"/>
        <n v="1.5749737500000002E7"/>
        <n v="31440.0"/>
        <n v="9504.0"/>
        <n v="114138.0"/>
        <n v="48132.0"/>
        <n v="24108.0"/>
        <n v="100620.0"/>
        <n v="287040.0"/>
        <n v="26418.0"/>
        <n v="2268.0"/>
        <n v="921060.0000000001"/>
        <n v="499140.0"/>
        <n v="62832.0"/>
        <n v="134865.0"/>
        <n v="215271.0"/>
        <n v="610389.0"/>
        <n v="499968.0"/>
        <n v="220524.0"/>
        <n v="17685.0"/>
        <n v="4049910.0"/>
        <n v="50400.0"/>
        <n v="515817.0"/>
        <n v="278052.0"/>
        <n v="192720.0"/>
        <n v="19596.0"/>
        <n v="79524.0"/>
        <n v="132912.0"/>
        <n v="19582.5"/>
        <n v="9990.0"/>
        <n v="88452.0"/>
        <n v="531827.9999999999"/>
        <n v="85410.0"/>
        <n v="1586655.0"/>
        <n v="43956.0"/>
        <n v="393552.0"/>
        <n v="11232.0"/>
        <n v="54463.5"/>
        <n v="160320.0"/>
        <n v="4391424.0"/>
        <n v="149445.0"/>
        <n v="462492.0"/>
        <n v="88902.0"/>
        <n v="85008.0"/>
        <n v="18330.0"/>
        <n v="454212.0"/>
        <n v="56430.0"/>
        <n v="383904.0"/>
        <n v="2569788.0"/>
        <n v="21600.0"/>
        <n v="171336.0"/>
        <n v="11400.0"/>
        <n v="7560.0"/>
        <n v="32670.0"/>
        <n v="910860.0"/>
        <n v="43092.0"/>
        <n v="178200.0"/>
        <n v="847590.0"/>
        <n v="17043.0"/>
        <n v="34650.0"/>
        <n v="1369858.5"/>
        <n v="41296.5"/>
        <n v="1511640.0"/>
        <n v="27504.0"/>
        <n v="172800.0"/>
        <n v="2.5829569500000004E7"/>
        <n v="1.2599790000000002E7"/>
        <n v="101520.0"/>
        <n v="280782.0"/>
        <n v="117612.0"/>
        <n v="24864.0"/>
        <n v="51120.0"/>
        <n v="2279760.0"/>
        <n v="5969592.0"/>
        <n v="33570.0"/>
        <n v="83070.0"/>
        <n v="1365066.0"/>
        <n v="4589898.0"/>
        <n v="95880.0"/>
        <n v="62937.0"/>
        <n v="4776.0"/>
        <n v="1155354.0"/>
        <n v="291984.0"/>
        <n v="181548.0"/>
        <n v="8946.0"/>
        <n v="748584.0"/>
        <n v="143856.0"/>
        <n v="70587.0"/>
        <n v="80387.99999999999"/>
        <n v="196560.0"/>
        <n v="85008.00000000001"/>
        <n v="130320.0"/>
        <n v="14541.0"/>
        <n v="178920.0"/>
        <n v="130369.5"/>
        <n v="156419.99999999997"/>
        <n v="46494.0"/>
        <n v="147909.0"/>
        <n v="162300.0"/>
        <n v="34506.0"/>
        <n v="35910.0"/>
        <n v="109440.0"/>
        <n v="123840.0"/>
        <n v="21991.5"/>
        <n v="1174950.0"/>
        <n v="43470.0"/>
        <n v="92016.0"/>
        <n v="209916.00000000003"/>
        <n v="213408.0"/>
        <n v="21420.0"/>
        <n v="916461.0000000001"/>
        <n v="69984.0"/>
        <n v="4692384.0"/>
        <n v="196581.00000000006"/>
        <n v="46530.0"/>
        <n v="35977.5"/>
        <n v="9445.5"/>
        <n v="986958.0000000001"/>
        <n v="809190.0"/>
        <n v="70119.0"/>
        <n v="2214.0"/>
        <n v="1440936.0"/>
        <n v="1687462.5"/>
        <n v="328751.99999999994"/>
        <n v="940732.5"/>
        <n v="724155.0"/>
        <n v="20280.0"/>
        <n v="91570.5"/>
        <n v="559215.0"/>
        <n v="57834.0"/>
        <n v="787644.0"/>
        <n v="2859421.5"/>
        <n v="51282.0"/>
        <n v="778800.0"/>
        <n v="1.8509655E7"/>
        <n v="27300.0"/>
        <n v="4455.0"/>
        <n v="430920.0"/>
        <n v="95040.0"/>
        <n v="59724.0"/>
        <n v="69300.0"/>
        <n v="220032.0"/>
        <n v="33394.5"/>
        <n v="13284.0"/>
        <n v="62322.0"/>
        <n v="37380.0"/>
        <n v="185760.0"/>
        <n v="302887.5"/>
        <n v="20790.0"/>
        <n v="12900.0"/>
        <n v="127440.0"/>
        <n v="5544.0"/>
        <n v="206976.0"/>
        <n v="1352619.0"/>
        <n v="479520.0"/>
        <n v="71820.0"/>
        <n v="1964250.0"/>
        <n v="36660.0"/>
        <n v="32922.0"/>
        <n v="174720.0"/>
        <n v="190785.0"/>
        <n v="13632.0"/>
        <n v="425047.5"/>
        <n v="1181349.0"/>
        <n v="6205761.0"/>
        <n v="67189.5"/>
        <n v="21177.0"/>
        <n v="452550.0"/>
        <n v="47538.0"/>
        <n v="24255.0"/>
        <n v="24885.0"/>
        <n v="89586.0"/>
        <n v="118818.0"/>
        <n v="21024.0"/>
        <n v="4.0499325E7"/>
        <n v="62868.0"/>
        <n v="66150.0"/>
        <n v="1079976.0"/>
        <n v="59821.5"/>
        <n v="403650.0"/>
        <n v="2.9757618E7"/>
        <n v="37584.0"/>
        <n v="33831.0"/>
        <n v="348936.0"/>
        <n v="78813.0"/>
        <n v="186966.0"/>
        <n v="2842425.0"/>
        <n v="755325.0"/>
        <n v="2271825.0"/>
        <n v="352935.0"/>
        <n v="25116.000000000004"/>
        <n v="39690.0"/>
        <n v="4117212.0"/>
        <n v="44781.0"/>
        <n v="890109.0"/>
        <n v="597168.0"/>
        <n v="77517.0"/>
        <n v="53115.0"/>
        <n v="34560.0"/>
        <n v="89856.0"/>
        <n v="520527.0"/>
        <n v="4559715.0"/>
        <n v="32319.0"/>
        <n v="48195.0"/>
        <n v="12480.0"/>
        <n v="188811.0"/>
        <n v="81900.0"/>
        <n v="72576.0"/>
        <n v="10961.999999999998"/>
        <n v="1793615.9999999998"/>
        <n v="53707.5"/>
        <n v="3930948.0"/>
        <n v="3.32094465E7"/>
        <n v="7918398.0"/>
        <n v="34080.0"/>
        <n v="282810.0"/>
        <n v="23040.0"/>
        <n v="146640.0"/>
        <n v="58788.0"/>
        <n v="122304.00000000001"/>
        <n v="139482.0"/>
        <n v="81120.0"/>
        <n v="825996.0"/>
        <n v="11280.0"/>
        <n v="89700.0"/>
        <n v="128436.00000000001"/>
        <n v="2112.0"/>
        <n v="186720.0"/>
        <n v="27882.0"/>
        <n v="21168.0"/>
        <n v="14880.0"/>
        <n v="369270.0"/>
        <n v="50512.5"/>
        <n v="925659.0"/>
        <n v="287657.99999999994"/>
        <n v="43428.00000000001"/>
        <n v="7641.0"/>
        <n v="195480.0"/>
        <n v="310275.0"/>
        <n v="26064.0"/>
        <n v="43407.0"/>
        <n v="125244.00000000001"/>
        <n v="184728.0"/>
        <n v="282408.0"/>
        <n v="217854.0"/>
        <n v="960624.0"/>
        <n v="6237.0"/>
        <n v="138915.0"/>
        <n v="141771.0"/>
        <n v="81396.0"/>
        <n v="40162.5"/>
        <n v="218400.0"/>
        <n v="39420.0"/>
        <n v="32856.0"/>
        <n v="666624.0"/>
        <n v="158460.0"/>
        <n v="203580.0"/>
        <n v="265680.0"/>
        <n v="607297.5"/>
        <n v="2672340.0"/>
        <n v="923076.0000000001"/>
        <n v="62400.0"/>
        <n v="85968.0"/>
        <n v="77400.0"/>
        <n v="31536.0"/>
        <n v="125685.0"/>
        <n v="2.8979517000000004E7"/>
        <n v="68796.0"/>
        <n v="67116.0"/>
        <n v="223056.0"/>
        <n v="152928.0"/>
        <n v="220416.0"/>
        <n v="180576.0"/>
        <n v="143820.0"/>
        <n v="315825.0"/>
        <n v="91728.0"/>
        <n v="688296.0"/>
        <n v="748722.0"/>
        <n v="22680.0"/>
        <n v="735075.0"/>
        <n v="1363230.0"/>
        <n v="4514550.0"/>
        <n v="39204.0"/>
        <n v="5842851.000000001"/>
        <n v="5998212.0"/>
        <n v="172368.0"/>
        <n v="93240.0"/>
        <n v="35154.0"/>
        <n v="25461.0"/>
        <n v="82908.0"/>
        <n v="11403.000000000002"/>
        <n v="222.0"/>
        <n v="62989.5"/>
        <n v="5364.0"/>
        <n v="188820.0"/>
        <n v="32400.0"/>
        <n v="611388.0"/>
        <n v="314352.0"/>
        <n v="67158.0"/>
        <n v="10530.0"/>
        <n v="3757275.0"/>
        <n v="81780.0"/>
        <n v="6344859.0"/>
        <n v="1570.5"/>
        <n v="11844.000000000002"/>
        <n v="111690.0"/>
        <n v="89631.0"/>
        <n v="1.1790198E7"/>
        <n v="6230079.0"/>
        <n v="210231.00000000003"/>
        <n v="66096.0"/>
        <n v="359880.0"/>
        <n v="3325140.0"/>
        <n v="72144.0"/>
        <n v="168840.0"/>
        <n v="46980.0"/>
        <n v="564696.0"/>
        <n v="112176.0"/>
        <n v="85404.0"/>
        <n v="49104.0"/>
        <n v="163350.0"/>
        <n v="45738.0"/>
        <n v="52542.0"/>
        <n v="1555296.0"/>
        <n v="15528.0"/>
        <n v="1647135.0000000002"/>
        <n v="122985.0"/>
        <n v="81315.0"/>
        <n v="39480.00000000001"/>
        <n v="81744.0"/>
        <n v="43680.0"/>
        <n v="215784.0"/>
        <n v="2158595.9999999995"/>
        <n v="1002019.5"/>
        <n v="194250.0"/>
        <n v="392040.0"/>
        <n v="531184.5"/>
        <n v="76986.00000000001"/>
        <n v="1.2239796E7"/>
        <n v="30240.0"/>
        <n v="283365.0"/>
        <n v="2538.0"/>
        <n v="3011295.0"/>
        <n v="208050.0"/>
        <n v="22693.5"/>
        <n v="86089.5"/>
        <n v="251916.0"/>
        <n v="80160.0"/>
        <n v="748986.0000000001"/>
        <n v="400722.0"/>
        <n v="438479.99999999994"/>
        <n v="150822.0"/>
        <n v="86292.0"/>
        <n v="122512.5"/>
        <n v="51480.0"/>
        <n v="1.5530052E7"/>
        <n v="89040.0"/>
        <n v="6175440.0"/>
        <n v="244770.0"/>
        <n v="24948.000000000004"/>
        <n v="9719784.0"/>
        <n v="344736.0"/>
        <n v="1204518.0"/>
        <n v="32895.0"/>
        <n v="238800.0"/>
        <n v="148800.0"/>
        <n v="806316.0"/>
        <n v="3763683.0000000005"/>
        <n v="638280.0"/>
        <n v="7938.0"/>
        <n v="233244.0"/>
        <n v="141372.0"/>
        <n v="394200.0"/>
        <n v="6567.0"/>
        <n v="188640.0"/>
        <n v="395868.0"/>
        <n v="2564943.0"/>
        <n v="2041344.0"/>
        <n v="16644.0"/>
        <n v="10320.0"/>
        <n v="2879700.0"/>
        <n v="246708.0"/>
        <n v="584415.0"/>
        <n v="1407780.0"/>
        <n v="40608.0"/>
        <n v="9600.0"/>
        <n v="62181.00000000001"/>
        <n v="45065.99999999999"/>
        <n v="15552.0"/>
        <n v="33984.0"/>
        <n v="82110.0"/>
        <n v="44079.00000000001"/>
        <n v="38340.0"/>
        <n v="6264.0"/>
        <n v="1.9844559E7"/>
        <n v="438075.0"/>
        <n v="174636.0"/>
        <n v="624.0"/>
        <n v="483408.0"/>
        <n v="244387.5"/>
        <n v="4170.0"/>
        <n v="1048950.0"/>
        <n v="98122.5"/>
        <n v="53757.0"/>
        <n v="65178.0"/>
        <n v="1.7414613E7"/>
        <n v="60547.5"/>
        <n v="6660.0"/>
        <n v="838822.5"/>
        <n v="14304.0"/>
        <n v="118272.00000000001"/>
        <n v="431460.0"/>
        <n v="271228.5"/>
        <n v="101844.0"/>
        <n v="38880.0"/>
        <n v="382239.0"/>
        <n v="505908.0"/>
        <n v="38664.0"/>
        <n v="213000.0"/>
        <n v="65286.0"/>
        <n v="96714.0"/>
        <n v="30780.0"/>
        <n v="631650.0"/>
        <n v="173808.0"/>
        <n v="88704.0"/>
        <n v="130072.5"/>
        <n v="13587.0"/>
        <n v="54684.0"/>
        <n v="3476772.0"/>
        <n v="2205521.9999999995"/>
        <n v="55836.0"/>
        <n v="3195.0"/>
        <n v="251790.0"/>
        <n v="7740.0"/>
        <n v="333695.99999999994"/>
        <n v="892224.0"/>
        <n v="122304.0"/>
        <n v="17994.0"/>
        <n v="410400.0"/>
        <n v="15246.0"/>
        <n v="5130.0"/>
        <n v="30672.0"/>
        <n v="2744640.0"/>
        <n v="6297.0"/>
        <n v="8462640.0"/>
        <n v="1274760.0"/>
        <n v="4399110.0"/>
        <n v="37107.0"/>
        <n v="36927.0"/>
        <n v="78120.0"/>
        <n v="743953.5"/>
        <n v="69012.0"/>
        <n v="1864050.0"/>
        <n v="195990.0"/>
        <n v="58950.0"/>
        <n v="32130.0"/>
        <n v="43200.0"/>
        <n v="1554.0"/>
        <n v="164976.0"/>
        <n v="90639.0"/>
        <n v="23328.0"/>
        <n v="56592.0"/>
        <n v="252954.0"/>
        <n v="108600.0"/>
        <n v="77328.0"/>
        <n v="113400.0"/>
        <n v="4887.0"/>
        <n v="138138.0"/>
        <n v="137232.0"/>
        <n v="93600.0"/>
        <n v="1214973.0"/>
        <n v="302130.0"/>
        <n v="791815.5"/>
        <n v="1862896.5"/>
        <n v="1397434.5"/>
        <n v="42012.0"/>
        <n v="28782.0"/>
        <n v="157545.0"/>
        <n v="1428.0"/>
        <n v="224475.0"/>
        <n v="17712.0"/>
        <n v="95256.0"/>
        <n v="392832.0"/>
        <n v="3173310.0"/>
        <n v="116064.0"/>
        <n v="9591.0"/>
        <n v="407700.0"/>
        <n v="408870.0"/>
        <n v="149184.0"/>
        <n v="575280.0"/>
        <n v="151200.0"/>
        <n v="64638.0"/>
        <n v="1029534.0"/>
        <n v="37164.0"/>
        <n v="582498.0"/>
        <n v="34398.0"/>
        <n v="1.0605672E7"/>
        <n v="395604.0"/>
        <n v="9574.5"/>
        <n v="1982400.0"/>
        <n v="136458.0"/>
        <n v="9774.0"/>
        <n v="233400.0"/>
        <n v="118800.0"/>
        <n v="92340.0"/>
        <n v="217255.50000000003"/>
        <n v="798966.0000000001"/>
        <n v="485838.0"/>
        <n v="233904.0"/>
        <n v="418230.0"/>
        <n v="54600.0"/>
        <n v="171939.0"/>
        <n v="99360.0"/>
        <n v="39192.0"/>
        <n v="985689.0"/>
        <n v="124740.0"/>
        <n v="678600.0"/>
        <n v="154926.0"/>
        <n v="161838.0"/>
        <n v="4992920.999999999"/>
        <n v="116707.50000000001"/>
        <n v="23400.0"/>
        <n v="2157434.9999999995"/>
        <n v="858627.0"/>
        <n v="127806.00000000001"/>
        <n v="120582.00000000001"/>
        <n v="616409.9999999999"/>
        <n v="13824.0"/>
        <n v="39150.0"/>
        <n v="51975.0"/>
        <n v="2196097.5"/>
        <n v="21492.0"/>
        <n v="242757.0"/>
        <n v="79150.5"/>
        <n v="20631.0"/>
        <n v="206640.0"/>
        <n v="3019104.0"/>
        <n v="958698.0"/>
        <n v="177120.0"/>
        <n v="99225.0"/>
        <n v="30135.000000000004"/>
        <n v="34020.0"/>
        <n v="48672.0"/>
        <n v="1003873.5"/>
        <n v="116235.0"/>
        <n v="38610.0"/>
        <n v="154656.0"/>
        <n v="1321740.0"/>
        <n v="1054458.0"/>
        <n v="35100.0"/>
        <n v="76680.0"/>
        <n v="29322.0"/>
        <n v="2246256.0"/>
        <n v="1.0934757E7"/>
        <n v="16632.0"/>
        <n v="45969.00000000001"/>
        <n v="357504.0"/>
        <n v="6361110.0"/>
        <n v="521478.0"/>
        <n v="5355.0"/>
        <n v="1052112.0"/>
        <n v="176904.0"/>
        <n v="312839.99999999994"/>
        <n v="6240.0"/>
        <n v="28116.0"/>
        <n v="112320.0"/>
        <n v="100575.0"/>
      </sharedItems>
    </cacheField>
    <cacheField name="Total Revenue" numFmtId="164">
      <sharedItems containsSemiMixedTypes="0" containsString="0" containsNumber="1">
        <n v="2354481.0"/>
        <n v="1797507.0"/>
        <n v="2173689.0"/>
        <n v="1.0016316E7"/>
        <n v="519435.0"/>
        <n v="1649700.0"/>
        <n v="7.1167824E7"/>
        <n v="798336.0"/>
        <n v="1.0097568E7"/>
        <n v="6192000.0"/>
        <n v="1856520.0"/>
        <n v="3949452.0"/>
        <n v="4.139625E7"/>
        <n v="803700.0"/>
        <n v="1941552.0"/>
        <n v="636804.0"/>
        <n v="2378376.0"/>
        <n v="1928448.0"/>
        <n v="944064.0"/>
        <n v="7.1275545E7"/>
        <n v="4582080.0"/>
        <n v="1922112.0"/>
        <n v="122304.0"/>
        <n v="4365360.0"/>
        <n v="1841400.0"/>
        <n v="5341800.0"/>
        <n v="331209.0"/>
        <n v="2076921.0"/>
        <n v="3.293568E7"/>
        <n v="4824198.0"/>
        <n v="8506953.0"/>
        <n v="1194007.5"/>
        <n v="8096760.0"/>
        <n v="1.93401E7"/>
        <n v="1584720.0"/>
        <n v="3779544.0"/>
        <n v="1286445.9300000002"/>
        <n v="198396.0"/>
        <n v="7334820.0"/>
        <n v="2973348.0"/>
        <n v="2292108.0"/>
        <n v="426384.0"/>
        <n v="1037400.0"/>
        <n v="7855380.0"/>
        <n v="2.2204125E7"/>
        <n v="9464742.0"/>
        <n v="1628581.5"/>
        <n v="2956608.0"/>
        <n v="6415500.0"/>
        <n v="1.331181E7"/>
        <n v="2702160.0"/>
        <n v="200928.0"/>
        <n v="26790.0"/>
        <n v="1.4260455E7"/>
        <n v="3691170.0"/>
        <n v="5.688333E7"/>
        <n v="1918164.0"/>
        <n v="1879132.5"/>
        <n v="3506490.0"/>
        <n v="6120492.0"/>
        <n v="4.7485845E7"/>
        <n v="2196706.5"/>
        <n v="1.9578189E7"/>
        <n v="1603134.0"/>
        <n v="7930650.0"/>
        <n v="1.56113139E8"/>
        <n v="3677940.0"/>
        <n v="4.2608511E7"/>
        <n v="1.1603052E7"/>
        <n v="2152800.0"/>
        <n v="2.0720973E7"/>
        <n v="2.09926575E7"/>
        <n v="1792854.0"/>
        <n v="4243677.0"/>
        <n v="510150.0"/>
        <n v="1.65944205E7"/>
        <n v="1229304.0"/>
        <n v="1842750.0"/>
        <n v="7195968.0"/>
        <n v="122031.0"/>
        <n v="1317888.0"/>
        <n v="8879314.5"/>
        <n v="5238756.0"/>
        <n v="3585791.9999999995"/>
        <n v="1075882.5"/>
        <n v="1.247562E7"/>
        <n v="784035.0"/>
        <n v="1.2650673E7"/>
        <n v="2000700.0"/>
        <n v="1.4943852E7"/>
        <n v="681582.0"/>
        <n v="787104.0"/>
        <n v="1902180.0"/>
        <n v="1545102.0"/>
        <n v="170100.0"/>
        <n v="863226.0"/>
        <n v="5.03587875E7"/>
        <n v="1876500.0"/>
        <n v="2907660.0"/>
        <n v="7.6138308E7"/>
        <n v="339768.0"/>
        <n v="1.3072011E7"/>
        <n v="953964.0"/>
        <n v="1142778.0"/>
        <n v="5681313.0"/>
        <n v="3680424.0"/>
        <n v="6.5939976E7"/>
        <n v="1611900.0"/>
        <n v="1685376.0"/>
        <n v="4.2332472E7"/>
        <n v="432432.0"/>
        <n v="1.159839E7"/>
        <n v="1617960.0"/>
        <n v="2321988.0"/>
        <n v="1120801.5"/>
        <n v="2.0037864E7"/>
        <n v="3430392.0"/>
        <n v="2.5919424E8"/>
        <n v="5.842851E7"/>
        <n v="3874500.0"/>
        <n v="383838.0"/>
        <n v="8.801856E7"/>
        <n v="608256.0"/>
        <n v="548262.0"/>
        <n v="2410800.0"/>
        <n v="8.087299199999999E7"/>
        <n v="455910.0"/>
        <n v="5.300442E7"/>
        <n v="8586270.0"/>
        <n v="1184400.0"/>
        <n v="2590080.0"/>
        <n v="1995840.0"/>
        <n v="1696464.0"/>
        <n v="1.7449344E7"/>
        <n v="1699152.0"/>
        <n v="1176222.0"/>
        <n v="1426045.5"/>
        <n v="1336608.0"/>
        <n v="2673657.0"/>
        <n v="3316950.0"/>
        <n v="1064448.0"/>
        <n v="1259388.0"/>
        <n v="5439555.0"/>
        <n v="4991976.0"/>
        <n v="3.8408814E7"/>
        <n v="3527280.0"/>
        <n v="237636.0"/>
        <n v="5371200.0"/>
        <n v="5490450.0"/>
        <n v="1274520.0"/>
        <n v="6411190.5"/>
        <n v="1697745.0"/>
        <n v="7117109.999999999"/>
        <n v="1.387665E7"/>
        <n v="769230.0"/>
        <n v="8498400.0"/>
        <n v="2.3958525E7"/>
        <n v="1.1478288E7"/>
        <n v="2.22744795E7"/>
        <n v="479232.0"/>
        <n v="7477687.5"/>
        <n v="247698.0"/>
        <n v="108531.0"/>
        <n v="1.352988E7"/>
        <n v="890568.0"/>
        <n v="1.07820288E8"/>
        <n v="596160.0"/>
        <n v="1404000.0"/>
        <n v="36801.0"/>
        <n v="1846026.0"/>
        <n v="3588000.0"/>
        <n v="865458.0"/>
        <n v="3292665.0"/>
        <n v="6189210.0"/>
        <n v="3692790.0"/>
        <n v="4506599.999999999"/>
        <n v="6557248.5"/>
        <n v="1818432.0"/>
        <n v="1890335.9999999998"/>
        <n v="4730400.0"/>
        <n v="7398600.0"/>
        <n v="2231712.0"/>
        <n v="3590325.0"/>
        <n v="2864214.0"/>
        <n v="584304.0"/>
        <n v="1381947.0"/>
        <n v="1.3522464E7"/>
        <n v="4602663.0"/>
        <n v="943299.0"/>
        <n v="4482912.0"/>
        <n v="2900088.0"/>
        <n v="2742450.0"/>
        <n v="929838.0"/>
        <n v="9321039.0"/>
        <n v="324324.0"/>
        <n v="6767436.0"/>
        <n v="1457910.0"/>
        <n v="4943182.5"/>
        <n v="2138724.0"/>
        <n v="1.13992875E8"/>
        <n v="1.3102908E7"/>
        <n v="2.74027845E7"/>
        <n v="1662390.0"/>
        <n v="540000.0"/>
        <n v="159894.0"/>
        <n v="2175225.0"/>
        <n v="743040.0"/>
        <n v="1594890.0"/>
        <n v="6510744.0"/>
        <n v="778950.0"/>
        <n v="290466.0"/>
        <n v="2291490.0"/>
        <n v="1.5317367E7"/>
        <n v="8.7210936E7"/>
        <n v="848448.0"/>
        <n v="1.47323085E7"/>
        <n v="1495260.0"/>
        <n v="1363230.0"/>
        <n v="2488563.0"/>
        <n v="7020957.0"/>
        <n v="4019274.0"/>
        <n v="3.340134E7"/>
        <n v="1.153509E8"/>
        <n v="2611602.0"/>
        <n v="6767712.0"/>
        <n v="1907712.0"/>
        <n v="663390.0"/>
        <n v="3.624490799999999E7"/>
        <n v="6377553.0"/>
        <n v="1031940.0"/>
        <n v="2276361.0"/>
        <n v="6355008.0"/>
        <n v="7632870.0"/>
        <n v="2903040.0"/>
        <n v="599400.0"/>
        <n v="2.2462128E7"/>
        <n v="958230.0"/>
        <n v="3169257.0"/>
        <n v="1840896.0"/>
        <n v="495360.0"/>
        <n v="3.66444E7"/>
        <n v="8877687.0"/>
        <n v="146610.0"/>
        <n v="1018440.0"/>
        <n v="2.090079E7"/>
        <n v="2.42184618E8"/>
        <n v="3.97433376E8"/>
        <n v="591030.0"/>
        <n v="2232846.0"/>
        <n v="1.2298041E7"/>
        <n v="1.0770435E7"/>
        <n v="3.3074265E7"/>
        <n v="1629127.5"/>
        <n v="738121.5"/>
        <n v="2164800.0"/>
        <n v="7480836.0"/>
        <n v="1284376.5"/>
        <n v="1021200.0"/>
        <n v="6798051.0"/>
        <n v="5.46615E7"/>
        <n v="391977.0"/>
        <n v="1821600.0"/>
        <n v="1176864.0"/>
        <n v="3207402.0"/>
        <n v="635040.0"/>
        <n v="428799.0"/>
        <n v="4704480.0"/>
        <n v="42504.0"/>
        <n v="5.665275E7"/>
        <n v="7422030.0"/>
        <n v="3502476.0"/>
        <n v="1660230.0"/>
        <n v="1.11525E7"/>
        <n v="1.11636E7"/>
        <n v="2094300.0"/>
        <n v="217140.0"/>
        <n v="7658829.0"/>
        <n v="1872450.0"/>
        <n v="122985.0"/>
        <n v="2.4876984E7"/>
        <n v="1.1782368E7"/>
        <n v="2129683.5"/>
        <n v="2384019.0"/>
        <n v="1530900.0"/>
        <n v="888615.0"/>
        <n v="601965.0"/>
        <n v="2.18973987E8"/>
        <n v="2.45695905E8"/>
        <n v="75660.0"/>
        <n v="1.67292E7"/>
        <n v="1117116.0"/>
        <n v="3139587.0"/>
        <n v="1921536.0"/>
        <n v="9.09576E7"/>
        <n v="3965220.0"/>
        <n v="765225.0"/>
        <n v="1840320.0"/>
        <n v="1342500.0"/>
        <n v="1124010.0"/>
        <n v="681318.0"/>
        <n v="1248000.0"/>
        <n v="8.317425599999999E7"/>
        <n v="2777700.0"/>
        <n v="1752876.0"/>
        <n v="411642.0"/>
        <n v="3738240.0"/>
        <n v="3167424.0"/>
        <n v="824985.0"/>
        <n v="2.85518655E8"/>
        <n v="1.08710616E8"/>
        <n v="8117226.0"/>
        <n v="7681149.0"/>
        <n v="3148500.0"/>
        <n v="982800.0"/>
        <n v="4492260.0"/>
        <n v="2.49465618E8"/>
        <n v="2.6003808E7"/>
        <n v="2697300.0"/>
        <n v="3.34117575E7"/>
        <n v="2221032.0"/>
        <n v="4531950.0"/>
        <n v="2.0521152E7"/>
        <n v="2453760.0"/>
        <n v="498294.0"/>
        <n v="2040129.0"/>
        <n v="1461984.0"/>
        <n v="2.447388E7"/>
        <n v="1.10426085E7"/>
        <n v="3.519288E7"/>
        <n v="3.492989999999999E7"/>
        <n v="1749924.0"/>
        <n v="321408.0"/>
        <n v="2.7150819E7"/>
        <n v="2438667.0"/>
        <n v="5365500.0"/>
        <n v="1561287.0"/>
        <n v="1567566.0"/>
        <n v="8997000.0"/>
        <n v="1695180.0"/>
        <n v="3240867.0"/>
        <n v="1969488.0"/>
        <n v="9300360.0"/>
        <n v="809400.0"/>
        <n v="453095.99999999994"/>
        <n v="1147122.0"/>
        <n v="427680.0"/>
        <n v="206340.0"/>
        <n v="1916340.0"/>
        <n v="599040.0"/>
        <n v="894075.0"/>
        <n v="1956150.0"/>
        <n v="2.092465125E8"/>
        <n v="361560.0"/>
        <n v="2606958.0"/>
        <n v="465696.0"/>
        <n v="1.1299662E7"/>
        <n v="754068.0"/>
        <n v="578592.0"/>
        <n v="1576380.0"/>
        <n v="2583360.0"/>
        <n v="1294482.0"/>
        <n v="35532.0"/>
        <n v="1.223694E7"/>
        <n v="722568.0"/>
        <n v="1363635.0"/>
        <n v="2176629.0"/>
        <n v="6171711.0"/>
        <n v="7832832.0"/>
        <n v="1.0805676E7"/>
        <n v="1750815.0"/>
        <n v="9.719784E7"/>
        <n v="789600.0"/>
        <n v="1.6678083E7"/>
        <n v="6673248.0"/>
        <n v="1515900.0"/>
        <n v="1734480.0"/>
        <n v="1940004.0"/>
        <n v="1245876.0"/>
        <n v="1528488.0"/>
        <n v="1938667.5"/>
        <n v="323010.0"/>
        <n v="894348.0"/>
        <n v="1.7195771999999996E7"/>
        <n v="2761590.0"/>
        <n v="1020300.0"/>
        <n v="1.4279895E7"/>
        <n v="688644.0"/>
        <n v="6165648.0"/>
        <n v="1111968.0"/>
        <n v="1760986.5"/>
        <n v="1442880.0"/>
        <n v="136800.0"/>
        <n v="1.05394176E8"/>
        <n v="4464000.0"/>
        <n v="1511055.0"/>
        <n v="1.4953908E7"/>
        <n v="68400.0"/>
        <n v="2874498.0"/>
        <n v="2655750.0"/>
        <n v="2040192.0"/>
        <n v="164970.0"/>
        <n v="5223438.0"/>
        <n v="1072170.0"/>
        <n v="1.2412896E7"/>
        <n v="4.0260012E7"/>
        <n v="2138400.0"/>
        <n v="1970364.0"/>
        <n v="1128600.0"/>
        <n v="748440.0"/>
        <n v="620730.0"/>
        <n v="8197740.0"/>
        <n v="5616600.000000001"/>
        <n v="1393308.0"/>
        <n v="1603800.0"/>
        <n v="7628310.0"/>
        <n v="1687257.0"/>
        <n v="542850.0"/>
        <n v="1.38507915E7"/>
        <n v="4088353.5"/>
        <n v="2.872116E7"/>
        <n v="1347696.0"/>
        <n v="1747200.0"/>
        <n v="5576400.0"/>
        <n v="3.431642805E8"/>
        <n v="1.6739721E8"/>
        <n v="913680.0"/>
        <n v="1.3758318E7"/>
        <n v="1189188.0"/>
        <n v="596736.0"/>
        <n v="460080.0"/>
        <n v="1.1170824E8"/>
        <n v="6.0359208E7"/>
        <n v="3323430.0"/>
        <n v="1578330.0"/>
        <n v="1.3802334E7"/>
        <n v="2.24905002E8"/>
        <n v="1102620.0"/>
        <n v="636363.0"/>
        <n v="234024.0"/>
        <n v="2.7728496E7"/>
        <n v="3879215.9999999995"/>
        <n v="2087802.0"/>
        <n v="885654.0"/>
        <n v="2.4204216E7"/>
        <n v="1.4241744E7"/>
        <n v="6988113.0"/>
        <n v="1259411.9999999998"/>
        <n v="3734640.0"/>
        <n v="1129392.0"/>
        <n v="1172880.0"/>
        <n v="6.6823515E7"/>
        <n v="1439559.0"/>
        <n v="3399480.0"/>
        <n v="1318180.5"/>
        <n v="5057579.999999999"/>
        <n v="2278206.0"/>
        <n v="1.4642991E7"/>
        <n v="3895200.0"/>
        <n v="1115694.0"/>
        <n v="3555090.0"/>
        <n v="3.44925E7"/>
        <n v="2626560.0"/>
        <n v="6068160.0"/>
        <n v="6043950.0"/>
        <n v="222358.5"/>
        <n v="1.561005E7"/>
        <n v="894600.0"/>
        <n v="531150.0"/>
        <n v="681030.0"/>
        <n v="1441584.0"/>
        <n v="2788884.0"/>
        <n v="2454192.0"/>
        <n v="1049580.0"/>
        <n v="1.2175839E7"/>
        <n v="1096416.0"/>
        <n v="2.7803835E8"/>
        <n v="1.12617216E8"/>
        <n v="2611719.0000000005"/>
        <n v="884070.0"/>
        <n v="683572.5"/>
        <n v="935104.5"/>
        <n v="1.3112442E7"/>
        <n v="1.267731E7"/>
        <n v="708981.0"/>
        <n v="675108.0"/>
        <n v="219186.0"/>
        <n v="4.6590264E7"/>
        <n v="1.670587875E8"/>
        <n v="3780647.9999999995"/>
        <n v="1.78739175E7"/>
        <n v="6517395.0"/>
        <n v="233220.0"/>
        <n v="2960779.5"/>
        <n v="1.8081285E7"/>
        <n v="1869966.0"/>
        <n v="1.8903456E7"/>
        <n v="9.24546285E7"/>
        <n v="803418.0"/>
        <n v="8956200.0"/>
        <n v="1.66586895E8"/>
        <n v="518700.0"/>
        <n v="84645.0"/>
        <n v="4955580.0"/>
        <n v="855360.0"/>
        <n v="935676.0"/>
        <n v="623700.0"/>
        <n v="3447168.0"/>
        <n v="1079755.5"/>
        <n v="650916.0"/>
        <n v="388800.0"/>
        <n v="6169878.0"/>
        <n v="336420.0"/>
        <n v="1671840.0"/>
        <n v="5754862.5"/>
        <n v="210210.0"/>
        <n v="245100.0"/>
        <n v="1146960.0"/>
        <n v="179256.0"/>
        <n v="2380224.0"/>
        <n v="2.1191031E7"/>
        <n v="2.2420199999999996E7"/>
        <n v="9110880.0"/>
        <n v="3519180.0"/>
        <n v="1.986075E7"/>
        <n v="879840.0"/>
        <n v="3259278.0"/>
        <n v="4193280.0"/>
        <n v="1717065.0"/>
        <n v="667968.0"/>
        <n v="1.37432025E7"/>
        <n v="1417800.0"/>
        <n v="1.8507801E7"/>
        <n v="6.2747139E7"/>
        <n v="114624.0"/>
        <n v="679360.5"/>
        <n v="1037673.0"/>
        <n v="6012449.999999999"/>
        <n v="744762.0"/>
        <n v="9492120.0"/>
        <n v="2401245.0"/>
        <n v="2463615.0"/>
        <n v="2150064.0"/>
        <n v="1861482.0"/>
        <n v="1654344.0"/>
        <n v="1030176.0"/>
        <n v="4.09493175E8"/>
        <n v="1508832.0"/>
        <n v="595350.0"/>
        <n v="1.2419724E7"/>
        <n v="5922328.5"/>
        <n v="2014200.0"/>
        <n v="4081350.0"/>
        <n v="3.00882582E8"/>
        <n v="1215216.0"/>
        <n v="342069.0"/>
        <n v="4012764.0"/>
        <n v="2548287.0"/>
        <n v="6045234.0"/>
        <n v="5.4006075E7"/>
        <n v="1.4351175E7"/>
        <n v="2.0446425E7"/>
        <n v="6705765.0"/>
        <n v="333684.0"/>
        <n v="2355000.0"/>
        <n v="621810.0"/>
        <n v="6.4502988E7"/>
        <n v="4433319.0"/>
        <n v="8999991.0"/>
        <n v="1.4332032E7"/>
        <n v="783783.0"/>
        <n v="478035.0"/>
        <n v="656640.0"/>
        <n v="1033344.0"/>
        <n v="2.5505823E7"/>
        <n v="4.1037435E7"/>
        <n v="1044981.0"/>
        <n v="487305.0"/>
        <n v="5203800.0"/>
        <n v="299520.0"/>
        <n v="1909089.0"/>
        <n v="1556100.0"/>
        <n v="964224.0"/>
        <n v="5667300.0"/>
        <n v="354437.99999999994"/>
        <n v="2.0626583999999996E7"/>
        <n v="5317042.5"/>
        <n v="4.5205902E7"/>
        <n v="3.357844035E8"/>
        <n v="8.0063802E7"/>
        <n v="647520.0"/>
        <n v="2545290.0"/>
        <n v="552960.0"/>
        <n v="1319760.0"/>
        <n v="921012.0"/>
        <n v="1624896.0"/>
        <n v="2185218.0"/>
        <n v="932880.0"/>
        <n v="4.0473804E7"/>
        <n v="129720.0"/>
        <n v="4395300.0"/>
        <n v="1706364.0"/>
        <n v="50688.0"/>
        <n v="1680480.0"/>
        <n v="2760318.0"/>
        <n v="2095632.0"/>
        <n v="282720.0"/>
        <n v="1.193973E7"/>
        <n v="959737.5"/>
        <n v="1.4501991E7"/>
        <n v="1.4095241999999998E7"/>
        <n v="576972.0"/>
        <n v="247059.0"/>
        <n v="3714120.0"/>
        <n v="2792475.0"/>
        <n v="1277136.0"/>
        <n v="680043.0"/>
        <n v="1663956.0"/>
        <n v="2124372.0"/>
        <n v="3247692.0"/>
        <n v="3413046.0"/>
        <n v="3.1060176E7"/>
        <n v="77700.0"/>
        <n v="214320.0"/>
        <n v="617463.0"/>
        <n v="1404585.0"/>
        <n v="1883529.0"/>
        <n v="936054.0"/>
        <n v="763087.5"/>
        <n v="1965600.0"/>
        <n v="1274580.0"/>
        <n v="788544.0"/>
        <n v="7666176.0"/>
        <n v="1426140.0"/>
        <n v="2.015442E7"/>
        <n v="2391120.0"/>
        <n v="1.15386525E7"/>
        <n v="2.405106E7"/>
        <n v="1.9574565E8"/>
        <n v="1.2263724E7"/>
        <n v="561600.0"/>
        <n v="869232.0"/>
        <n v="1857600.0"/>
        <n v="1545264.0"/>
        <n v="4063815.0"/>
        <n v="3.85013583E8"/>
        <n v="1651104.0"/>
        <n v="1610784.0"/>
        <n v="3494544.0"/>
        <n v="4944672.0"/>
        <n v="2534784.0"/>
        <n v="1825824.0"/>
        <n v="1294380.0"/>
        <n v="1034399.9999999999"/>
        <n v="6000675.0"/>
        <n v="1054872.0"/>
        <n v="1.6519104E7"/>
        <n v="3776850.0"/>
        <n v="2093890.5"/>
        <n v="271656.0"/>
        <n v="3.6687378E7"/>
        <n v="1111320.0"/>
        <n v="7432425.0"/>
        <n v="1.226907E7"/>
        <n v="8.577645E7"/>
        <n v="450846.0"/>
        <n v="7.7626449E7"/>
        <n v="6.0648588E7"/>
        <n v="8446032.0"/>
        <n v="1460760.0"/>
        <n v="550746.0"/>
        <n v="1247589.0"/>
        <n v="1989792.0"/>
        <n v="151497.0"/>
        <n v="21978.0"/>
        <n v="6235960.5"/>
        <n v="128736.0"/>
        <n v="2958180.0"/>
        <n v="631488.0"/>
        <n v="777600.0"/>
        <n v="5694300.0"/>
        <n v="9578412.0"/>
        <n v="3615048.0"/>
        <n v="2171442.0"/>
        <n v="106470.0"/>
        <n v="1.84106475E8"/>
        <n v="736020.0"/>
        <n v="3.10898091E8"/>
        <n v="648000.0"/>
        <n v="109296.0"/>
        <n v="155479.5"/>
        <n v="157356.0"/>
        <n v="3611310.0"/>
        <n v="2601450.0"/>
        <n v="8873469.0"/>
        <n v="1.19212002E8"/>
        <n v="9.7604571E7"/>
        <n v="2793069.0"/>
        <n v="668304.0"/>
        <n v="8637120.0"/>
        <n v="6.317766E7"/>
        <n v="1130256.0"/>
        <n v="421800.0"/>
        <n v="3207960.0"/>
        <n v="1519020.0"/>
        <n v="6494004.0"/>
        <n v="3627024.0"/>
        <n v="2049696.0"/>
        <n v="2406096.0"/>
        <n v="1470150.0"/>
        <n v="462462.0"/>
        <n v="823158.0"/>
        <n v="3.7327104E7"/>
        <n v="1537272.0"/>
        <n v="2.1883365E7"/>
        <n v="3976515.0"/>
        <n v="1088640.0"/>
        <n v="1544985.0"/>
        <n v="524520.0"/>
        <n v="940056.0"/>
        <n v="502320.0"/>
        <n v="143640.0"/>
        <n v="5178816.0"/>
        <n v="2.1825803999999996E7"/>
        <n v="9.91999305E7"/>
        <n v="1748250.0"/>
        <n v="4508460.0"/>
        <n v="7057165.5"/>
        <n v="1022814.0"/>
        <n v="1.40757654E8"/>
        <n v="574560.0"/>
        <n v="9162135.0"/>
        <n v="25662.0"/>
        <n v="2.7101655E7"/>
        <n v="3952950.0"/>
        <n v="2246656.5"/>
        <n v="2783560.5"/>
        <n v="6045984.0"/>
        <n v="921840.0"/>
        <n v="9950814.0"/>
        <n v="5323877.999999999"/>
        <n v="3946319.999999999"/>
        <n v="4876578.0"/>
        <n v="872508.0"/>
        <n v="3961237.5"/>
        <n v="978120.0"/>
        <n v="1.78595598E8"/>
        <n v="801360.0"/>
        <n v="5.557896E7"/>
        <n v="2202930.0"/>
        <n v="1584600.0"/>
        <n v="331452.0"/>
        <n v="9.8277816E7"/>
        <n v="3485664.0"/>
        <n v="2.8908432E7"/>
        <n v="3256605.0"/>
        <n v="2746200.0"/>
        <n v="2827200.0"/>
        <n v="1.9351584E7"/>
        <n v="5.0003217E7"/>
        <n v="6453720.0"/>
        <n v="785862.0"/>
        <n v="2682306.0"/>
        <n v="2214828.0"/>
        <n v="3547800.0"/>
        <n v="650133.0"/>
        <n v="1697760.0"/>
        <n v="4552482.0"/>
        <n v="2.53929357E8"/>
        <n v="2.3475456E7"/>
        <n v="1647756.0"/>
        <n v="2.17152E7"/>
        <n v="1021680.0"/>
        <n v="5.47143E7"/>
        <n v="2837142.0"/>
        <n v="8603700.0"/>
        <n v="1.1103885E7"/>
        <n v="1.2670019999999998E7"/>
        <n v="974592.0"/>
        <n v="950400.0"/>
        <n v="1.40859E7"/>
        <n v="826119.0"/>
        <n v="1063605.0"/>
        <n v="4461533.999999999"/>
        <n v="762048.0"/>
        <n v="1665216.0"/>
        <n v="1560090.0"/>
        <n v="585621.0"/>
        <n v="1587600.0"/>
        <n v="3795660.0"/>
        <n v="306936.0"/>
        <n v="7.62111E7"/>
        <n v="8323425.0"/>
        <n v="1765764.0"/>
        <n v="61776.0"/>
        <n v="4887792.0"/>
        <n v="725760.0"/>
        <n v="4643362.5"/>
        <n v="412830.0"/>
        <n v="9440550.0"/>
        <n v="1864327.5"/>
        <n v="543543.0"/>
        <n v="2107422.0"/>
        <n v="2.72828937E8"/>
        <n v="612202.5"/>
        <n v="2.8765799999999996E7"/>
        <n v="59940.0"/>
        <n v="207900.0"/>
        <n v="8481427.5"/>
        <n v="1416096.0"/>
        <n v="1571328.0"/>
        <n v="3883140.0"/>
        <n v="2742421.5"/>
        <n v="2444256.0"/>
        <n v="1905120.0"/>
        <n v="5988411.0"/>
        <n v="7925892.0"/>
        <n v="390936.0"/>
        <n v="1917000.0"/>
        <n v="1515186.0"/>
        <n v="311220.0"/>
        <n v="1.200135E7"/>
        <n v="2722992.0"/>
        <n v="2128896.0"/>
        <n v="2471377.5"/>
        <n v="665763.0"/>
        <n v="4171199.9999999995"/>
        <n v="1312416.0"/>
        <n v="1814670.0"/>
        <n v="5.4469428E7"/>
        <n v="2.2300277999999996E7"/>
        <n v="163350.0"/>
        <n v="564564.0"/>
        <n v="316305.0"/>
        <n v="6042960.0"/>
        <n v="121260.0"/>
        <n v="1.6351103999999998E7"/>
        <n v="1.0260576E7"/>
        <n v="1406496.0"/>
        <n v="431856.0"/>
        <n v="4149600.0"/>
        <n v="492954.0"/>
        <n v="46170.0"/>
        <n v="352728.0"/>
        <n v="2.470176E7"/>
        <n v="623403.0"/>
        <n v="7.616376E7"/>
        <n v="1.465974E7"/>
        <n v="8.358309E7"/>
        <n v="492993.0"/>
        <n v="3655773.0"/>
        <n v="898380.0"/>
        <n v="7.36513965E7"/>
        <n v="2231388.0"/>
        <n v="1.677645E7"/>
        <n v="1763910.0"/>
        <n v="1120050.0"/>
        <n v="324870.0"/>
        <n v="1036800.0"/>
        <n v="76146.0"/>
        <n v="318864.0"/>
        <n v="1897224.0"/>
        <n v="2930661.0"/>
        <n v="888300.0"/>
        <n v="754272.0"/>
        <n v="572208.0"/>
        <n v="8178846.0"/>
        <n v="1248900.0"/>
        <n v="1855872.0"/>
        <n v="1146600.0"/>
        <n v="158013.0"/>
        <n v="1835262.0"/>
        <n v="4437168.0"/>
        <n v="842400.0"/>
        <n v="1.9034577E7"/>
        <n v="5740470.0"/>
        <n v="2.3954688E7"/>
        <n v="8006134.5"/>
        <n v="6.02336535E7"/>
        <n v="4.51837155E7"/>
        <n v="1008288.0"/>
        <n v="690768.0"/>
        <n v="642600.0"/>
        <n v="1592955.0"/>
        <n v="69972.0"/>
        <n v="4265025.0"/>
        <n v="867888.0"/>
        <n v="1492344.0"/>
        <n v="6154368.0"/>
        <n v="2.855979E7"/>
        <n v="1331100.0"/>
        <n v="1.439976E8"/>
        <n v="1.1490336E7"/>
        <n v="949509.0"/>
        <n v="1.99773E7"/>
        <n v="7768530.0"/>
        <n v="2337216.0"/>
        <n v="6615720.0"/>
        <n v="3628800.0"/>
        <n v="2089962.0"/>
        <n v="5.0447166E7"/>
        <n v="1821036.0"/>
        <n v="5889702.0"/>
        <n v="1112202.0"/>
        <n v="3.42916728E8"/>
        <n v="1.2791196E7"/>
        <n v="947875.5"/>
        <n v="250260.0"/>
        <n v="2.27976E7"/>
        <n v="6686442.0"/>
        <n v="967626.0"/>
        <n v="2684100.0"/>
        <n v="1201200.0"/>
        <n v="2985660.0"/>
        <n v="2886394.5"/>
        <n v="1.0614834E7"/>
        <n v="1.5708762E7"/>
        <n v="2.3156496E7"/>
        <n v="1.352277E7"/>
        <n v="5405400.0"/>
        <n v="1.7021961E7"/>
        <n v="1887840.0"/>
        <n v="1920408.0"/>
        <n v="9966411.0"/>
        <n v="1122660.0"/>
        <n v="3.32514E7"/>
        <n v="1.5337674E7"/>
        <n v="2535462.0"/>
        <n v="5.048397899999999E7"/>
        <n v="1550542.5"/>
        <n v="895950.0"/>
        <n v="444600.0"/>
        <n v="4.099126499999999E7"/>
        <n v="8681673.0"/>
        <n v="1697994.0"/>
        <n v="1602018.0"/>
        <n v="5352450.0"/>
        <n v="5547689.999999999"/>
        <n v="1368576.0"/>
        <n v="939600.0"/>
        <n v="987525.0"/>
        <n v="4.17258525E7"/>
        <n v="217308.0"/>
        <n v="2454543.0"/>
        <n v="7835899.5"/>
        <n v="2042469.0"/>
        <n v="3926160.0"/>
        <n v="9.7617696E7"/>
        <n v="2896800.0"/>
        <n v="1.5019602E7"/>
        <n v="1594080.0"/>
        <n v="3208275.0"/>
        <n v="400365.0"/>
        <n v="1.38291E7"/>
        <n v="816480.0"/>
        <n v="1168128.0"/>
        <n v="1.01502765E7"/>
        <n v="6970500.0"/>
        <n v="1821015.0"/>
        <n v="390390.0"/>
        <n v="1563744.0"/>
        <n v="1.189566E7"/>
        <n v="1.0661742E7"/>
        <n v="549900.0"/>
        <n v="775320.0"/>
        <n v="81000.0"/>
        <n v="243648.0"/>
        <n v="459378.0"/>
        <n v="5.3910144E7"/>
        <n v="1.10562543E8"/>
        <n v="814968.0"/>
        <n v="610731.0"/>
        <n v="4111296.0"/>
        <n v="5.724999E7"/>
        <n v="1728000.0"/>
        <n v="8169822.0"/>
        <n v="530145.0"/>
        <n v="1.04159088E8"/>
        <n v="1788696.0"/>
        <n v="435708.0"/>
        <n v="4901159.999999999"/>
        <n v="305760.0"/>
        <n v="678321.0"/>
        <n v="2783484.0"/>
        <n v="1010880.0"/>
        <n v="1910925.0"/>
      </sharedItems>
    </cacheField>
    <cacheField name="COGS Total" numFmtId="164">
      <sharedItems containsSemiMixedTypes="0" containsString="0" containsNumber="1">
        <n v="1531200.0"/>
        <n v="1039650.0"/>
        <n v="1518300.0"/>
        <n v="6750000.0"/>
        <n v="229500.0"/>
        <n v="768450.0000000001"/>
        <n v="4.77072E7"/>
        <n v="539550.0000000001"/>
        <n v="6514800.0"/>
        <n v="3837600.0"/>
        <n v="1320300.0"/>
        <n v="2443050.0"/>
        <n v="2.7015E7"/>
        <n v="532500.0"/>
        <n v="820800.0"/>
        <n v="404700.0"/>
        <n v="1514700.0"/>
        <n v="936000.0"/>
        <n v="600600.0"/>
        <n v="3.67155E7"/>
        <n v="2958150.0"/>
        <n v="1267200.0"/>
        <n v="56400.0"/>
        <n v="2878200.0"/>
        <n v="1171800.0"/>
        <n v="3310350.0"/>
        <n v="214650.0"/>
        <n v="670950.0"/>
        <n v="7684800.000000001"/>
        <n v="3082050.0"/>
        <n v="5890950.0"/>
        <n v="502950.0"/>
        <n v="5487300.000000001"/>
        <n v="1.221525E7"/>
        <n v="1056000.0"/>
        <n v="2134050.0"/>
        <n v="1150050.0"/>
        <n v="104100.0"/>
        <n v="5135700.0"/>
        <n v="1293300.0"/>
        <n v="1058400.0"/>
        <n v="294300.00000000006"/>
        <n v="718200.0"/>
        <n v="5413200.0"/>
        <n v="1.4553E7"/>
        <n v="4153800.0"/>
        <n v="1040550.0"/>
        <n v="1631250.0"/>
        <n v="2887500.0"/>
        <n v="9616200.0"/>
        <n v="1231200.0"/>
        <n v="137700.0"/>
        <n v="17700.0"/>
        <n v="3168000.0"/>
        <n v="2419200.0"/>
        <n v="3.2865E7"/>
        <n v="1305300.0"/>
        <n v="1181250.0"/>
        <n v="2416050.0"/>
        <n v="1873200.0"/>
        <n v="2.999205E7"/>
        <n v="1513800.0"/>
        <n v="1.15026E7"/>
        <n v="897600.0"/>
        <n v="5403000.0"/>
        <n v="8.9205E7"/>
        <n v="1539000.0"/>
        <n v="2.635665E7"/>
        <n v="5364900.0"/>
        <n v="1474200.0"/>
        <n v="1.457505E7"/>
        <n v="1.17375E7"/>
        <n v="1174500.0"/>
        <n v="2347500.0"/>
        <n v="343500.0"/>
        <n v="1.043595E7"/>
        <n v="816000.0"/>
        <n v="1275000.0"/>
        <n v="4332900.0"/>
        <n v="81900.0"/>
        <n v="877800.0"/>
        <n v="5821200.0"/>
        <n v="1821150.0"/>
        <n v="683100.0"/>
        <n v="8593500.000000002"/>
        <n v="504000.0"/>
        <n v="5424300.0"/>
        <n v="1326000.0"/>
        <n v="9055200.0"/>
        <n v="452100.0"/>
        <n v="393300.0"/>
        <n v="1164000.0"/>
        <n v="766350.0"/>
        <n v="36000.0"/>
        <n v="565500.0"/>
        <n v="2.8623E7"/>
        <n v="769500.0"/>
        <n v="1838850.0"/>
        <n v="5.02182E7"/>
        <n v="219450.0"/>
        <n v="2831850.0"/>
        <n v="491700.0"/>
        <n v="766500.0"/>
        <n v="2475300.0"/>
        <n v="781200.0"/>
        <n v="1.84326E7"/>
        <n v="877500.0"/>
        <n v="1105800.0"/>
        <n v="2.76444E7"/>
        <n v="303600.0"/>
        <n v="4121550.0"/>
        <n v="918000.0"/>
        <n v="1559400.0"/>
        <n v="503700.0"/>
        <n v="4296600.0"/>
        <n v="2205600.0"/>
        <n v="1.296E8"/>
        <n v="3.9375E7"/>
        <n v="2625000.0"/>
        <n v="265050.0"/>
        <n v="3.759015000000001E7"/>
        <n v="392400.00000000006"/>
        <n v="255450.0"/>
        <n v="1549800.0"/>
        <n v="3.45384E7"/>
        <n v="260250.0"/>
        <n v="2.3366850000000004E7"/>
        <n v="3503250.0"/>
        <n v="743400.0"/>
        <n v="1689600.0"/>
        <n v="1309500.0"/>
        <n v="1045200.0000000001"/>
        <n v="1.09062E7"/>
        <n v="1176000.0"/>
        <n v="761100.0"/>
        <n v="602100.0"/>
        <n v="569400.0"/>
        <n v="1842600.0"/>
        <n v="2246400.0"/>
        <n v="698400.0"/>
        <n v="712800.0"/>
        <n v="3227400.0"/>
        <n v="2.14761E7"/>
        <n v="1725000.0"/>
        <n v="157500.0"/>
        <n v="3331200.0"/>
        <n v="3782100.0"/>
        <n v="606300.0"/>
        <n v="4013550.0"/>
        <n v="1145400.0"/>
        <n v="3363750.0"/>
        <n v="6321300.0"/>
        <n v="498000.0"/>
        <n v="4843200.0"/>
        <n v="1.48764E7"/>
        <n v="1.05264E7"/>
        <n v="319200.0"/>
        <n v="3307500.0"/>
        <n v="73500.0"/>
        <n v="6095700.000000001"/>
        <n v="621300.0000000001"/>
        <n v="4.4928E7"/>
        <n v="408000.0"/>
        <n v="588600.0000000001"/>
        <n v="23850.0"/>
        <n v="1149750.0"/>
        <n v="2190000.0"/>
        <n v="584100.0"/>
        <n v="2106450.0"/>
        <n v="4471200.0"/>
        <n v="2397000.0"/>
        <n v="1037850.0"/>
        <n v="2772000.0"/>
        <n v="1193100.0"/>
        <n v="448800.0"/>
        <n v="3057750.0"/>
        <n v="3114000.0"/>
        <n v="1442700.0"/>
        <n v="2114100.0"/>
        <n v="398400.0"/>
        <n v="859350.0"/>
        <n v="8734950.0"/>
        <n v="2227500.0"/>
        <n v="607200.0"/>
        <n v="1189200.0"/>
        <n v="1263600.0"/>
        <n v="1727250.0"/>
        <n v="624000.0"/>
        <n v="6144600.0"/>
        <n v="206550.0"/>
        <n v="4607400.0"/>
        <n v="780750.0"/>
        <n v="3243300.0"/>
        <n v="1417500.0"/>
        <n v="6.11925E7"/>
        <n v="9214800.0"/>
        <n v="1.2348E7"/>
        <n v="1128000.0"/>
        <n v="348750.0"/>
        <n v="32400.0"/>
        <n v="1368750.0"/>
        <n v="479700.0"/>
        <n v="1030500.0"/>
        <n v="4411200.0"/>
        <n v="506250.0"/>
        <n v="172800.0"/>
        <n v="1545750.0"/>
        <n v="8211450.0"/>
        <n v="2.43786E7"/>
        <n v="565200.0"/>
        <n v="1.02009E7"/>
        <n v="932100.0"/>
        <n v="908850.0"/>
        <n v="1106999.9999999998"/>
        <n v="4705800.0"/>
        <n v="2587200.0"/>
        <n v="1.39734E7"/>
        <n v="4.978155000000001E7"/>
        <n v="1628550.0"/>
        <n v="4372200.0"/>
        <n v="897000.0"/>
        <n v="459000.0"/>
        <n v="1.51632E7"/>
        <n v="4204200.0"/>
        <n v="714000.0"/>
        <n v="1199250.0"/>
        <n v="2646900.0"/>
        <n v="3294150.0"/>
        <n v="1843200.0"/>
        <n v="376650.0"/>
        <n v="1.497405E7"/>
        <n v="441450.00000000006"/>
        <n v="1567500.0"/>
        <n v="1208400.0"/>
        <n v="319800.0"/>
        <n v="2.198745E7"/>
        <n v="6342600.0"/>
        <n v="104400.0"/>
        <n v="675000.0"/>
        <n v="1.2267E7"/>
        <n v="1.6320915E8"/>
        <n v="2.721528E8"/>
        <n v="427350.0"/>
        <n v="1423800.0"/>
        <n v="5556600.0"/>
        <n v="7029450.0"/>
        <n v="1.62E7"/>
        <n v="1004400.0000000001"/>
        <n v="327750.0"/>
        <n v="1036200.0"/>
        <n v="3175200.0"/>
        <n v="565650.0000000001"/>
        <n v="641700.0"/>
        <n v="2.842425E7"/>
        <n v="246600.0"/>
        <n v="1247400.0"/>
        <n v="612300.0"/>
        <n v="1717650.0"/>
        <n v="283500.0"/>
        <n v="275700.0"/>
        <n v="2140800.0"/>
        <n v="29100.0"/>
        <n v="3.903E7"/>
        <n v="4544250.0"/>
        <n v="1912500.0"/>
        <n v="2362500.0"/>
        <n v="703050.0000000001"/>
        <n v="3345000.0"/>
        <n v="6920550.0"/>
        <n v="1322100.0"/>
        <n v="145500.0"/>
        <n v="5133600.0"/>
        <n v="1223100.0"/>
        <n v="65550.0"/>
        <n v="1.1088E7"/>
        <n v="4171050.0"/>
        <n v="897900.0"/>
        <n v="1469700.0"/>
        <n v="1036800.0"/>
        <n v="488250.0"/>
        <n v="126000.0"/>
        <n v="1.4675865E8"/>
        <n v="1.700955E8"/>
        <n v="32700.000000000004"/>
        <n v="3515400.0"/>
        <n v="757350.0"/>
        <n v="1382700.0000000002"/>
        <n v="4.04256E7"/>
        <n v="1497300.0"/>
        <n v="515250.0"/>
        <n v="943200.0"/>
        <n v="847500.0"/>
        <n v="587250.0"/>
        <n v="460350.0"/>
        <n v="798000.0"/>
        <n v="3.70656E7"/>
        <n v="1566000.0"/>
        <n v="1200600.0"/>
        <n v="261900.0"/>
        <n v="1557000.0"/>
        <n v="1485000.0"/>
        <n v="519750.0"/>
        <n v="1.9668795E8"/>
        <n v="2.3534700000000004E7"/>
        <n v="3305100.0"/>
        <n v="1323000.0"/>
        <n v="654000.0000000001"/>
        <n v="2531250.0"/>
        <n v="1.1534535E8"/>
        <n v="1.4085E7"/>
        <n v="1858500.0"/>
        <n v="2.092425E7"/>
        <n v="1491600.0"/>
        <n v="3072600.0"/>
        <n v="1.36827E7"/>
        <n v="336300.0"/>
        <n v="1409850.0"/>
        <n v="902400.0"/>
        <n v="1.55232E7"/>
        <n v="6356700.0"/>
        <n v="2.38536E7"/>
        <n v="1.43208E7"/>
        <n v="1130400.0"/>
        <n v="220800.0"/>
        <n v="1.1844E7"/>
        <n v="1007400.0"/>
        <n v="3397500.0"/>
        <n v="986850.0"/>
        <n v="1049400.0"/>
        <n v="4410000.0"/>
        <n v="535200.0"/>
        <n v="2141400.0"/>
        <n v="1297200.0"/>
        <n v="4986000.000000001"/>
        <n v="518700.0"/>
        <n v="112200.0"/>
        <n v="745200.0"/>
        <n v="276000.0"/>
        <n v="110400.0"/>
        <n v="1168500.0"/>
        <n v="399000.0"/>
        <n v="600000.0"/>
        <n v="1366200.0"/>
        <n v="1.4174625E8"/>
        <n v="240000.0"/>
        <n v="1190700.0"/>
        <n v="7078800.0"/>
        <n v="513450.0"/>
        <n v="367500.0"/>
        <n v="1752000.0"/>
        <n v="846600.0"/>
        <n v="7200.0"/>
        <n v="7761600.0"/>
        <n v="2643750.0"/>
        <n v="478500.0"/>
        <n v="479250.0"/>
        <n v="1027650.0000000001"/>
        <n v="3052500.0"/>
        <n v="4666200.0"/>
        <n v="6948300.0"/>
        <n v="1080000.0"/>
        <n v="6.277275E7"/>
        <n v="529200.0"/>
        <n v="3613050.0"/>
        <n v="4380450.0"/>
        <n v="892800.0"/>
        <n v="983400.0"/>
        <n v="862500.0"/>
        <n v="831900.0"/>
        <n v="1194900.0"/>
        <n v="209250.0"/>
        <n v="7624500.0"/>
        <n v="1766700.0"/>
        <n v="644100.0"/>
        <n v="6824100.0"/>
        <n v="3146400.0"/>
        <n v="507600.0"/>
        <n v="1124550.0"/>
        <n v="832800.0"/>
        <n v="85200.0"/>
        <n v="2.85408E7"/>
        <n v="2499750.0"/>
        <n v="9556950.0"/>
        <n v="42600.0"/>
        <n v="1808400.0"/>
        <n v="1513500.0"/>
        <n v="1338600.0"/>
        <n v="82500.0"/>
        <n v="2325450.0000000005"/>
        <n v="678300.0"/>
        <n v="7165950.0"/>
        <n v="2.65557E7"/>
        <n v="1360800.0"/>
        <n v="856350.0"/>
        <n v="460800.0"/>
        <n v="267600.0"/>
        <n v="4736700.000000001"/>
        <n v="3091200.0"/>
        <n v="574800.0"/>
        <n v="1122000.0"/>
        <n v="2542200.0"/>
        <n v="1040250.0"/>
        <n v="324000.00000000006"/>
        <n v="7760400.0"/>
        <n v="1652550.0"/>
        <n v="1.87452E7"/>
        <n v="880200.0"/>
        <n v="1209600.0"/>
        <n v="2.3246385E8"/>
        <n v="1.13397E8"/>
        <n v="5616000.0"/>
        <n v="390600.0"/>
        <n v="235800.0"/>
        <n v="4.673370000000001E7"/>
        <n v="1.3928700000000002E7"/>
        <n v="2082000.0"/>
        <n v="4549200.0"/>
        <n v="1.422849E8"/>
        <n v="623250.0000000001"/>
        <n v="448200.0"/>
        <n v="117000.0"/>
        <n v="1794000.0"/>
        <n v="1383750.0"/>
        <n v="573300.0"/>
        <n v="1.07298E7"/>
        <n v="8920800.0"/>
        <n v="2891100.0000000005"/>
        <n v="308550.0"/>
        <n v="2478600.0"/>
        <n v="752100.0000000001"/>
        <n v="662400.0"/>
        <n v="3.24E7"/>
        <n v="888000.0"/>
        <n v="2217600.0"/>
        <n v="882450.0"/>
        <n v="2242500.0"/>
        <n v="1420650.0"/>
        <n v="5026650.0"/>
        <n v="1663500.0"/>
        <n v="737100.0"/>
        <n v="1506750.0"/>
        <n v="1.4835E7"/>
        <n v="1206000.0"/>
        <n v="117450.0"/>
        <n v="1.041E7"/>
        <n v="412650.0"/>
        <n v="302700.0"/>
        <n v="310500.0"/>
        <n v="950400.0"/>
        <n v="1827000.0"/>
        <n v="1119300.0"/>
        <n v="8119800.0"/>
        <n v="1.7516355E8"/>
        <n v="7.15608E7"/>
        <n v="1545600.0"/>
        <n v="438750.0"/>
        <n v="396900.0"/>
        <n v="8744400.0"/>
        <n v="4313250.0"/>
        <n v="506100.0"/>
        <n v="447300.0"/>
        <n v="137400.0"/>
        <n v="1.0086300000000002E7"/>
        <n v="1.0462125E8"/>
        <n v="1684800.0"/>
        <n v="1.18551E7"/>
        <n v="3042900.0"/>
        <n v="132000.0"/>
        <n v="1221450.0"/>
        <n v="1.09956E7"/>
        <n v="1178100.0"/>
        <n v="1.181505E7"/>
        <n v="5.814315E7"/>
        <n v="547800.0"/>
        <n v="3892500.0"/>
        <n v="9.62475E7"/>
        <n v="344250.0"/>
        <n v="53550.0"/>
        <n v="2155500.0"/>
        <n v="606600.0"/>
        <n v="388800.00000000006"/>
        <n v="2347200.0"/>
        <n v="535050.0"/>
        <n v="412200.0"/>
        <n v="248400.0"/>
        <n v="3927300.0"/>
        <n v="239400.0"/>
        <n v="838500.0"/>
        <n v="3210300.0"/>
        <n v="129600.00000000001"/>
        <n v="159900.0"/>
        <n v="116400.0"/>
        <n v="1602300.0000000002"/>
        <n v="1.420245E7"/>
        <n v="9642750.0"/>
        <n v="5947200.0"/>
        <n v="4800000.0"/>
        <n v="412500.0"/>
        <n v="1743750.0"/>
        <n v="2754000.0"/>
        <n v="1162650.0"/>
        <n v="422400.0"/>
        <n v="5953500.0"/>
        <n v="780300.0"/>
        <n v="1.06314E7"/>
        <n v="4.275E7"/>
        <n v="77700.0"/>
        <n v="454950.0"/>
        <n v="678600.0"/>
        <n v="2647500.0"/>
        <n v="436050.0"/>
        <n v="6042000.0"/>
        <n v="1360800.0000000002"/>
        <n v="1516500.0"/>
        <n v="1364850.0"/>
        <n v="1207500.0"/>
        <n v="575100.0"/>
        <n v="536400.0"/>
        <n v="2.834925E8"/>
        <n v="818400.0"/>
        <n v="286800.0"/>
        <n v="6480000.0"/>
        <n v="2513700.0"/>
        <n v="1249200.0"/>
        <n v="2737500.0"/>
        <n v="2.083026E8"/>
        <n v="800400.0"/>
        <n v="237300.0"/>
        <n v="1873950.0000000002"/>
        <n v="1077300.0"/>
        <n v="2.27394E7"/>
        <n v="9369000.0"/>
        <n v="219000.0"/>
        <n v="1410000.0"/>
        <n v="2.950695E7"/>
        <n v="1790550.0"/>
        <n v="6133050.0"/>
        <n v="8957850.0"/>
        <n v="517650.0"/>
        <n v="441600.0"/>
        <n v="717600.0"/>
        <n v="1.48323E7"/>
        <n v="2.325315E7"/>
        <n v="658350.0"/>
        <n v="2756250.0"/>
        <n v="130800.00000000001"/>
        <n v="686700.0000000001"/>
        <n v="2381400.0"/>
        <n v="84150.0"/>
        <n v="2199750.0000000005"/>
        <n v="1.9656E7"/>
        <n v="5.36706E7"/>
        <n v="1158300.0"/>
        <n v="334800.0"/>
        <n v="660000.0"/>
        <n v="451950.0"/>
        <n v="1101600.0"/>
        <n v="425100.00000000006"/>
        <n v="88500.0"/>
        <n v="1009800.0"/>
        <n v="585900.0"/>
        <n v="1352400.0"/>
        <n v="166650.0"/>
        <n v="7510800.0"/>
        <n v="616500.0"/>
        <n v="6482700.0"/>
        <n v="5896800.0"/>
        <n v="310200.0"/>
        <n v="165600.0"/>
        <n v="2505600.0"/>
        <n v="1644300.0"/>
        <n v="469950.0"/>
        <n v="787500.0"/>
        <n v="1457700.0"/>
        <n v="2152500.0"/>
        <n v="1598999.9999999998"/>
        <n v="6724200.000000001"/>
        <n v="49800.0"/>
        <n v="141600.0"/>
        <n v="374850.0"/>
        <n v="924000.0"/>
        <n v="1212600.0"/>
        <n v="416100.0"/>
        <n v="504900.0"/>
        <n v="1377000.0"/>
        <n v="815400.0"/>
        <n v="516150.0"/>
        <n v="872100.0"/>
        <n v="1648800.0"/>
        <n v="1.38963E7"/>
        <n v="9.396E7"/>
        <n v="8177400.0"/>
        <n v="621600.0"/>
        <n v="993600.0"/>
        <n v="1844999.9999999998"/>
        <n v="2.608131E8"/>
        <n v="1029600.0"/>
        <n v="1057350.0"/>
        <n v="2700000.0"/>
        <n v="1680000.0"/>
        <n v="1242600.0000000002"/>
        <n v="906300.0"/>
        <n v="423600.0"/>
        <n v="2526600.0"/>
        <n v="7056000.0"/>
        <n v="2341800.0"/>
        <n v="1339650.0"/>
        <n v="174600.0"/>
        <n v="1.60992E7"/>
        <n v="8179650.0"/>
        <n v="4.695E7"/>
        <n v="200700.0"/>
        <n v="5.175E7"/>
        <n v="3.99894E7"/>
        <n v="3448800.0"/>
        <n v="996000.0"/>
        <n v="111600.0"/>
        <n v="776250.0"/>
        <n v="1240800.0"/>
        <n v="78300.0"/>
        <n v="13950.0"/>
        <n v="2579850.0"/>
        <n v="2046000.0"/>
        <n v="510000.0"/>
        <n v="3717000.0"/>
        <n v="6318900.0"/>
        <n v="2081250.0"/>
        <n v="1365000.0"/>
        <n v="63000.0"/>
        <n v="1.1835375E8"/>
        <n v="513300.0"/>
        <n v="71400.0"/>
        <n v="95850.0"/>
        <n v="106200.0"/>
        <n v="2310300.0"/>
        <n v="1586250.0"/>
        <n v="5464800.0"/>
        <n v="5.633145E7"/>
        <n v="5.39925E7"/>
        <n v="1684950.0"/>
        <n v="331500.0"/>
        <n v="3.990315E7"/>
        <n v="624600.0"/>
        <n v="1450800.0000000002"/>
        <n v="954000.0"/>
        <n v="2429250.0"/>
        <n v="1280400.0"/>
        <n v="1005600.0000000001"/>
        <n v="669000.0"/>
        <n v="320100.0"/>
        <n v="481950.0"/>
        <n v="1.01082E7"/>
        <n v="931200.0"/>
        <n v="1.45881E7"/>
        <n v="1966500.0"/>
        <n v="772800.0"/>
        <n v="684450.0"/>
        <n v="354000.0"/>
        <n v="228900.00000000003"/>
        <n v="28800.0"/>
        <n v="1725300.0"/>
        <n v="1.03155E7"/>
        <n v="6.112485E7"/>
        <n v="1245000.0"/>
        <n v="2007000.0"/>
        <n v="3263700.0"/>
        <n v="690300.0"/>
        <n v="9.638745E7"/>
        <n v="3969000.0"/>
        <n v="2582100.0"/>
        <n v="1408350.0"/>
        <n v="1376550.0"/>
        <n v="3087000.0"/>
        <n v="520500.0"/>
        <n v="6956400.0"/>
        <n v="1318350.0"/>
        <n v="2011800.0"/>
        <n v="498600.00000000006"/>
        <n v="1672500.0"/>
        <n v="465300.0"/>
        <n v="1.009425E8"/>
        <n v="578400.0"/>
        <n v="1.60542E7"/>
        <n v="1592850.0"/>
        <n v="214200.0"/>
        <n v="6.69576E7"/>
        <n v="2488500.0"/>
        <n v="1940400.0"/>
        <n v="1942500.0"/>
        <n v="1666500.0"/>
        <n v="8668800.0"/>
        <n v="3.27987E7"/>
        <n v="3758400.0"/>
        <n v="475200.0"/>
        <n v="825000.0"/>
        <n v="1194150.0000000002"/>
        <n v="1435500.0"/>
        <n v="2446200.0"/>
        <n v="1152000.0"/>
        <n v="2425500.0"/>
        <n v="1.590243E8"/>
        <n v="1.58184E7"/>
        <n v="849300.0"/>
        <n v="1.30296E7"/>
        <n v="599850.0"/>
        <n v="2.4768E7"/>
        <n v="1975050.0"/>
        <n v="3528000.0"/>
        <n v="3738150.0"/>
        <n v="6054750.0"/>
        <n v="558000.0"/>
        <n v="169200.0"/>
        <n v="646800.0"/>
        <n v="496800.0"/>
        <n v="900000.0"/>
        <n v="1000500.0"/>
        <n v="264600.0"/>
        <n v="970200.0"/>
        <n v="1687500.0"/>
        <n v="190800.0"/>
        <n v="1.5876E8"/>
        <n v="4.725E7"/>
        <n v="1222200.0"/>
        <n v="28200.0"/>
        <n v="144000.0"/>
        <n v="2152499.9999999995"/>
        <n v="3354750.0"/>
        <n v="1256850.0"/>
        <n v="1218900.0"/>
        <n v="1.7994855E8"/>
        <n v="362250.0"/>
        <n v="1.17936E7"/>
        <n v="41850.0"/>
        <n v="39600.0"/>
        <n v="5497800.0"/>
        <n v="873600.0"/>
        <n v="1046400.0000000001"/>
        <n v="2243700.0000000005"/>
        <n v="1931400.0"/>
        <n v="1552500.0"/>
        <n v="1242000.0"/>
        <n v="2609100.0"/>
        <n v="3795000.0"/>
        <n v="271200.0"/>
        <n v="937500.0"/>
        <n v="686400.0"/>
        <n v="789750.0"/>
        <n v="213000.0"/>
        <n v="5053200.0"/>
        <n v="1795200.0"/>
        <n v="1373400.0000000002"/>
        <n v="1614450.0"/>
        <n v="857850.0"/>
        <n v="407400.0"/>
        <n v="3.59283E7"/>
        <n v="1.053975E7"/>
        <n v="66900.0"/>
        <n v="389400.0"/>
        <n v="179250.0"/>
        <n v="3903000.0"/>
        <n v="79950.0"/>
        <n v="7176000.0"/>
        <n v="2232000.0"/>
        <n v="690900.0"/>
        <n v="220500.0"/>
        <n v="2962500.0"/>
        <n v="31950.0"/>
        <n v="176850.0"/>
        <n v="5763600.000000001"/>
        <n v="1.7771100000000004E7"/>
        <n v="9081000.0"/>
        <n v="330150.0"/>
        <n v="2290200.0"/>
        <n v="418500.0"/>
        <n v="3.793935E7"/>
        <n v="1012500.0"/>
        <n v="1078650.0"/>
        <n v="720000.0"/>
        <n v="217500.0"/>
        <n v="690000.0"/>
        <n v="178800.0"/>
        <n v="1318800.0"/>
        <n v="1873800.0"/>
        <n v="384000.0"/>
        <n v="652500.0"/>
        <n v="1220400.0"/>
        <n v="817500.0000000001"/>
        <n v="1204500.0"/>
        <n v="960600.0000000001"/>
        <n v="544050.0"/>
        <n v="1.214955E7"/>
        <n v="3747600.0"/>
        <n v="3520650.0"/>
        <n v="3.35298E7"/>
        <n v="105300.0"/>
        <n v="2.88822E7"/>
        <n v="661500.0"/>
        <n v="446550.0"/>
        <n v="122400.0"/>
        <n v="1102500.0"/>
        <n v="43500.0"/>
        <n v="2785950.0"/>
        <n v="540000.0"/>
        <n v="3666300.0"/>
        <n v="1.36482E7"/>
        <n v="810900.0"/>
        <n v="9.07176E7"/>
        <n v="6499350.0"/>
        <n v="527850.0"/>
        <n v="1.2637500000000002E7"/>
        <n v="3269700.0"/>
        <n v="1593600.0"/>
        <n v="4531500.0"/>
        <n v="2304000.0"/>
        <n v="1316700.0"/>
        <n v="2.0592E7"/>
        <n v="1094400.0"/>
        <n v="2780700.0000000005"/>
        <n v="1.449426E8"/>
        <n v="4217400.0"/>
        <n v="1.0159500000000002E7"/>
        <n v="2730300.0"/>
        <n v="626400.0"/>
        <n v="1837500.0"/>
        <n v="831600.0"/>
        <n v="1938000.0"/>
        <n v="1271100.0"/>
        <n v="7938000.0"/>
        <n v="1.45002E7"/>
        <n v="8923500.0"/>
        <n v="3442500.0"/>
        <n v="1.100565E7"/>
        <n v="1214400.0"/>
        <n v="7120800.0"/>
        <n v="762300.0"/>
        <n v="2.035875E7"/>
        <n v="9604500.000000002"/>
        <n v="862650.0"/>
        <n v="2.27448E7"/>
        <n v="1032750.0"/>
        <n v="574200.0"/>
        <n v="196200.00000000003"/>
        <n v="1.76904E7"/>
        <n v="3814650.0"/>
        <n v="1152600.0"/>
        <n v="2249100.0"/>
        <n v="2527200.0"/>
        <n v="883200.0"/>
        <n v="596250.0"/>
        <n v="445500.0"/>
        <n v="2.37162E7"/>
        <n v="155400.0"/>
        <n v="4905450.0"/>
        <n v="1259250.0"/>
        <n v="2520000.0"/>
        <n v="2.61624E7"/>
        <n v="6552000.0"/>
        <n v="799500.0"/>
        <n v="2016000.0"/>
        <n v="262500.0"/>
        <n v="4147800.0"/>
        <n v="364500.0"/>
        <n v="549900.0"/>
        <n v="4461750.0"/>
        <n v="1217700.0"/>
        <n v="179850.00000000003"/>
        <n v="1099200.0"/>
        <n v="8593200.0"/>
        <n v="7617600.0"/>
        <n v="315000.0"/>
        <n v="528000.0"/>
        <n v="51000.0"/>
        <n v="234900.0"/>
        <n v="2.2464E7"/>
        <n v="7.53273E7"/>
        <n v="523800.0"/>
        <n v="1969800.0"/>
        <n v="3.43476E7"/>
        <n v="1104000.0"/>
        <n v="2779650.0"/>
        <n v="2.2093800000000004E7"/>
        <n v="1239300.0"/>
        <n v="298200.0"/>
        <n v="133200.0"/>
        <n v="1577400.0"/>
        <n v="1228500.0"/>
      </sharedItems>
    </cacheField>
    <cacheField name="Margin Total" numFmtId="164">
      <sharedItems containsSemiMixedTypes="0" containsString="0" containsNumber="1">
        <n v="823281.0"/>
        <n v="757857.0"/>
        <n v="655389.0"/>
        <n v="3266316.0"/>
        <n v="289935.0"/>
        <n v="881249.9999999999"/>
        <n v="2.3460624E7"/>
        <n v="258785.99999999988"/>
        <n v="3582768.0"/>
        <n v="2354400.0"/>
        <n v="536220.0"/>
        <n v="1506402.0"/>
        <n v="1.438125E7"/>
        <n v="271200.0"/>
        <n v="1120752.0"/>
        <n v="232104.0"/>
        <n v="863676.0"/>
        <n v="992448.0"/>
        <n v="343464.0"/>
        <n v="3.4560045E7"/>
        <n v="1623930.0"/>
        <n v="654912.0"/>
        <n v="65904.0"/>
        <n v="1487160.0"/>
        <n v="669600.0"/>
        <n v="2031450.0"/>
        <n v="116559.0"/>
        <n v="1405971.0"/>
        <n v="2.525088E7"/>
        <n v="1742148.0"/>
        <n v="2616003.0"/>
        <n v="691057.5"/>
        <n v="2609459.999999999"/>
        <n v="7124850.0"/>
        <n v="528720.0"/>
        <n v="1645494.0"/>
        <n v="136395.93000000017"/>
        <n v="94296.0"/>
        <n v="2199120.0"/>
        <n v="1680048.0"/>
        <n v="1233708.0"/>
        <n v="132083.99999999994"/>
        <n v="319200.0"/>
        <n v="2442180.0"/>
        <n v="7651125.0"/>
        <n v="5310942.0"/>
        <n v="588031.5"/>
        <n v="1325358.0"/>
        <n v="3528000.0"/>
        <n v="3695610.0"/>
        <n v="1470960.0"/>
        <n v="63228.0"/>
        <n v="9090.0"/>
        <n v="1.1092455E7"/>
        <n v="1271970.0"/>
        <n v="2.401833E7"/>
        <n v="612864.0"/>
        <n v="697882.5"/>
        <n v="1090440.0"/>
        <n v="4247292.0"/>
        <n v="1.7493795E7"/>
        <n v="682906.5"/>
        <n v="8075589.0"/>
        <n v="705534.0"/>
        <n v="2527650.0"/>
        <n v="6.6908139E7"/>
        <n v="2138940.0"/>
        <n v="1.6251861E7"/>
        <n v="6238152.0"/>
        <n v="678600.0"/>
        <n v="6145923.0"/>
        <n v="9255157.5"/>
        <n v="618354.0"/>
        <n v="1896177.0"/>
        <n v="166650.0"/>
        <n v="6158470.5"/>
        <n v="413304.0"/>
        <n v="567750.0"/>
        <n v="2863068.0"/>
        <n v="40131.0"/>
        <n v="440088.0"/>
        <n v="3058114.5"/>
        <n v="3417606.0"/>
        <n v="2688191.9999999995"/>
        <n v="392782.5"/>
        <n v="3882119.999999998"/>
        <n v="280035.0"/>
        <n v="7226373.0"/>
        <n v="674700.0"/>
        <n v="5888652.0"/>
        <n v="229482.0"/>
        <n v="393804.0"/>
        <n v="738180.0"/>
        <n v="778752.0"/>
        <n v="134100.0"/>
        <n v="297726.0"/>
        <n v="2.17357875E7"/>
        <n v="1107000.0"/>
        <n v="1068810.0"/>
        <n v="2.5920108E7"/>
        <n v="120318.0"/>
        <n v="1.0240161E7"/>
        <n v="462264.0"/>
        <n v="376278.0"/>
        <n v="3206013.0"/>
        <n v="2899224.0"/>
        <n v="4.7507376E7"/>
        <n v="734400.0"/>
        <n v="579576.0"/>
        <n v="1.4688072E7"/>
        <n v="128832.0"/>
        <n v="7476840.0"/>
        <n v="699960.0"/>
        <n v="762588.0"/>
        <n v="617101.5"/>
        <n v="1.5741264E7"/>
        <n v="1224792.0"/>
        <n v="1.2959424E8"/>
        <n v="1.905351E7"/>
        <n v="1249500.0"/>
        <n v="118788.0"/>
        <n v="5.042840999999999E7"/>
        <n v="215855.99999999994"/>
        <n v="292812.0"/>
        <n v="861000.0"/>
        <n v="4.6334591999999985E7"/>
        <n v="195660.0"/>
        <n v="2.9637569999999996E7"/>
        <n v="5083020.0"/>
        <n v="441000.0"/>
        <n v="900480.0"/>
        <n v="686340.0"/>
        <n v="651263.9999999999"/>
        <n v="6543144.0"/>
        <n v="523152.0"/>
        <n v="415122.0"/>
        <n v="823945.5"/>
        <n v="767208.0"/>
        <n v="831057.0"/>
        <n v="1070550.0"/>
        <n v="366048.0"/>
        <n v="546588.0"/>
        <n v="2964255.0"/>
        <n v="1764576.0"/>
        <n v="1.6932714E7"/>
        <n v="1802280.0"/>
        <n v="80136.0"/>
        <n v="2040000.0"/>
        <n v="1708350.0"/>
        <n v="668220.0"/>
        <n v="2397640.5"/>
        <n v="552345.0"/>
        <n v="3753359.999999999"/>
        <n v="7555350.0"/>
        <n v="271230.0"/>
        <n v="3655200.0"/>
        <n v="9082125.0"/>
        <n v="6113388.0"/>
        <n v="1.17480795E7"/>
        <n v="160032.0"/>
        <n v="4170187.5"/>
        <n v="109998.0"/>
        <n v="35031.0"/>
        <n v="7434179.999999999"/>
        <n v="269267.9999999999"/>
        <n v="6.2892288E7"/>
        <n v="188160.0"/>
        <n v="815399.9999999999"/>
        <n v="12951.0"/>
        <n v="696276.0"/>
        <n v="1398000.0"/>
        <n v="281358.0"/>
        <n v="1186215.0"/>
        <n v="1718010.0"/>
        <n v="1295790.0"/>
        <n v="3468749.999999999"/>
        <n v="3785248.5"/>
        <n v="625332.0"/>
        <n v="1441535.9999999998"/>
        <n v="1672650.0"/>
        <n v="4284600.0"/>
        <n v="789012.0"/>
        <n v="1476225.0"/>
        <n v="1232964.0"/>
        <n v="185904.0"/>
        <n v="522597.0"/>
        <n v="4787514.0"/>
        <n v="2375163.0"/>
        <n v="336099.0"/>
        <n v="3293712.0"/>
        <n v="1636488.0"/>
        <n v="1015200.0"/>
        <n v="305838.0"/>
        <n v="3176439.0"/>
        <n v="117774.0"/>
        <n v="2160036.0"/>
        <n v="677160.0"/>
        <n v="1699882.5"/>
        <n v="721224.0"/>
        <n v="5.2800375E7"/>
        <n v="3888108.0"/>
        <n v="1.50547845E7"/>
        <n v="534390.0"/>
        <n v="191250.0"/>
        <n v="127494.0"/>
        <n v="806475.0"/>
        <n v="263340.0"/>
        <n v="564390.0"/>
        <n v="2099544.0"/>
        <n v="272700.0"/>
        <n v="117666.0"/>
        <n v="745740.0"/>
        <n v="7105917.0"/>
        <n v="6.2832336E7"/>
        <n v="283248.0"/>
        <n v="4531408.5"/>
        <n v="563160.0"/>
        <n v="454380.0"/>
        <n v="1381563.0000000002"/>
        <n v="2315157.0"/>
        <n v="1432074.0"/>
        <n v="1.942794E7"/>
        <n v="6.556934999999999E7"/>
        <n v="983052.0"/>
        <n v="2395512.0"/>
        <n v="1010712.0"/>
        <n v="204390.0"/>
        <n v="2.1081707999999993E7"/>
        <n v="2173353.0"/>
        <n v="317940.0"/>
        <n v="1077111.0"/>
        <n v="3708108.0"/>
        <n v="4338720.0"/>
        <n v="1059840.0"/>
        <n v="222750.0"/>
        <n v="7488078.0"/>
        <n v="516779.99999999994"/>
        <n v="1601757.0"/>
        <n v="632496.0"/>
        <n v="175560.0"/>
        <n v="1.465695E7"/>
        <n v="2535087.0"/>
        <n v="42210.0"/>
        <n v="343440.0"/>
        <n v="8633790.0"/>
        <n v="7.8975468E7"/>
        <n v="1.25280576E8"/>
        <n v="163680.0"/>
        <n v="809046.0"/>
        <n v="6741441.0"/>
        <n v="3740985.0"/>
        <n v="1.6874265E7"/>
        <n v="624727.4999999999"/>
        <n v="410371.5"/>
        <n v="1128600.0"/>
        <n v="4305636.0"/>
        <n v="718726.4999999999"/>
        <n v="379500.0"/>
        <n v="2593851.0"/>
        <n v="2.623725E7"/>
        <n v="145377.0"/>
        <n v="574200.0"/>
        <n v="564564.0"/>
        <n v="1489752.0"/>
        <n v="351540.0"/>
        <n v="153099.0"/>
        <n v="2563680.0"/>
        <n v="13404.0"/>
        <n v="1.762275E7"/>
        <n v="2877780.0"/>
        <n v="1589976.0"/>
        <n v="1512000.0"/>
        <n v="957179.9999999999"/>
        <n v="7807500.0"/>
        <n v="4243050.0"/>
        <n v="772200.0"/>
        <n v="71640.0"/>
        <n v="2525229.0"/>
        <n v="649350.0"/>
        <n v="57435.0"/>
        <n v="1.3788984E7"/>
        <n v="7611318.0"/>
        <n v="1231783.5"/>
        <n v="914319.0"/>
        <n v="494100.0"/>
        <n v="400365.0"/>
        <n v="475965.0"/>
        <n v="7.2215337E7"/>
        <n v="7.5600405E7"/>
        <n v="42960.0"/>
        <n v="1.32138E7"/>
        <n v="359766.0"/>
        <n v="1756886.9999999998"/>
        <n v="1100736.0"/>
        <n v="5.0532E7"/>
        <n v="2467920.0"/>
        <n v="249975.0"/>
        <n v="897120.0"/>
        <n v="495000.0"/>
        <n v="536760.0"/>
        <n v="220968.0"/>
        <n v="450000.0"/>
        <n v="4.6108655999999985E7"/>
        <n v="1211700.0"/>
        <n v="552276.0"/>
        <n v="149742.0"/>
        <n v="2181240.0"/>
        <n v="1682424.0"/>
        <n v="305235.0"/>
        <n v="8.8830705E7"/>
        <n v="8.5175916E7"/>
        <n v="2704026.0"/>
        <n v="4376049.0"/>
        <n v="1825500.0"/>
        <n v="328799.9999999999"/>
        <n v="1961010.0"/>
        <n v="1.34120268E8"/>
        <n v="1.1918808E7"/>
        <n v="838800.0"/>
        <n v="1.24875075E7"/>
        <n v="729432.0"/>
        <n v="1459350.0"/>
        <n v="6838452.0"/>
        <n v="764160.0"/>
        <n v="161994.0"/>
        <n v="630279.0"/>
        <n v="559584.0"/>
        <n v="8950680.0"/>
        <n v="4685908.5"/>
        <n v="1.133928E7"/>
        <n v="2.0609099999999993E7"/>
        <n v="619524.0"/>
        <n v="100608.0"/>
        <n v="1.5306819E7"/>
        <n v="1431267.0"/>
        <n v="1968000.0"/>
        <n v="574437.0"/>
        <n v="518166.0"/>
        <n v="4587000.0"/>
        <n v="1159980.0"/>
        <n v="1099467.0"/>
        <n v="672288.0"/>
        <n v="4314359.999999999"/>
        <n v="290700.0"/>
        <n v="340895.99999999994"/>
        <n v="401922.0"/>
        <n v="151680.0"/>
        <n v="95940.0"/>
        <n v="747840.0"/>
        <n v="200040.0"/>
        <n v="294075.0"/>
        <n v="589950.0"/>
        <n v="6.75002625E7"/>
        <n v="121560.0"/>
        <n v="1416258.0"/>
        <n v="162096.0"/>
        <n v="4220862.0"/>
        <n v="240618.0"/>
        <n v="211092.0"/>
        <n v="873329.9999999999"/>
        <n v="831360.0"/>
        <n v="447882.0"/>
        <n v="28332.0"/>
        <n v="4475340.0"/>
        <n v="1848510.0"/>
        <n v="244068.0"/>
        <n v="884385.0"/>
        <n v="1148979.0"/>
        <n v="3119211.0"/>
        <n v="3166632.0"/>
        <n v="3857376.0"/>
        <n v="670815.0"/>
        <n v="3.442509E7"/>
        <n v="260400.0"/>
        <n v="1.3065033E7"/>
        <n v="2292798.0"/>
        <n v="623100.0"/>
        <n v="751080.0"/>
        <n v="1077504.0"/>
        <n v="413976.0"/>
        <n v="762138.0"/>
        <n v="743767.5"/>
        <n v="113760.0"/>
        <n v="305747.9999999999"/>
        <n v="9571271.999999996"/>
        <n v="994890.0"/>
        <n v="376200.0"/>
        <n v="7455795.0"/>
        <n v="228294.0"/>
        <n v="3019248.0"/>
        <n v="604368.0"/>
        <n v="636436.5"/>
        <n v="610080.0"/>
        <n v="51600.0"/>
        <n v="7.6853376E7"/>
        <n v="1964250.0"/>
        <n v="480555.0"/>
        <n v="5396958.0"/>
        <n v="25800.0"/>
        <n v="1066098.0"/>
        <n v="1142250.0"/>
        <n v="701592.0"/>
        <n v="82470.0"/>
        <n v="2897987.9999999995"/>
        <n v="393870.0"/>
        <n v="5246946.0"/>
        <n v="1.3704312E7"/>
        <n v="777600.0"/>
        <n v="1114014.0"/>
        <n v="410400.0"/>
        <n v="287640.0"/>
        <n v="353130.0"/>
        <n v="3461039.999999999"/>
        <n v="2525400.000000001"/>
        <n v="818508.0"/>
        <n v="481800.0"/>
        <n v="5086110.0"/>
        <n v="647007.0"/>
        <n v="218849.99999999994"/>
        <n v="6090391.5"/>
        <n v="2435803.5"/>
        <n v="9975960.0"/>
        <n v="467496.0"/>
        <n v="537600.0"/>
        <n v="4404600.0"/>
        <n v="1.107004305E8"/>
        <n v="5.400021E7"/>
        <n v="406080.0"/>
        <n v="8142318.0"/>
        <n v="653988.0"/>
        <n v="206136.0"/>
        <n v="224280.0"/>
        <n v="6.497453999999999E7"/>
        <n v="4.6430508E7"/>
        <n v="1241430.0"/>
        <n v="811980.0"/>
        <n v="9253134.0"/>
        <n v="8.2620102E7"/>
        <n v="479369.9999999999"/>
        <n v="188163.0"/>
        <n v="117024.0"/>
        <n v="1.5884496E7"/>
        <n v="2085215.9999999995"/>
        <n v="704052.0"/>
        <n v="312354.0"/>
        <n v="1.3474416E7"/>
        <n v="5320944.0"/>
        <n v="4097012.9999999995"/>
        <n v="950861.9999999998"/>
        <n v="1256040.0"/>
        <n v="377291.9999999999"/>
        <n v="510480.0"/>
        <n v="3.4423515E7"/>
        <n v="551559.0"/>
        <n v="1181880.0"/>
        <n v="435730.5"/>
        <n v="2815079.999999999"/>
        <n v="857556.0"/>
        <n v="9616341.0"/>
        <n v="2231700.0"/>
        <n v="378594.0"/>
        <n v="2048340.0"/>
        <n v="1.96575E7"/>
        <n v="1420560.0"/>
        <n v="2230560.0"/>
        <n v="3568650.0"/>
        <n v="104908.5"/>
        <n v="5200050.0"/>
        <n v="481950.0"/>
        <n v="228450.0"/>
        <n v="370530.0"/>
        <n v="491184.0"/>
        <n v="961884.0"/>
        <n v="1334892.0"/>
        <n v="590580.0"/>
        <n v="4056039.0"/>
        <n v="351216.0"/>
        <n v="1.028748E8"/>
        <n v="4.1056416E7"/>
        <n v="1066119.0000000005"/>
        <n v="299970.0"/>
        <n v="244822.5"/>
        <n v="538204.5"/>
        <n v="4368042.0"/>
        <n v="8364060.0"/>
        <n v="202881.0"/>
        <n v="227808.0"/>
        <n v="81786.0"/>
        <n v="3.6503964E7"/>
        <n v="6.24375375E7"/>
        <n v="2095847.9999999995"/>
        <n v="6018817.5"/>
        <n v="3474495.0"/>
        <n v="101220.0"/>
        <n v="1739329.5"/>
        <n v="7085685.0"/>
        <n v="691866.0"/>
        <n v="7088406.0"/>
        <n v="3.43114785E7"/>
        <n v="255618.0"/>
        <n v="5063700.0"/>
        <n v="7.0339395E7"/>
        <n v="174450.0"/>
        <n v="31095.0"/>
        <n v="2800080.0"/>
        <n v="248160.0"/>
        <n v="329076.0"/>
        <n v="234899.99999999994"/>
        <n v="1099968.0"/>
        <n v="544705.5"/>
        <n v="238716.0"/>
        <n v="140400.0"/>
        <n v="2242578.0"/>
        <n v="97020.0"/>
        <n v="833340.0"/>
        <n v="2544562.5"/>
        <n v="80609.99999999999"/>
        <n v="85200.0"/>
        <n v="471960.0"/>
        <n v="62856.0"/>
        <n v="777923.9999999998"/>
        <n v="6988581.0"/>
        <n v="1.2777449999999996E7"/>
        <n v="3163680.0"/>
        <n v="2012430.0"/>
        <n v="1.506075E7"/>
        <n v="467340.0"/>
        <n v="1515528.0"/>
        <n v="1439280.0"/>
        <n v="554415.0"/>
        <n v="245568.0"/>
        <n v="7789702.5"/>
        <n v="637500.0"/>
        <n v="7876401.0"/>
        <n v="1.9997139E7"/>
        <n v="36924.0"/>
        <n v="224410.5"/>
        <n v="359073.0"/>
        <n v="3364949.999999999"/>
        <n v="308712.0"/>
        <n v="3450120.0"/>
        <n v="1040444.9999999998"/>
        <n v="947115.0"/>
        <n v="785214.0"/>
        <n v="653982.0"/>
        <n v="1079244.0"/>
        <n v="493776.0"/>
        <n v="1.26000675E8"/>
        <n v="690432.0"/>
        <n v="469350.0"/>
        <n v="173280.0"/>
        <n v="5939724.0"/>
        <n v="3408628.5"/>
        <n v="765000.0"/>
        <n v="1343850.0"/>
        <n v="9.2579982E7"/>
        <n v="414816.0"/>
        <n v="104769.0"/>
        <n v="2138814.0"/>
        <n v="1470987.0"/>
        <n v="2117934.0"/>
        <n v="3.1266675E7"/>
        <n v="4982175.0"/>
        <n v="8179425.0"/>
        <n v="3814664.9999999995"/>
        <n v="114684.0"/>
        <n v="945000.0"/>
        <n v="495810.0"/>
        <n v="3.4996038E7"/>
        <n v="2642769.0"/>
        <n v="2866941.0"/>
        <n v="5374182.0"/>
        <n v="266133.0"/>
        <n v="175335.0"/>
        <n v="215040.0"/>
        <n v="315744.0"/>
        <n v="1.0673523E7"/>
        <n v="1.7784285E7"/>
        <n v="386631.0"/>
        <n v="257805.0"/>
        <n v="2447550.0"/>
        <n v="168720.0"/>
        <n v="1238139.0"/>
        <n v="869399.9999999999"/>
        <n v="301824.0"/>
        <n v="3285900.0"/>
        <n v="270287.99999999994"/>
        <n v="1.0983833999999996E7"/>
        <n v="3117292.4999999995"/>
        <n v="2.5549902E7"/>
        <n v="1.033205535E8"/>
        <n v="2.6393202E7"/>
        <n v="225120.0"/>
        <n v="1386990.0"/>
        <n v="218160.0"/>
        <n v="659760.0"/>
        <n v="469062.0"/>
        <n v="523296.0"/>
        <n v="767718.0"/>
        <n v="507779.99999999994"/>
        <n v="1.8997704E7"/>
        <n v="41220.0"/>
        <n v="1657800.0"/>
        <n v="696564.0"/>
        <n v="17987.999999999996"/>
        <n v="504480.0"/>
        <n v="2174418.0"/>
        <n v="743232.0"/>
        <n v="116070.0"/>
        <n v="4428930.0"/>
        <n v="343237.5"/>
        <n v="8019291.0"/>
        <n v="8198441.999999998"/>
        <n v="266772.0"/>
        <n v="81459.0"/>
        <n v="1208520.0"/>
        <n v="1148175.0"/>
        <n v="614736.0"/>
        <n v="210093.0"/>
        <n v="876456.0"/>
        <n v="666672.0"/>
        <n v="1095192.0"/>
        <n v="1814046.0000000002"/>
        <n v="2.4335976E7"/>
        <n v="27900.0"/>
        <n v="72720.0"/>
        <n v="242613.0"/>
        <n v="480585.0"/>
        <n v="670929.0"/>
        <n v="519954.0"/>
        <n v="258187.5"/>
        <n v="588600.0"/>
        <n v="459180.0"/>
        <n v="272394.0"/>
        <n v="2999976.0"/>
        <n v="554040.0"/>
        <n v="7939170.0"/>
        <n v="742320.0"/>
        <n v="5585152.5"/>
        <n v="1.015476E7"/>
        <n v="1.0178565E8"/>
        <n v="4086324.0"/>
        <n v="162600.0"/>
        <n v="247632.0"/>
        <n v="658350.0"/>
        <n v="551664.0"/>
        <n v="2218815.0"/>
        <n v="1.24200483E8"/>
        <n v="621504.0"/>
        <n v="553434.0"/>
        <n v="2713344.0"/>
        <n v="2244672.0"/>
        <n v="854784.0"/>
        <n v="583223.9999999998"/>
        <n v="388080.0"/>
        <n v="610799.9999999999"/>
        <n v="3474075.0"/>
        <n v="368171.9999999999"/>
        <n v="9463104.0"/>
        <n v="1435050.0"/>
        <n v="754240.5"/>
        <n v="97056.0"/>
        <n v="2.0588178E7"/>
        <n v="397320.0"/>
        <n v="4087425.0"/>
        <n v="4089420.0"/>
        <n v="3.882645E7"/>
        <n v="250146.0"/>
        <n v="2.5876449E7"/>
        <n v="2.0659188E7"/>
        <n v="4997232.0"/>
        <n v="464760.0"/>
        <n v="439146.0"/>
        <n v="471339.0"/>
        <n v="748992.0"/>
        <n v="73197.0"/>
        <n v="8028.0"/>
        <n v="3656110.5"/>
        <n v="46836.0"/>
        <n v="912180.0"/>
        <n v="206387.99999999994"/>
        <n v="267600.0"/>
        <n v="1977300.0"/>
        <n v="3259512.0"/>
        <n v="1533798.0"/>
        <n v="806442.0"/>
        <n v="43470.0"/>
        <n v="6.5752725E7"/>
        <n v="222720.0"/>
        <n v="1.14210141E8"/>
        <n v="240000.0"/>
        <n v="37896.0"/>
        <n v="59629.5"/>
        <n v="51156.0"/>
        <n v="1301010.0"/>
        <n v="3408669.0"/>
        <n v="6.2880552E7"/>
        <n v="4.3612071E7"/>
        <n v="1108119.0"/>
        <n v="336804.0"/>
        <n v="4227120.0"/>
        <n v="2.327451E7"/>
        <n v="505656.0"/>
        <n v="156750.0"/>
        <n v="1757159.9999999998"/>
        <n v="565020.0"/>
        <n v="3602903.9999999995"/>
        <n v="1197774.0"/>
        <n v="769296.0"/>
        <n v="1400496.0"/>
        <n v="801150.0"/>
        <n v="142362.0"/>
        <n v="341208.0"/>
        <n v="2.7218904E7"/>
        <n v="606072.0"/>
        <n v="7295265.0"/>
        <n v="2010015.0"/>
        <n v="315840.0"/>
        <n v="860535.0"/>
        <n v="170520.0"/>
        <n v="316056.0"/>
        <n v="273420.0"/>
        <n v="114840.0"/>
        <n v="3453516.0"/>
        <n v="1.1510303999999996E7"/>
        <n v="3.80750805E7"/>
        <n v="503250.0"/>
        <n v="2501460.0"/>
        <n v="3793465.5"/>
        <n v="332514.0"/>
        <n v="4.4370204E7"/>
        <n v="182159.99999999994"/>
        <n v="5193135.0"/>
        <n v="7962.0"/>
        <n v="1.4753655E7"/>
        <n v="1370850.0"/>
        <n v="838306.5"/>
        <n v="1407010.5"/>
        <n v="2958984.0"/>
        <n v="401340.0"/>
        <n v="2994414.0"/>
        <n v="4005527.999999999"/>
        <n v="2936519.999999999"/>
        <n v="2864778.0"/>
        <n v="373907.99999999994"/>
        <n v="2288737.5"/>
        <n v="512820.0"/>
        <n v="7.7653098E7"/>
        <n v="222960.0"/>
        <n v="3.952476E7"/>
        <n v="712500.0"/>
        <n v="117252.0"/>
        <n v="3.1320216E7"/>
        <n v="997164.0"/>
        <n v="1.6560432E7"/>
        <n v="1316205.0"/>
        <n v="803700.0"/>
        <n v="1160700.0"/>
        <n v="1.0682784E7"/>
        <n v="1.7204517E7"/>
        <n v="2695320.0"/>
        <n v="310662.0"/>
        <n v="824700.0"/>
        <n v="1488155.9999999998"/>
        <n v="779328.0"/>
        <n v="1101600.0"/>
        <n v="222783.0"/>
        <n v="545760.0"/>
        <n v="2126982.0"/>
        <n v="9.4905057E7"/>
        <n v="7657056.0"/>
        <n v="798456.0"/>
        <n v="8685600.0"/>
        <n v="421830.0"/>
        <n v="2.99463E7"/>
        <n v="862092.0"/>
        <n v="5075700.0"/>
        <n v="7365735.0"/>
        <n v="6615269.999999998"/>
        <n v="466992.0"/>
        <n v="392400.0"/>
        <n v="5350950.0"/>
        <n v="656919.0"/>
        <n v="416805.0"/>
        <n v="3423683.999999999"/>
        <n v="265248.0"/>
        <n v="765216.0"/>
        <n v="559590.0"/>
        <n v="321021.0"/>
        <n v="617400.0"/>
        <n v="2108160.0"/>
        <n v="116136.0"/>
        <n v="1.52138091E8"/>
        <n v="2.89611E7"/>
        <n v="4820175.0"/>
        <n v="543564.0"/>
        <n v="33576.0"/>
        <n v="1556592.0"/>
        <n v="581760.0"/>
        <n v="2490862.5000000005"/>
        <n v="183330.0"/>
        <n v="6085800.0"/>
        <n v="607477.5"/>
        <n v="239943.0"/>
        <n v="888522.0"/>
        <n v="9.2880387E7"/>
        <n v="249952.5"/>
        <n v="1.6972199999999996E7"/>
        <n v="18090.0"/>
        <n v="168300.0"/>
        <n v="2983627.5"/>
        <n v="542496.0"/>
        <n v="524927.9999999999"/>
        <n v="1639439.9999999995"/>
        <n v="811021.5"/>
        <n v="891756.0"/>
        <n v="663120.0"/>
        <n v="3379311.0"/>
        <n v="4130892.0"/>
        <n v="119736.0"/>
        <n v="979500.0"/>
        <n v="336414.0"/>
        <n v="725436.0"/>
        <n v="98220.0"/>
        <n v="6948150.0"/>
        <n v="927792.0"/>
        <n v="755495.9999999998"/>
        <n v="856927.5"/>
        <n v="416670.0"/>
        <n v="258363.0"/>
        <n v="2377199.9999999995"/>
        <n v="494016.0"/>
        <n v="989670.0"/>
        <n v="1.8541128E7"/>
        <n v="1.1760527999999996E7"/>
        <n v="96450.0"/>
        <n v="175164.0"/>
        <n v="137055.0"/>
        <n v="2139960.0"/>
        <n v="41310.0"/>
        <n v="9175103.999999998"/>
        <n v="8028576.0"/>
        <n v="715596.0"/>
        <n v="211356.0"/>
        <n v="1187100.0"/>
        <n v="172854.0"/>
        <n v="14220.0"/>
        <n v="175878.0"/>
        <n v="1.893816E7"/>
        <n v="358803.0"/>
        <n v="5.839266E7"/>
        <n v="5578740.0"/>
        <n v="2.991249E7"/>
        <n v="162843.0"/>
        <n v="1365573.0"/>
        <n v="479880.0"/>
        <n v="3.57120465E7"/>
        <n v="1218888.0"/>
        <n v="5780850.0"/>
        <n v="685260.0"/>
        <n v="400050.0"/>
        <n v="107370.0"/>
        <n v="346800.0"/>
        <n v="26346.0"/>
        <n v="140064.0"/>
        <n v="578424.0"/>
        <n v="1056861.0"/>
        <n v="719100.0"/>
        <n v="257472.0"/>
        <n v="188208.0"/>
        <n v="4383846.0"/>
        <n v="596400.0"/>
        <n v="635472.0"/>
        <n v="329099.9999999999"/>
        <n v="53613.0"/>
        <n v="630762.0"/>
        <n v="3476568.0"/>
        <n v="298350.0"/>
        <n v="6885027.0"/>
        <n v="1992870.0"/>
        <n v="1.3224888E7"/>
        <n v="4485484.5"/>
        <n v="2.67038535E7"/>
        <n v="142398.0"/>
        <n v="1.63015155E7"/>
        <n v="346788.0"/>
        <n v="244218.0"/>
        <n v="520200.0"/>
        <n v="490455.0"/>
        <n v="26472.0"/>
        <n v="1479075.0"/>
        <n v="327888.0"/>
        <n v="522144.0"/>
        <n v="2488068.0"/>
        <n v="1.491159E7"/>
        <n v="5.328E7"/>
        <n v="4990986.0"/>
        <n v="421659.0"/>
        <n v="7339799.999999998"/>
        <n v="4498830.0"/>
        <n v="743616.0"/>
        <n v="2084220.0"/>
        <n v="1324800.0"/>
        <n v="773262.0"/>
        <n v="2.9855166E7"/>
        <n v="726636.0"/>
        <n v="3109001.9999999995"/>
        <n v="425802.0"/>
        <n v="1.97974128E8"/>
        <n v="8573796.0"/>
        <n v="335575.5"/>
        <n v="90360.0"/>
        <n v="1.2638099999999998E7"/>
        <n v="3956142.0"/>
        <n v="341226.0"/>
        <n v="846600.0"/>
        <n v="369600.0"/>
        <n v="1047660.0"/>
        <n v="1615294.5"/>
        <n v="3536034.0"/>
        <n v="7770762.0"/>
        <n v="8656296.0"/>
        <n v="4599270.0"/>
        <n v="1962900.0"/>
        <n v="6016311.0"/>
        <n v="990840.0"/>
        <n v="706008.0"/>
        <n v="2845611.0"/>
        <n v="360360.0"/>
        <n v="1.289265E7"/>
        <n v="5733173.999999998"/>
        <n v="1672812.0"/>
        <n v="2.7739178999999993E7"/>
        <n v="517792.5"/>
        <n v="321750.0"/>
        <n v="248399.99999999997"/>
        <n v="2.3300864999999993E7"/>
        <n v="4867023.0"/>
        <n v="545394.0"/>
        <n v="552618.0"/>
        <n v="3103350.0"/>
        <n v="3020489.999999999"/>
        <n v="485376.0"/>
        <n v="343350.0"/>
        <n v="542025.0"/>
        <n v="1.80096525E7"/>
        <n v="61908.0"/>
        <n v="398520.0"/>
        <n v="1591893.0"/>
        <n v="2930449.5"/>
        <n v="783219.0"/>
        <n v="1406160.0"/>
        <n v="7.1455296E7"/>
        <n v="1621800.0"/>
        <n v="8467602.0"/>
        <n v="794580.0"/>
        <n v="1192275.0"/>
        <n v="137865.0"/>
        <n v="9681300.0"/>
        <n v="383399.9999999999"/>
        <n v="451980.0"/>
        <n v="618228.0"/>
        <n v="3793576.5"/>
        <n v="2508750.0"/>
        <n v="603315.0"/>
        <n v="210539.99999999997"/>
        <n v="464544.0"/>
        <n v="3302460.0"/>
        <n v="3044142.0"/>
        <n v="234900.0"/>
        <n v="247320.0"/>
        <n v="30000.0"/>
        <n v="78048.0"/>
        <n v="224478.0"/>
        <n v="3.1446144E7"/>
        <n v="3.5235243E7"/>
        <n v="291168.0"/>
        <n v="183381.0"/>
        <n v="2141496.0"/>
        <n v="2.290239E7"/>
        <n v="624000.0"/>
        <n v="5390172.0"/>
        <n v="311145.0"/>
        <n v="8.2065288E7"/>
        <n v="549396.0"/>
        <n v="137508.0"/>
        <n v="2658659.999999999"/>
        <n v="174960.0"/>
        <n v="545121.0"/>
        <n v="1206084.0"/>
        <n v="503280.0"/>
        <n v="6824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" cacheId="0" dataCaption="" compact="0" compactData="0">
  <location ref="A2:G7" firstHeaderRow="0" firstDataRow="1" firstDataCol="1"/>
  <pivotFields>
    <pivotField name="Orde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  <pivotField name="Order Year" axis="axisCol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 Type" compact="0" outline="0" multipleItemSelectionAllowed="1" showAll="0">
      <items>
        <item x="0"/>
        <item x="1"/>
        <item x="2"/>
        <item x="3"/>
        <item t="default"/>
      </items>
    </pivotField>
    <pivotField name="Account Manag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roduct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Cos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Retail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Profit Margi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Order Quantit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ub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t="default"/>
      </items>
    </pivotField>
    <pivotField name="Discount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R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name="COGS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Margin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</pivotFields>
  <rowFields>
    <field x="10"/>
  </rowFields>
  <colFields>
    <field x="2"/>
  </colFields>
  <dataFields>
    <dataField name=" Profit Margin" fld="16" baseField="0"/>
  </dataFields>
</pivotTableDefinition>
</file>

<file path=xl/pivotTables/pivotTable2.xml><?xml version="1.0" encoding="utf-8"?>
<pivotTableDefinition xmlns="http://schemas.openxmlformats.org/spreadsheetml/2006/main" name="pivottable 2" cacheId="0" dataCaption="" rowGrandTotals="0" colGrandTotals="0" compact="0" compactData="0">
  <location ref="K2:Q12" firstHeaderRow="0" firstDataRow="2" firstDataCol="1"/>
  <pivotFields>
    <pivotField name="Orde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  <pivotField name="Order Year" axis="axisCol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City" axis="axisRow" compact="0" outline="0" multipleItemSelectionAllowed="1" showAll="0" sortType="ascending" defaultSubtotal="0">
      <items>
        <item x="2"/>
        <item x="0"/>
        <item x="1"/>
      </items>
    </pivotField>
    <pivotField name="Customer Type" compact="0" outline="0" multipleItemSelectionAllowed="1" showAll="0">
      <items>
        <item x="0"/>
        <item x="1"/>
        <item x="2"/>
        <item x="3"/>
        <item t="default"/>
      </items>
    </pivotField>
    <pivotField name="Account Manag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roduct Category" axis="axisRow" compact="0" outline="0" multipleItemSelectionAllowed="1" showAll="0" sortType="ascending">
      <items>
        <item x="2"/>
        <item x="0"/>
        <item x="1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Cos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Retail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Profit Margi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Order Quantit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ub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t="default"/>
      </items>
    </pivotField>
    <pivotField name="Discount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R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Reven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name="COGS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Margin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</pivotFields>
  <rowFields>
    <field x="5"/>
    <field x="10"/>
  </rowFields>
  <colFields>
    <field x="2"/>
  </colFields>
  <dataFields>
    <dataField name="Sum of Total Revenue" fld="21" baseField="0"/>
  </dataFields>
</pivotTableDefinition>
</file>

<file path=xl/pivotTables/pivotTable3.xml><?xml version="1.0" encoding="utf-8"?>
<pivotTableDefinition xmlns="http://schemas.openxmlformats.org/spreadsheetml/2006/main" name="pivottable 3" cacheId="0" dataCaption="" compact="0" compactData="0">
  <location ref="A10:C14" firstHeaderRow="0" firstDataRow="2" firstDataCol="0" rowPageCount="1" colPageCount="1"/>
  <pivotFields>
    <pivotField name="Orde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  <pivotField name="Order Year" axis="axisPage" compact="0" outline="0" multipleItemSelectionAllowed="1" showAll="0">
      <items>
        <item x="0"/>
        <item h="1" x="1"/>
        <item h="1" x="2"/>
        <item h="1" x="3"/>
        <item h="1" x="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City" axis="axisRow" compact="0" outline="0" multipleItemSelectionAllowed="1" showAll="0" sortType="ascending">
      <items>
        <item x="2"/>
        <item x="0"/>
        <item x="1"/>
        <item t="default"/>
      </items>
    </pivotField>
    <pivotField name="Customer Type" compact="0" outline="0" multipleItemSelectionAllowed="1" showAll="0">
      <items>
        <item x="0"/>
        <item x="1"/>
        <item x="2"/>
        <item x="3"/>
        <item t="default"/>
      </items>
    </pivotField>
    <pivotField name="Account Manag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Cos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Retail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Profit Margin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Order Quantit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ub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t="default"/>
      </items>
    </pivotField>
    <pivotField name="Discount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R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name="COGS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Margin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</pivotFields>
  <rowFields>
    <field x="5"/>
  </rowFields>
  <colFields>
    <field x="-2"/>
  </colFields>
  <pageFields>
    <pageField fld="2"/>
  </pageFields>
  <dataFields>
    <dataField name="Sum of Margin Total" fld="23" baseField="0"/>
    <dataField name=" Profit Margin" fld="16" baseField="0"/>
  </dataFields>
</pivotTableDefinition>
</file>

<file path=xl/pivotTables/pivotTable4.xml><?xml version="1.0" encoding="utf-8"?>
<pivotTableDefinition xmlns="http://schemas.openxmlformats.org/spreadsheetml/2006/main" name="pivottable 4" cacheId="0" dataCaption="" rowGrandTotals="0" compact="0" compactData="0">
  <location ref="K22:L27" firstHeaderRow="0" firstDataRow="1" firstDataCol="0"/>
  <pivotFields>
    <pivotField name="Orde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t="default"/>
      </items>
    </pivotField>
    <pivotField name="Order Year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City" compact="0" outline="0" multipleItemSelectionAllowed="1" showAll="0">
      <items>
        <item x="0"/>
        <item x="1"/>
        <item x="2"/>
        <item t="default"/>
      </items>
    </pivotField>
    <pivotField name="Customer Type" compact="0" outline="0" multipleItemSelectionAllowed="1" showAll="0">
      <items>
        <item x="0"/>
        <item x="1"/>
        <item x="2"/>
        <item x="3"/>
        <item t="default"/>
      </items>
    </pivotField>
    <pivotField name="Account Manag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Product Category" compact="0" outline="0" multipleItemSelectionAllowed="1" showAll="0">
      <items>
        <item x="0"/>
        <item x="1"/>
        <item x="2"/>
        <item t="default"/>
      </items>
    </pivotField>
    <pivotField name="Product Contain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hip Mode" compact="0" outline="0" multipleItemSelectionAllowed="1" showAll="0">
      <items>
        <item x="0"/>
        <item x="1"/>
        <item x="2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t="default"/>
      </items>
    </pivotField>
    <pivotField name="Cos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Retail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Profit Margi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Order Quantity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ub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t="default"/>
      </items>
    </pivotField>
    <pivotField name="Discount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iscount R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t="default"/>
      </items>
    </pivotField>
    <pivotField name="Total Reven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t="default"/>
      </items>
    </pivotField>
    <pivotField name="COGS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Margin 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</pivotFields>
  <rowFields>
    <field x="2"/>
  </rowFields>
  <dataFields>
    <dataField name="Sum of Order Quantity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0.43"/>
    <col customWidth="1" min="3" max="3" width="15.0"/>
    <col customWidth="1" min="4" max="4" width="19.71"/>
    <col customWidth="1" min="5" max="5" width="29.43"/>
    <col customWidth="1" min="6" max="6" width="8.57"/>
    <col customWidth="1" min="7" max="7" width="21.14"/>
    <col customWidth="1" min="8" max="8" width="17.86"/>
    <col customWidth="1" min="9" max="9" width="12.14"/>
    <col customWidth="1" min="10" max="10" width="67.57"/>
    <col customWidth="1" min="11" max="11" width="15.14"/>
    <col customWidth="1" min="12" max="12" width="16.0"/>
    <col customWidth="1" min="13" max="13" width="12.57"/>
    <col customWidth="1" min="14" max="14" width="10.43"/>
    <col customWidth="1" min="15" max="15" width="13.57"/>
    <col customWidth="1" min="16" max="16" width="15.0"/>
    <col customWidth="1" min="17" max="17" width="15.43"/>
    <col customWidth="1" min="18" max="18" width="16.57"/>
    <col customWidth="1" min="19" max="19" width="11.86"/>
    <col customWidth="1" min="20" max="20" width="10.0"/>
    <col customWidth="1" min="21" max="21" width="10.86"/>
    <col customWidth="1" min="22" max="22" width="14.71"/>
    <col customWidth="1" min="23" max="23" width="16.29"/>
    <col customWidth="1" min="24" max="24" width="14.29"/>
    <col customWidth="1" min="25" max="27" width="11.86"/>
  </cols>
  <sheetData>
    <row r="1">
      <c r="A1" s="1" t="s">
        <v>0</v>
      </c>
      <c r="AB1" s="2" t="s">
        <v>1</v>
      </c>
    </row>
    <row r="2">
      <c r="AB2" s="3" t="s">
        <v>2</v>
      </c>
    </row>
    <row r="3">
      <c r="A3" s="3" t="s">
        <v>3</v>
      </c>
      <c r="B3" s="4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4" t="s">
        <v>16</v>
      </c>
      <c r="O3" s="4" t="s">
        <v>17</v>
      </c>
      <c r="P3" s="4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/>
      <c r="Z3" s="3"/>
      <c r="AA3" s="3"/>
      <c r="AB3" s="4" t="s">
        <v>27</v>
      </c>
      <c r="AC3" s="4" t="s">
        <v>3</v>
      </c>
      <c r="AD3" s="4" t="s">
        <v>4</v>
      </c>
      <c r="AE3" s="4" t="s">
        <v>5</v>
      </c>
      <c r="AF3" s="4" t="s">
        <v>6</v>
      </c>
      <c r="AG3" s="4" t="s">
        <v>7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4" t="s">
        <v>15</v>
      </c>
      <c r="AP3" s="4" t="s">
        <v>16</v>
      </c>
      <c r="AQ3" s="4" t="s">
        <v>17</v>
      </c>
      <c r="AR3" s="4" t="s">
        <v>18</v>
      </c>
      <c r="AS3" s="4" t="s">
        <v>19</v>
      </c>
      <c r="AT3" s="4" t="s">
        <v>20</v>
      </c>
      <c r="AU3" s="4" t="s">
        <v>21</v>
      </c>
      <c r="AV3" s="4" t="s">
        <v>22</v>
      </c>
      <c r="AW3" s="4" t="s">
        <v>23</v>
      </c>
      <c r="AX3" s="4" t="s">
        <v>24</v>
      </c>
      <c r="AY3" s="4" t="s">
        <v>25</v>
      </c>
      <c r="AZ3" s="4" t="s">
        <v>26</v>
      </c>
    </row>
    <row r="4">
      <c r="A4" s="3" t="s">
        <v>28</v>
      </c>
      <c r="B4" s="5">
        <v>42516.0</v>
      </c>
      <c r="C4" s="6">
        <f t="shared" ref="C4:C919" si="1">YEAR(B4)</f>
        <v>2016</v>
      </c>
      <c r="D4" s="7" t="s">
        <v>29</v>
      </c>
      <c r="E4" s="7" t="s">
        <v>30</v>
      </c>
      <c r="F4" s="7" t="s">
        <v>31</v>
      </c>
      <c r="G4" s="7" t="s">
        <v>32</v>
      </c>
      <c r="H4" s="7" t="s">
        <v>33</v>
      </c>
      <c r="I4" s="7" t="s">
        <v>34</v>
      </c>
      <c r="J4" s="7" t="s">
        <v>35</v>
      </c>
      <c r="K4" s="7" t="s">
        <v>36</v>
      </c>
      <c r="L4" s="7" t="s">
        <v>37</v>
      </c>
      <c r="M4" s="7" t="s">
        <v>38</v>
      </c>
      <c r="N4" s="5">
        <v>42517.0</v>
      </c>
      <c r="O4" s="8">
        <v>52800.0</v>
      </c>
      <c r="P4" s="8">
        <v>83700.0</v>
      </c>
      <c r="Q4" s="8">
        <f t="shared" ref="Q4:Q919" si="2">P4-O4</f>
        <v>30900</v>
      </c>
      <c r="R4" s="8">
        <v>29.0</v>
      </c>
      <c r="S4" s="8">
        <f t="shared" ref="S4:S919" si="3">R4*P4</f>
        <v>2427300</v>
      </c>
      <c r="T4" s="9">
        <v>0.03</v>
      </c>
      <c r="U4" s="8">
        <f t="shared" ref="U4:U919" si="4">T4*S4</f>
        <v>72819</v>
      </c>
      <c r="V4" s="8">
        <f t="shared" ref="V4:V919" si="5">S4-U4</f>
        <v>2354481</v>
      </c>
      <c r="W4" s="10">
        <f t="shared" ref="W4:W919" si="6">R4*O4</f>
        <v>1531200</v>
      </c>
      <c r="X4" s="10">
        <f t="shared" ref="X4:X919" si="7">V4-W4</f>
        <v>823281</v>
      </c>
      <c r="Y4" s="10"/>
      <c r="Z4" s="10"/>
      <c r="AA4" s="10"/>
      <c r="AB4" s="4" t="s">
        <v>39</v>
      </c>
      <c r="AC4" s="4" t="s">
        <v>28</v>
      </c>
      <c r="AD4" s="4">
        <v>42516.0</v>
      </c>
      <c r="AE4" s="4">
        <v>2016.0</v>
      </c>
      <c r="AF4" s="4" t="s">
        <v>29</v>
      </c>
      <c r="AG4" s="4" t="s">
        <v>30</v>
      </c>
      <c r="AH4" s="4" t="s">
        <v>31</v>
      </c>
      <c r="AI4" s="4" t="s">
        <v>32</v>
      </c>
      <c r="AJ4" s="4" t="s">
        <v>33</v>
      </c>
      <c r="AK4" s="4" t="s">
        <v>34</v>
      </c>
      <c r="AL4" s="4" t="s">
        <v>35</v>
      </c>
      <c r="AM4" s="4" t="s">
        <v>36</v>
      </c>
      <c r="AN4" s="4" t="s">
        <v>37</v>
      </c>
      <c r="AO4" s="4" t="s">
        <v>38</v>
      </c>
      <c r="AP4" s="4">
        <v>42517.0</v>
      </c>
      <c r="AQ4" s="4">
        <v>52800.0</v>
      </c>
      <c r="AR4" s="4">
        <v>83700.0</v>
      </c>
      <c r="AS4" s="4">
        <v>30900.0</v>
      </c>
      <c r="AT4" s="4">
        <v>29.0</v>
      </c>
      <c r="AU4" s="4">
        <v>2427300.0</v>
      </c>
      <c r="AV4" s="4">
        <v>0.03</v>
      </c>
      <c r="AW4" s="4">
        <v>72819.0</v>
      </c>
      <c r="AX4" s="4">
        <v>2354481.0</v>
      </c>
      <c r="AY4" s="4">
        <v>1531200.0</v>
      </c>
      <c r="AZ4" s="4">
        <v>823281.0</v>
      </c>
    </row>
    <row r="5">
      <c r="A5" s="3" t="s">
        <v>40</v>
      </c>
      <c r="B5" s="5">
        <v>42516.0</v>
      </c>
      <c r="C5" s="6">
        <f t="shared" si="1"/>
        <v>2016</v>
      </c>
      <c r="D5" s="7" t="s">
        <v>41</v>
      </c>
      <c r="E5" s="7" t="s">
        <v>42</v>
      </c>
      <c r="F5" s="7" t="s">
        <v>31</v>
      </c>
      <c r="G5" s="7" t="s">
        <v>32</v>
      </c>
      <c r="H5" s="7" t="s">
        <v>43</v>
      </c>
      <c r="I5" s="7" t="s">
        <v>34</v>
      </c>
      <c r="J5" s="7" t="s">
        <v>44</v>
      </c>
      <c r="K5" s="7" t="s">
        <v>36</v>
      </c>
      <c r="L5" s="7" t="s">
        <v>45</v>
      </c>
      <c r="M5" s="7" t="s">
        <v>38</v>
      </c>
      <c r="N5" s="5">
        <v>42517.0</v>
      </c>
      <c r="O5" s="8">
        <v>35850.0</v>
      </c>
      <c r="P5" s="8">
        <v>63900.0</v>
      </c>
      <c r="Q5" s="8">
        <f t="shared" si="2"/>
        <v>28050</v>
      </c>
      <c r="R5" s="8">
        <v>29.0</v>
      </c>
      <c r="S5" s="8">
        <f t="shared" si="3"/>
        <v>1853100</v>
      </c>
      <c r="T5" s="9">
        <v>0.03</v>
      </c>
      <c r="U5" s="8">
        <f t="shared" si="4"/>
        <v>55593</v>
      </c>
      <c r="V5" s="8">
        <f t="shared" si="5"/>
        <v>1797507</v>
      </c>
      <c r="W5" s="10">
        <f t="shared" si="6"/>
        <v>1039650</v>
      </c>
      <c r="X5" s="10">
        <f t="shared" si="7"/>
        <v>757857</v>
      </c>
      <c r="Y5" s="10"/>
      <c r="Z5" s="10"/>
      <c r="AA5" s="10"/>
      <c r="AB5" s="4" t="s">
        <v>46</v>
      </c>
      <c r="AC5" s="4" t="s">
        <v>40</v>
      </c>
      <c r="AD5" s="4">
        <v>42516.0</v>
      </c>
      <c r="AE5" s="4">
        <v>2016.0</v>
      </c>
      <c r="AF5" s="4" t="s">
        <v>41</v>
      </c>
      <c r="AG5" s="4" t="s">
        <v>42</v>
      </c>
      <c r="AH5" s="4" t="s">
        <v>31</v>
      </c>
      <c r="AI5" s="4" t="s">
        <v>32</v>
      </c>
      <c r="AJ5" s="4" t="s">
        <v>43</v>
      </c>
      <c r="AK5" s="4" t="s">
        <v>34</v>
      </c>
      <c r="AL5" s="4" t="s">
        <v>44</v>
      </c>
      <c r="AM5" s="4" t="s">
        <v>36</v>
      </c>
      <c r="AN5" s="4" t="s">
        <v>45</v>
      </c>
      <c r="AO5" s="4" t="s">
        <v>38</v>
      </c>
      <c r="AP5" s="4">
        <v>42517.0</v>
      </c>
      <c r="AQ5" s="4">
        <v>35850.0</v>
      </c>
      <c r="AR5" s="4">
        <v>63900.0</v>
      </c>
      <c r="AS5" s="4">
        <v>28050.0</v>
      </c>
      <c r="AT5" s="4">
        <v>29.0</v>
      </c>
      <c r="AU5" s="4">
        <v>1853100.0</v>
      </c>
      <c r="AV5" s="4">
        <v>0.03</v>
      </c>
      <c r="AW5" s="4">
        <v>55593.0</v>
      </c>
      <c r="AX5" s="4">
        <v>1797507.0</v>
      </c>
      <c r="AY5" s="4">
        <v>1039650.0</v>
      </c>
      <c r="AZ5" s="4">
        <v>757857.0</v>
      </c>
    </row>
    <row r="6">
      <c r="A6" s="3" t="s">
        <v>47</v>
      </c>
      <c r="B6" s="5">
        <v>42517.0</v>
      </c>
      <c r="C6" s="6">
        <f t="shared" si="1"/>
        <v>2016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36</v>
      </c>
      <c r="L6" s="7" t="s">
        <v>45</v>
      </c>
      <c r="M6" s="7" t="s">
        <v>55</v>
      </c>
      <c r="N6" s="5">
        <v>42519.0</v>
      </c>
      <c r="O6" s="8">
        <v>36150.0</v>
      </c>
      <c r="P6" s="8">
        <v>55650.0</v>
      </c>
      <c r="Q6" s="8">
        <f t="shared" si="2"/>
        <v>19500</v>
      </c>
      <c r="R6" s="8">
        <v>42.0</v>
      </c>
      <c r="S6" s="8">
        <f t="shared" si="3"/>
        <v>2337300</v>
      </c>
      <c r="T6" s="9">
        <v>0.07</v>
      </c>
      <c r="U6" s="8">
        <f t="shared" si="4"/>
        <v>163611</v>
      </c>
      <c r="V6" s="8">
        <f t="shared" si="5"/>
        <v>2173689</v>
      </c>
      <c r="W6" s="10">
        <f t="shared" si="6"/>
        <v>1518300</v>
      </c>
      <c r="X6" s="10">
        <f t="shared" si="7"/>
        <v>655389</v>
      </c>
      <c r="Y6" s="10"/>
      <c r="Z6" s="10"/>
      <c r="AA6" s="10"/>
      <c r="AB6" s="4" t="s">
        <v>56</v>
      </c>
      <c r="AC6" s="4" t="s">
        <v>47</v>
      </c>
      <c r="AD6" s="4">
        <v>42517.0</v>
      </c>
      <c r="AE6" s="4">
        <v>2016.0</v>
      </c>
      <c r="AF6" s="4" t="s">
        <v>48</v>
      </c>
      <c r="AG6" s="4" t="s">
        <v>49</v>
      </c>
      <c r="AH6" s="4" t="s">
        <v>50</v>
      </c>
      <c r="AI6" s="4" t="s">
        <v>51</v>
      </c>
      <c r="AJ6" s="4" t="s">
        <v>52</v>
      </c>
      <c r="AK6" s="4" t="s">
        <v>53</v>
      </c>
      <c r="AL6" s="4" t="s">
        <v>54</v>
      </c>
      <c r="AM6" s="4" t="s">
        <v>36</v>
      </c>
      <c r="AN6" s="4" t="s">
        <v>45</v>
      </c>
      <c r="AO6" s="4" t="s">
        <v>55</v>
      </c>
      <c r="AP6" s="4">
        <v>42519.0</v>
      </c>
      <c r="AQ6" s="4">
        <v>36150.0</v>
      </c>
      <c r="AR6" s="4">
        <v>55650.0</v>
      </c>
      <c r="AS6" s="4">
        <v>19500.0</v>
      </c>
      <c r="AT6" s="4">
        <v>42.0</v>
      </c>
      <c r="AU6" s="4">
        <v>2337300.0</v>
      </c>
      <c r="AV6" s="4">
        <v>0.07</v>
      </c>
      <c r="AW6" s="4">
        <v>163611.0</v>
      </c>
      <c r="AX6" s="4">
        <v>2173689.0</v>
      </c>
      <c r="AY6" s="4">
        <v>1518300.0</v>
      </c>
      <c r="AZ6" s="4">
        <v>655389.0</v>
      </c>
    </row>
    <row r="7">
      <c r="A7" s="3" t="s">
        <v>57</v>
      </c>
      <c r="B7" s="5">
        <v>42518.0</v>
      </c>
      <c r="C7" s="6">
        <f t="shared" si="1"/>
        <v>2016</v>
      </c>
      <c r="D7" s="7" t="s">
        <v>58</v>
      </c>
      <c r="E7" s="7" t="s">
        <v>59</v>
      </c>
      <c r="F7" s="7" t="s">
        <v>31</v>
      </c>
      <c r="G7" s="5" t="s">
        <v>32</v>
      </c>
      <c r="H7" s="7" t="s">
        <v>33</v>
      </c>
      <c r="I7" s="7" t="s">
        <v>34</v>
      </c>
      <c r="J7" s="7" t="s">
        <v>60</v>
      </c>
      <c r="K7" s="7" t="s">
        <v>61</v>
      </c>
      <c r="L7" s="7" t="s">
        <v>62</v>
      </c>
      <c r="M7" s="7" t="s">
        <v>63</v>
      </c>
      <c r="N7" s="5">
        <v>42520.0</v>
      </c>
      <c r="O7" s="8">
        <v>1125000.0</v>
      </c>
      <c r="P7" s="8">
        <v>1814550.0</v>
      </c>
      <c r="Q7" s="8">
        <f t="shared" si="2"/>
        <v>689550</v>
      </c>
      <c r="R7" s="8">
        <v>6.0</v>
      </c>
      <c r="S7" s="8">
        <f t="shared" si="3"/>
        <v>10887300</v>
      </c>
      <c r="T7" s="9">
        <v>0.08</v>
      </c>
      <c r="U7" s="8">
        <f t="shared" si="4"/>
        <v>870984</v>
      </c>
      <c r="V7" s="8">
        <f t="shared" si="5"/>
        <v>10016316</v>
      </c>
      <c r="W7" s="10">
        <f t="shared" si="6"/>
        <v>6750000</v>
      </c>
      <c r="X7" s="10">
        <f t="shared" si="7"/>
        <v>3266316</v>
      </c>
      <c r="Y7" s="10"/>
      <c r="Z7" s="10"/>
      <c r="AA7" s="10"/>
      <c r="AB7" s="4" t="s">
        <v>64</v>
      </c>
      <c r="AC7" s="4" t="s">
        <v>57</v>
      </c>
      <c r="AD7" s="4">
        <v>42518.0</v>
      </c>
      <c r="AE7" s="4">
        <v>2016.0</v>
      </c>
      <c r="AF7" s="4" t="s">
        <v>58</v>
      </c>
      <c r="AG7" s="4" t="s">
        <v>59</v>
      </c>
      <c r="AH7" s="4" t="s">
        <v>31</v>
      </c>
      <c r="AI7" s="4" t="s">
        <v>32</v>
      </c>
      <c r="AJ7" s="4" t="s">
        <v>33</v>
      </c>
      <c r="AK7" s="4" t="s">
        <v>34</v>
      </c>
      <c r="AL7" s="4" t="s">
        <v>60</v>
      </c>
      <c r="AM7" s="4" t="s">
        <v>61</v>
      </c>
      <c r="AN7" s="4" t="s">
        <v>62</v>
      </c>
      <c r="AO7" s="4" t="s">
        <v>63</v>
      </c>
      <c r="AP7" s="4">
        <v>42520.0</v>
      </c>
      <c r="AQ7" s="4">
        <v>1125000.0</v>
      </c>
      <c r="AR7" s="4">
        <v>1814550.0</v>
      </c>
      <c r="AS7" s="4">
        <v>689550.0</v>
      </c>
      <c r="AT7" s="4">
        <v>6.0</v>
      </c>
      <c r="AU7" s="4">
        <v>1.08873E7</v>
      </c>
      <c r="AV7" s="4">
        <v>0.08</v>
      </c>
      <c r="AW7" s="4">
        <v>870984.0</v>
      </c>
      <c r="AX7" s="4">
        <v>1.0016316E7</v>
      </c>
      <c r="AY7" s="4">
        <v>6750000.0</v>
      </c>
      <c r="AZ7" s="4">
        <v>3266316.0</v>
      </c>
    </row>
    <row r="8">
      <c r="A8" s="3" t="s">
        <v>65</v>
      </c>
      <c r="B8" s="5">
        <v>42519.0</v>
      </c>
      <c r="C8" s="6">
        <f t="shared" si="1"/>
        <v>2016</v>
      </c>
      <c r="D8" s="7" t="s">
        <v>66</v>
      </c>
      <c r="E8" s="7" t="s">
        <v>67</v>
      </c>
      <c r="F8" s="7" t="s">
        <v>50</v>
      </c>
      <c r="G8" s="5" t="s">
        <v>68</v>
      </c>
      <c r="H8" s="7" t="s">
        <v>69</v>
      </c>
      <c r="I8" s="7" t="s">
        <v>53</v>
      </c>
      <c r="J8" s="7" t="s">
        <v>70</v>
      </c>
      <c r="K8" s="7" t="s">
        <v>36</v>
      </c>
      <c r="L8" s="7" t="s">
        <v>45</v>
      </c>
      <c r="M8" s="7" t="s">
        <v>38</v>
      </c>
      <c r="N8" s="5">
        <v>42520.0</v>
      </c>
      <c r="O8" s="8">
        <v>13500.0</v>
      </c>
      <c r="P8" s="8">
        <v>31500.0</v>
      </c>
      <c r="Q8" s="8">
        <f t="shared" si="2"/>
        <v>18000</v>
      </c>
      <c r="R8" s="8">
        <v>17.0</v>
      </c>
      <c r="S8" s="8">
        <f t="shared" si="3"/>
        <v>535500</v>
      </c>
      <c r="T8" s="9">
        <v>0.03</v>
      </c>
      <c r="U8" s="8">
        <f t="shared" si="4"/>
        <v>16065</v>
      </c>
      <c r="V8" s="8">
        <f t="shared" si="5"/>
        <v>519435</v>
      </c>
      <c r="W8" s="10">
        <f t="shared" si="6"/>
        <v>229500</v>
      </c>
      <c r="X8" s="10">
        <f t="shared" si="7"/>
        <v>289935</v>
      </c>
      <c r="Y8" s="10"/>
      <c r="Z8" s="10"/>
      <c r="AA8" s="10"/>
      <c r="AB8" s="4" t="s">
        <v>71</v>
      </c>
      <c r="AC8" s="4" t="s">
        <v>65</v>
      </c>
      <c r="AD8" s="4">
        <v>42519.0</v>
      </c>
      <c r="AE8" s="4">
        <v>2016.0</v>
      </c>
      <c r="AF8" s="4" t="s">
        <v>66</v>
      </c>
      <c r="AG8" s="4" t="s">
        <v>67</v>
      </c>
      <c r="AH8" s="4" t="s">
        <v>50</v>
      </c>
      <c r="AI8" s="4" t="s">
        <v>68</v>
      </c>
      <c r="AJ8" s="4" t="s">
        <v>69</v>
      </c>
      <c r="AK8" s="4" t="s">
        <v>53</v>
      </c>
      <c r="AL8" s="4" t="s">
        <v>70</v>
      </c>
      <c r="AM8" s="4" t="s">
        <v>36</v>
      </c>
      <c r="AN8" s="4" t="s">
        <v>45</v>
      </c>
      <c r="AO8" s="4" t="s">
        <v>38</v>
      </c>
      <c r="AP8" s="4">
        <v>42520.0</v>
      </c>
      <c r="AQ8" s="4">
        <v>13500.0</v>
      </c>
      <c r="AR8" s="4">
        <v>31500.0</v>
      </c>
      <c r="AS8" s="4">
        <v>18000.0</v>
      </c>
      <c r="AT8" s="4">
        <v>17.0</v>
      </c>
      <c r="AU8" s="4">
        <v>535500.0</v>
      </c>
      <c r="AV8" s="4">
        <v>0.03</v>
      </c>
      <c r="AW8" s="4">
        <v>16065.0</v>
      </c>
      <c r="AX8" s="4">
        <v>519435.0</v>
      </c>
      <c r="AY8" s="4">
        <v>229500.0</v>
      </c>
      <c r="AZ8" s="4">
        <v>289935.0</v>
      </c>
    </row>
    <row r="9">
      <c r="A9" s="3" t="s">
        <v>72</v>
      </c>
      <c r="B9" s="5">
        <v>42522.0</v>
      </c>
      <c r="C9" s="6">
        <f t="shared" si="1"/>
        <v>2016</v>
      </c>
      <c r="D9" s="7" t="s">
        <v>73</v>
      </c>
      <c r="E9" s="7" t="s">
        <v>59</v>
      </c>
      <c r="F9" s="7" t="s">
        <v>31</v>
      </c>
      <c r="G9" s="5" t="s">
        <v>32</v>
      </c>
      <c r="H9" s="7" t="s">
        <v>33</v>
      </c>
      <c r="I9" s="7" t="s">
        <v>74</v>
      </c>
      <c r="J9" s="7" t="s">
        <v>75</v>
      </c>
      <c r="K9" s="7" t="s">
        <v>36</v>
      </c>
      <c r="L9" s="7" t="s">
        <v>45</v>
      </c>
      <c r="M9" s="7" t="s">
        <v>38</v>
      </c>
      <c r="N9" s="5">
        <v>42527.0</v>
      </c>
      <c r="O9" s="8">
        <v>16350.000000000002</v>
      </c>
      <c r="P9" s="8">
        <v>39000.0</v>
      </c>
      <c r="Q9" s="8">
        <f t="shared" si="2"/>
        <v>22650</v>
      </c>
      <c r="R9" s="8">
        <v>47.0</v>
      </c>
      <c r="S9" s="8">
        <f t="shared" si="3"/>
        <v>1833000</v>
      </c>
      <c r="T9" s="9">
        <v>0.1</v>
      </c>
      <c r="U9" s="8">
        <f t="shared" si="4"/>
        <v>183300</v>
      </c>
      <c r="V9" s="8">
        <f t="shared" si="5"/>
        <v>1649700</v>
      </c>
      <c r="W9" s="10">
        <f t="shared" si="6"/>
        <v>768450</v>
      </c>
      <c r="X9" s="10">
        <f t="shared" si="7"/>
        <v>881250</v>
      </c>
      <c r="Y9" s="10"/>
      <c r="Z9" s="10"/>
      <c r="AA9" s="10"/>
      <c r="AB9" s="4" t="s">
        <v>76</v>
      </c>
      <c r="AC9" s="4" t="s">
        <v>72</v>
      </c>
      <c r="AD9" s="4">
        <v>42522.0</v>
      </c>
      <c r="AE9" s="4">
        <v>2016.0</v>
      </c>
      <c r="AF9" s="4" t="s">
        <v>73</v>
      </c>
      <c r="AG9" s="4" t="s">
        <v>59</v>
      </c>
      <c r="AH9" s="4" t="s">
        <v>31</v>
      </c>
      <c r="AI9" s="4" t="s">
        <v>32</v>
      </c>
      <c r="AJ9" s="4" t="s">
        <v>33</v>
      </c>
      <c r="AK9" s="4" t="s">
        <v>74</v>
      </c>
      <c r="AL9" s="4" t="s">
        <v>75</v>
      </c>
      <c r="AM9" s="4" t="s">
        <v>36</v>
      </c>
      <c r="AN9" s="4" t="s">
        <v>45</v>
      </c>
      <c r="AO9" s="4" t="s">
        <v>38</v>
      </c>
      <c r="AP9" s="4">
        <v>42527.0</v>
      </c>
      <c r="AQ9" s="4">
        <v>16350.0</v>
      </c>
      <c r="AR9" s="4">
        <v>39000.0</v>
      </c>
      <c r="AS9" s="4">
        <v>22650.0</v>
      </c>
      <c r="AT9" s="4">
        <v>47.0</v>
      </c>
      <c r="AU9" s="4">
        <v>1833000.0</v>
      </c>
      <c r="AV9" s="4">
        <v>0.1</v>
      </c>
      <c r="AW9" s="4">
        <v>183300.0</v>
      </c>
      <c r="AX9" s="4">
        <v>1649700.0</v>
      </c>
      <c r="AY9" s="4">
        <v>768450.0</v>
      </c>
      <c r="AZ9" s="4">
        <v>881250.0</v>
      </c>
    </row>
    <row r="10">
      <c r="A10" s="3" t="s">
        <v>77</v>
      </c>
      <c r="B10" s="5">
        <v>42523.0</v>
      </c>
      <c r="C10" s="6">
        <f t="shared" si="1"/>
        <v>2016</v>
      </c>
      <c r="D10" s="7" t="s">
        <v>78</v>
      </c>
      <c r="E10" s="7" t="s">
        <v>79</v>
      </c>
      <c r="F10" s="7" t="s">
        <v>50</v>
      </c>
      <c r="G10" s="5" t="s">
        <v>51</v>
      </c>
      <c r="H10" s="7" t="s">
        <v>80</v>
      </c>
      <c r="I10" s="7" t="s">
        <v>53</v>
      </c>
      <c r="J10" s="7" t="s">
        <v>81</v>
      </c>
      <c r="K10" s="7" t="s">
        <v>36</v>
      </c>
      <c r="L10" s="7" t="s">
        <v>37</v>
      </c>
      <c r="M10" s="7" t="s">
        <v>38</v>
      </c>
      <c r="N10" s="5">
        <v>42525.0</v>
      </c>
      <c r="O10" s="8">
        <v>1490850.0</v>
      </c>
      <c r="P10" s="8">
        <v>2443950.0</v>
      </c>
      <c r="Q10" s="8">
        <f t="shared" si="2"/>
        <v>953100</v>
      </c>
      <c r="R10" s="8">
        <v>32.0</v>
      </c>
      <c r="S10" s="8">
        <f t="shared" si="3"/>
        <v>78206400</v>
      </c>
      <c r="T10" s="9">
        <v>0.09</v>
      </c>
      <c r="U10" s="8">
        <f t="shared" si="4"/>
        <v>7038576</v>
      </c>
      <c r="V10" s="8">
        <f t="shared" si="5"/>
        <v>71167824</v>
      </c>
      <c r="W10" s="10">
        <f t="shared" si="6"/>
        <v>47707200</v>
      </c>
      <c r="X10" s="10">
        <f t="shared" si="7"/>
        <v>23460624</v>
      </c>
      <c r="Y10" s="10"/>
      <c r="Z10" s="10"/>
      <c r="AA10" s="10"/>
      <c r="AB10" s="4" t="s">
        <v>82</v>
      </c>
      <c r="AC10" s="4" t="s">
        <v>77</v>
      </c>
      <c r="AD10" s="4">
        <v>42523.0</v>
      </c>
      <c r="AE10" s="4">
        <v>2016.0</v>
      </c>
      <c r="AF10" s="4" t="s">
        <v>78</v>
      </c>
      <c r="AG10" s="4" t="s">
        <v>79</v>
      </c>
      <c r="AH10" s="4" t="s">
        <v>50</v>
      </c>
      <c r="AI10" s="4" t="s">
        <v>51</v>
      </c>
      <c r="AJ10" s="4" t="s">
        <v>80</v>
      </c>
      <c r="AK10" s="4" t="s">
        <v>53</v>
      </c>
      <c r="AL10" s="4" t="s">
        <v>81</v>
      </c>
      <c r="AM10" s="4" t="s">
        <v>36</v>
      </c>
      <c r="AN10" s="4" t="s">
        <v>37</v>
      </c>
      <c r="AO10" s="4" t="s">
        <v>38</v>
      </c>
      <c r="AP10" s="4">
        <v>42525.0</v>
      </c>
      <c r="AQ10" s="4">
        <v>1490850.0</v>
      </c>
      <c r="AR10" s="4">
        <v>2443950.0</v>
      </c>
      <c r="AS10" s="4">
        <v>953100.0</v>
      </c>
      <c r="AT10" s="4">
        <v>32.0</v>
      </c>
      <c r="AU10" s="4">
        <v>7.82064E7</v>
      </c>
      <c r="AV10" s="4">
        <v>0.09</v>
      </c>
      <c r="AW10" s="4">
        <v>7038576.0</v>
      </c>
      <c r="AX10" s="4">
        <v>7.1167824E7</v>
      </c>
      <c r="AY10" s="4">
        <v>4.77072E7</v>
      </c>
      <c r="AZ10" s="4">
        <v>2.3460624E7</v>
      </c>
    </row>
    <row r="11">
      <c r="A11" s="3" t="s">
        <v>83</v>
      </c>
      <c r="B11" s="5">
        <v>42525.0</v>
      </c>
      <c r="C11" s="6">
        <f t="shared" si="1"/>
        <v>2016</v>
      </c>
      <c r="D11" s="7" t="s">
        <v>84</v>
      </c>
      <c r="E11" s="7" t="s">
        <v>85</v>
      </c>
      <c r="F11" s="7" t="s">
        <v>50</v>
      </c>
      <c r="G11" s="5" t="s">
        <v>68</v>
      </c>
      <c r="H11" s="7" t="s">
        <v>80</v>
      </c>
      <c r="I11" s="7" t="s">
        <v>53</v>
      </c>
      <c r="J11" s="7" t="s">
        <v>86</v>
      </c>
      <c r="K11" s="7" t="s">
        <v>36</v>
      </c>
      <c r="L11" s="7" t="s">
        <v>45</v>
      </c>
      <c r="M11" s="7" t="s">
        <v>38</v>
      </c>
      <c r="N11" s="5">
        <v>42527.0</v>
      </c>
      <c r="O11" s="8">
        <v>16350.000000000002</v>
      </c>
      <c r="P11" s="8">
        <v>25200.0</v>
      </c>
      <c r="Q11" s="8">
        <f t="shared" si="2"/>
        <v>8850</v>
      </c>
      <c r="R11" s="8">
        <v>33.0</v>
      </c>
      <c r="S11" s="8">
        <f t="shared" si="3"/>
        <v>831600</v>
      </c>
      <c r="T11" s="9">
        <v>0.04</v>
      </c>
      <c r="U11" s="8">
        <f t="shared" si="4"/>
        <v>33264</v>
      </c>
      <c r="V11" s="8">
        <f t="shared" si="5"/>
        <v>798336</v>
      </c>
      <c r="W11" s="10">
        <f t="shared" si="6"/>
        <v>539550</v>
      </c>
      <c r="X11" s="10">
        <f t="shared" si="7"/>
        <v>258786</v>
      </c>
      <c r="Y11" s="10"/>
      <c r="Z11" s="10"/>
      <c r="AA11" s="10"/>
      <c r="AB11" s="4" t="s">
        <v>87</v>
      </c>
      <c r="AC11" s="4" t="s">
        <v>83</v>
      </c>
      <c r="AD11" s="4">
        <v>42525.0</v>
      </c>
      <c r="AE11" s="4">
        <v>2016.0</v>
      </c>
      <c r="AF11" s="4" t="s">
        <v>84</v>
      </c>
      <c r="AG11" s="4" t="s">
        <v>85</v>
      </c>
      <c r="AH11" s="4" t="s">
        <v>50</v>
      </c>
      <c r="AI11" s="4" t="s">
        <v>68</v>
      </c>
      <c r="AJ11" s="4" t="s">
        <v>80</v>
      </c>
      <c r="AK11" s="4" t="s">
        <v>53</v>
      </c>
      <c r="AL11" s="4" t="s">
        <v>86</v>
      </c>
      <c r="AM11" s="4" t="s">
        <v>36</v>
      </c>
      <c r="AN11" s="4" t="s">
        <v>45</v>
      </c>
      <c r="AO11" s="4" t="s">
        <v>38</v>
      </c>
      <c r="AP11" s="4">
        <v>42527.0</v>
      </c>
      <c r="AQ11" s="4">
        <v>16350.0</v>
      </c>
      <c r="AR11" s="4">
        <v>25200.0</v>
      </c>
      <c r="AS11" s="4">
        <v>8850.0</v>
      </c>
      <c r="AT11" s="4">
        <v>33.0</v>
      </c>
      <c r="AU11" s="4">
        <v>831600.0</v>
      </c>
      <c r="AV11" s="4">
        <v>0.04</v>
      </c>
      <c r="AW11" s="4">
        <v>33264.0</v>
      </c>
      <c r="AX11" s="4">
        <v>798336.0</v>
      </c>
      <c r="AY11" s="4">
        <v>539550.0</v>
      </c>
      <c r="AZ11" s="4">
        <v>258786.0</v>
      </c>
    </row>
    <row r="12">
      <c r="A12" s="3" t="s">
        <v>88</v>
      </c>
      <c r="B12" s="5">
        <v>42527.0</v>
      </c>
      <c r="C12" s="6">
        <f t="shared" si="1"/>
        <v>2016</v>
      </c>
      <c r="D12" s="7" t="s">
        <v>89</v>
      </c>
      <c r="E12" s="7" t="s">
        <v>90</v>
      </c>
      <c r="F12" s="7" t="s">
        <v>50</v>
      </c>
      <c r="G12" s="5" t="s">
        <v>91</v>
      </c>
      <c r="H12" s="7" t="s">
        <v>52</v>
      </c>
      <c r="I12" s="7" t="s">
        <v>92</v>
      </c>
      <c r="J12" s="7" t="s">
        <v>93</v>
      </c>
      <c r="K12" s="7" t="s">
        <v>36</v>
      </c>
      <c r="L12" s="7" t="s">
        <v>37</v>
      </c>
      <c r="M12" s="7" t="s">
        <v>38</v>
      </c>
      <c r="N12" s="5">
        <v>42528.0</v>
      </c>
      <c r="O12" s="8">
        <v>814350.0</v>
      </c>
      <c r="P12" s="8">
        <v>1357200.0</v>
      </c>
      <c r="Q12" s="8">
        <f t="shared" si="2"/>
        <v>542850</v>
      </c>
      <c r="R12" s="8">
        <v>8.0</v>
      </c>
      <c r="S12" s="8">
        <f t="shared" si="3"/>
        <v>10857600</v>
      </c>
      <c r="T12" s="9">
        <v>0.07</v>
      </c>
      <c r="U12" s="8">
        <f t="shared" si="4"/>
        <v>760032</v>
      </c>
      <c r="V12" s="8">
        <f t="shared" si="5"/>
        <v>10097568</v>
      </c>
      <c r="W12" s="10">
        <f t="shared" si="6"/>
        <v>6514800</v>
      </c>
      <c r="X12" s="10">
        <f t="shared" si="7"/>
        <v>3582768</v>
      </c>
      <c r="Y12" s="10"/>
      <c r="Z12" s="10"/>
      <c r="AA12" s="10"/>
      <c r="AB12" s="4" t="s">
        <v>94</v>
      </c>
      <c r="AC12" s="4" t="s">
        <v>88</v>
      </c>
      <c r="AD12" s="4">
        <v>42527.0</v>
      </c>
      <c r="AE12" s="4">
        <v>2016.0</v>
      </c>
      <c r="AF12" s="4" t="s">
        <v>89</v>
      </c>
      <c r="AG12" s="4" t="s">
        <v>90</v>
      </c>
      <c r="AH12" s="4" t="s">
        <v>50</v>
      </c>
      <c r="AI12" s="4" t="s">
        <v>91</v>
      </c>
      <c r="AJ12" s="4" t="s">
        <v>52</v>
      </c>
      <c r="AK12" s="4" t="s">
        <v>92</v>
      </c>
      <c r="AL12" s="4" t="s">
        <v>93</v>
      </c>
      <c r="AM12" s="4" t="s">
        <v>36</v>
      </c>
      <c r="AN12" s="4" t="s">
        <v>37</v>
      </c>
      <c r="AO12" s="4" t="s">
        <v>38</v>
      </c>
      <c r="AP12" s="4">
        <v>42528.0</v>
      </c>
      <c r="AQ12" s="4">
        <v>814350.0</v>
      </c>
      <c r="AR12" s="4">
        <v>1357200.0</v>
      </c>
      <c r="AS12" s="4">
        <v>542850.0</v>
      </c>
      <c r="AT12" s="4">
        <v>8.0</v>
      </c>
      <c r="AU12" s="4">
        <v>1.08576E7</v>
      </c>
      <c r="AV12" s="4">
        <v>0.07</v>
      </c>
      <c r="AW12" s="4">
        <v>760032.0</v>
      </c>
      <c r="AX12" s="4">
        <v>1.0097568E7</v>
      </c>
      <c r="AY12" s="4">
        <v>6514800.0</v>
      </c>
      <c r="AZ12" s="4">
        <v>3582768.0</v>
      </c>
    </row>
    <row r="13">
      <c r="A13" s="3" t="s">
        <v>95</v>
      </c>
      <c r="B13" s="5">
        <v>42528.0</v>
      </c>
      <c r="C13" s="6">
        <f t="shared" si="1"/>
        <v>2016</v>
      </c>
      <c r="D13" s="7" t="s">
        <v>96</v>
      </c>
      <c r="E13" s="7" t="s">
        <v>97</v>
      </c>
      <c r="F13" s="7" t="s">
        <v>50</v>
      </c>
      <c r="G13" s="5" t="s">
        <v>51</v>
      </c>
      <c r="H13" s="7" t="s">
        <v>98</v>
      </c>
      <c r="I13" s="7" t="s">
        <v>92</v>
      </c>
      <c r="J13" s="7" t="s">
        <v>99</v>
      </c>
      <c r="K13" s="7" t="s">
        <v>36</v>
      </c>
      <c r="L13" s="7" t="s">
        <v>37</v>
      </c>
      <c r="M13" s="7" t="s">
        <v>38</v>
      </c>
      <c r="N13" s="5">
        <v>42528.0</v>
      </c>
      <c r="O13" s="8">
        <v>79950.0</v>
      </c>
      <c r="P13" s="8">
        <v>129000.0</v>
      </c>
      <c r="Q13" s="8">
        <f t="shared" si="2"/>
        <v>49050</v>
      </c>
      <c r="R13" s="8">
        <v>48.0</v>
      </c>
      <c r="S13" s="8">
        <f t="shared" si="3"/>
        <v>6192000</v>
      </c>
      <c r="T13" s="9">
        <v>0.0</v>
      </c>
      <c r="U13" s="8">
        <f t="shared" si="4"/>
        <v>0</v>
      </c>
      <c r="V13" s="8">
        <f t="shared" si="5"/>
        <v>6192000</v>
      </c>
      <c r="W13" s="10">
        <f t="shared" si="6"/>
        <v>3837600</v>
      </c>
      <c r="X13" s="10">
        <f t="shared" si="7"/>
        <v>2354400</v>
      </c>
      <c r="Y13" s="10"/>
      <c r="Z13" s="10"/>
      <c r="AA13" s="10"/>
      <c r="AB13" s="4" t="s">
        <v>100</v>
      </c>
      <c r="AC13" s="4" t="s">
        <v>95</v>
      </c>
      <c r="AD13" s="4">
        <v>42528.0</v>
      </c>
      <c r="AE13" s="4">
        <v>2016.0</v>
      </c>
      <c r="AF13" s="4" t="s">
        <v>96</v>
      </c>
      <c r="AG13" s="4" t="s">
        <v>97</v>
      </c>
      <c r="AH13" s="4" t="s">
        <v>50</v>
      </c>
      <c r="AI13" s="4" t="s">
        <v>51</v>
      </c>
      <c r="AJ13" s="4" t="s">
        <v>98</v>
      </c>
      <c r="AK13" s="4" t="s">
        <v>92</v>
      </c>
      <c r="AL13" s="4" t="s">
        <v>99</v>
      </c>
      <c r="AM13" s="4" t="s">
        <v>36</v>
      </c>
      <c r="AN13" s="4" t="s">
        <v>37</v>
      </c>
      <c r="AO13" s="4" t="s">
        <v>38</v>
      </c>
      <c r="AP13" s="4">
        <v>42528.0</v>
      </c>
      <c r="AQ13" s="4">
        <v>79950.0</v>
      </c>
      <c r="AR13" s="4">
        <v>129000.0</v>
      </c>
      <c r="AS13" s="4">
        <v>49050.0</v>
      </c>
      <c r="AT13" s="4">
        <v>48.0</v>
      </c>
      <c r="AU13" s="4">
        <v>6192000.0</v>
      </c>
      <c r="AV13" s="4">
        <v>0.0</v>
      </c>
      <c r="AW13" s="4">
        <v>0.0</v>
      </c>
      <c r="AX13" s="4">
        <v>6192000.0</v>
      </c>
      <c r="AY13" s="4">
        <v>3837600.0</v>
      </c>
      <c r="AZ13" s="4">
        <v>2354400.0</v>
      </c>
    </row>
    <row r="14">
      <c r="A14" s="3" t="s">
        <v>101</v>
      </c>
      <c r="B14" s="5">
        <v>42530.0</v>
      </c>
      <c r="C14" s="6">
        <f t="shared" si="1"/>
        <v>2016</v>
      </c>
      <c r="D14" s="7" t="s">
        <v>102</v>
      </c>
      <c r="E14" s="7" t="s">
        <v>103</v>
      </c>
      <c r="F14" s="7" t="s">
        <v>31</v>
      </c>
      <c r="G14" s="5" t="s">
        <v>51</v>
      </c>
      <c r="H14" s="7" t="s">
        <v>43</v>
      </c>
      <c r="I14" s="7" t="s">
        <v>104</v>
      </c>
      <c r="J14" s="7" t="s">
        <v>105</v>
      </c>
      <c r="K14" s="7" t="s">
        <v>36</v>
      </c>
      <c r="L14" s="7" t="s">
        <v>37</v>
      </c>
      <c r="M14" s="7" t="s">
        <v>38</v>
      </c>
      <c r="N14" s="5">
        <v>42532.0</v>
      </c>
      <c r="O14" s="8">
        <v>73350.0</v>
      </c>
      <c r="P14" s="8">
        <v>114600.0</v>
      </c>
      <c r="Q14" s="8">
        <f t="shared" si="2"/>
        <v>41250</v>
      </c>
      <c r="R14" s="8">
        <v>18.0</v>
      </c>
      <c r="S14" s="8">
        <f t="shared" si="3"/>
        <v>2062800</v>
      </c>
      <c r="T14" s="9">
        <v>0.1</v>
      </c>
      <c r="U14" s="8">
        <f t="shared" si="4"/>
        <v>206280</v>
      </c>
      <c r="V14" s="8">
        <f t="shared" si="5"/>
        <v>1856520</v>
      </c>
      <c r="W14" s="10">
        <f t="shared" si="6"/>
        <v>1320300</v>
      </c>
      <c r="X14" s="10">
        <f t="shared" si="7"/>
        <v>536220</v>
      </c>
      <c r="Y14" s="10"/>
      <c r="Z14" s="10"/>
      <c r="AA14" s="10"/>
      <c r="AB14" s="4" t="s">
        <v>106</v>
      </c>
      <c r="AC14" s="4" t="s">
        <v>101</v>
      </c>
      <c r="AD14" s="4">
        <v>42530.0</v>
      </c>
      <c r="AE14" s="4">
        <v>2016.0</v>
      </c>
      <c r="AF14" s="4" t="s">
        <v>102</v>
      </c>
      <c r="AG14" s="4" t="s">
        <v>103</v>
      </c>
      <c r="AH14" s="4" t="s">
        <v>31</v>
      </c>
      <c r="AI14" s="4" t="s">
        <v>51</v>
      </c>
      <c r="AJ14" s="4" t="s">
        <v>43</v>
      </c>
      <c r="AK14" s="4" t="s">
        <v>104</v>
      </c>
      <c r="AL14" s="4" t="s">
        <v>105</v>
      </c>
      <c r="AM14" s="4" t="s">
        <v>36</v>
      </c>
      <c r="AN14" s="4" t="s">
        <v>37</v>
      </c>
      <c r="AO14" s="4" t="s">
        <v>38</v>
      </c>
      <c r="AP14" s="4">
        <v>42532.0</v>
      </c>
      <c r="AQ14" s="4">
        <v>73350.0</v>
      </c>
      <c r="AR14" s="4">
        <v>114600.0</v>
      </c>
      <c r="AS14" s="4">
        <v>41250.0</v>
      </c>
      <c r="AT14" s="4">
        <v>18.0</v>
      </c>
      <c r="AU14" s="4">
        <v>2062800.0</v>
      </c>
      <c r="AV14" s="4">
        <v>0.1</v>
      </c>
      <c r="AW14" s="4">
        <v>206280.0</v>
      </c>
      <c r="AX14" s="4">
        <v>1856520.0</v>
      </c>
      <c r="AY14" s="4">
        <v>1320300.0</v>
      </c>
      <c r="AZ14" s="4">
        <v>536220.0</v>
      </c>
    </row>
    <row r="15">
      <c r="A15" s="3" t="s">
        <v>107</v>
      </c>
      <c r="B15" s="5">
        <v>42530.0</v>
      </c>
      <c r="C15" s="6">
        <f t="shared" si="1"/>
        <v>2016</v>
      </c>
      <c r="D15" s="7" t="s">
        <v>108</v>
      </c>
      <c r="E15" s="7" t="s">
        <v>109</v>
      </c>
      <c r="F15" s="7" t="s">
        <v>50</v>
      </c>
      <c r="G15" s="5" t="s">
        <v>51</v>
      </c>
      <c r="H15" s="7" t="s">
        <v>110</v>
      </c>
      <c r="I15" s="7" t="s">
        <v>104</v>
      </c>
      <c r="J15" s="7" t="s">
        <v>93</v>
      </c>
      <c r="K15" s="7" t="s">
        <v>36</v>
      </c>
      <c r="L15" s="7" t="s">
        <v>37</v>
      </c>
      <c r="M15" s="7" t="s">
        <v>38</v>
      </c>
      <c r="N15" s="5">
        <v>42532.0</v>
      </c>
      <c r="O15" s="8">
        <v>814350.0</v>
      </c>
      <c r="P15" s="8">
        <v>1357200.0</v>
      </c>
      <c r="Q15" s="8">
        <f t="shared" si="2"/>
        <v>542850</v>
      </c>
      <c r="R15" s="8">
        <v>3.0</v>
      </c>
      <c r="S15" s="8">
        <f t="shared" si="3"/>
        <v>4071600</v>
      </c>
      <c r="T15" s="9">
        <v>0.03</v>
      </c>
      <c r="U15" s="8">
        <f t="shared" si="4"/>
        <v>122148</v>
      </c>
      <c r="V15" s="8">
        <f t="shared" si="5"/>
        <v>3949452</v>
      </c>
      <c r="W15" s="10">
        <f t="shared" si="6"/>
        <v>2443050</v>
      </c>
      <c r="X15" s="10">
        <f t="shared" si="7"/>
        <v>1506402</v>
      </c>
      <c r="Y15" s="10"/>
      <c r="Z15" s="10"/>
      <c r="AA15" s="10"/>
      <c r="AB15" s="4" t="s">
        <v>111</v>
      </c>
      <c r="AC15" s="4" t="s">
        <v>107</v>
      </c>
      <c r="AD15" s="4">
        <v>42530.0</v>
      </c>
      <c r="AE15" s="4">
        <v>2016.0</v>
      </c>
      <c r="AF15" s="4" t="s">
        <v>108</v>
      </c>
      <c r="AG15" s="4" t="s">
        <v>109</v>
      </c>
      <c r="AH15" s="4" t="s">
        <v>50</v>
      </c>
      <c r="AI15" s="4" t="s">
        <v>51</v>
      </c>
      <c r="AJ15" s="4" t="s">
        <v>110</v>
      </c>
      <c r="AK15" s="4" t="s">
        <v>104</v>
      </c>
      <c r="AL15" s="4" t="s">
        <v>93</v>
      </c>
      <c r="AM15" s="4" t="s">
        <v>36</v>
      </c>
      <c r="AN15" s="4" t="s">
        <v>37</v>
      </c>
      <c r="AO15" s="4" t="s">
        <v>38</v>
      </c>
      <c r="AP15" s="4">
        <v>42532.0</v>
      </c>
      <c r="AQ15" s="4">
        <v>814350.0</v>
      </c>
      <c r="AR15" s="4">
        <v>1357200.0</v>
      </c>
      <c r="AS15" s="4">
        <v>542850.0</v>
      </c>
      <c r="AT15" s="4">
        <v>3.0</v>
      </c>
      <c r="AU15" s="4">
        <v>4071600.0</v>
      </c>
      <c r="AV15" s="4">
        <v>0.03</v>
      </c>
      <c r="AW15" s="4">
        <v>122148.0</v>
      </c>
      <c r="AX15" s="4">
        <v>3949452.0</v>
      </c>
      <c r="AY15" s="4">
        <v>2443050.0</v>
      </c>
      <c r="AZ15" s="4">
        <v>1506402.0</v>
      </c>
    </row>
    <row r="16">
      <c r="A16" s="3" t="s">
        <v>112</v>
      </c>
      <c r="B16" s="5">
        <v>42531.0</v>
      </c>
      <c r="C16" s="6">
        <f t="shared" si="1"/>
        <v>2016</v>
      </c>
      <c r="D16" s="7" t="s">
        <v>113</v>
      </c>
      <c r="E16" s="7" t="s">
        <v>114</v>
      </c>
      <c r="F16" s="7" t="s">
        <v>50</v>
      </c>
      <c r="G16" s="5" t="s">
        <v>51</v>
      </c>
      <c r="H16" s="7" t="s">
        <v>80</v>
      </c>
      <c r="I16" s="7" t="s">
        <v>34</v>
      </c>
      <c r="J16" s="7" t="s">
        <v>115</v>
      </c>
      <c r="K16" s="7" t="s">
        <v>36</v>
      </c>
      <c r="L16" s="7" t="s">
        <v>37</v>
      </c>
      <c r="M16" s="7" t="s">
        <v>38</v>
      </c>
      <c r="N16" s="5">
        <v>42531.0</v>
      </c>
      <c r="O16" s="8">
        <v>540300.0</v>
      </c>
      <c r="P16" s="8">
        <v>871500.0</v>
      </c>
      <c r="Q16" s="8">
        <f t="shared" si="2"/>
        <v>331200</v>
      </c>
      <c r="R16" s="8">
        <v>50.0</v>
      </c>
      <c r="S16" s="8">
        <f t="shared" si="3"/>
        <v>43575000</v>
      </c>
      <c r="T16" s="9">
        <v>0.05</v>
      </c>
      <c r="U16" s="8">
        <f t="shared" si="4"/>
        <v>2178750</v>
      </c>
      <c r="V16" s="8">
        <f t="shared" si="5"/>
        <v>41396250</v>
      </c>
      <c r="W16" s="10">
        <f t="shared" si="6"/>
        <v>27015000</v>
      </c>
      <c r="X16" s="10">
        <f t="shared" si="7"/>
        <v>14381250</v>
      </c>
      <c r="Y16" s="10"/>
      <c r="Z16" s="10"/>
      <c r="AA16" s="10"/>
      <c r="AB16" s="4" t="s">
        <v>116</v>
      </c>
      <c r="AC16" s="4" t="s">
        <v>112</v>
      </c>
      <c r="AD16" s="4">
        <v>42531.0</v>
      </c>
      <c r="AE16" s="4">
        <v>2016.0</v>
      </c>
      <c r="AF16" s="4" t="s">
        <v>113</v>
      </c>
      <c r="AG16" s="4" t="s">
        <v>114</v>
      </c>
      <c r="AH16" s="4" t="s">
        <v>50</v>
      </c>
      <c r="AI16" s="4" t="s">
        <v>51</v>
      </c>
      <c r="AJ16" s="4" t="s">
        <v>80</v>
      </c>
      <c r="AK16" s="4" t="s">
        <v>34</v>
      </c>
      <c r="AL16" s="4" t="s">
        <v>115</v>
      </c>
      <c r="AM16" s="4" t="s">
        <v>36</v>
      </c>
      <c r="AN16" s="4" t="s">
        <v>37</v>
      </c>
      <c r="AO16" s="4" t="s">
        <v>38</v>
      </c>
      <c r="AP16" s="4">
        <v>42531.0</v>
      </c>
      <c r="AQ16" s="4">
        <v>540300.0</v>
      </c>
      <c r="AR16" s="4">
        <v>871500.0</v>
      </c>
      <c r="AS16" s="4">
        <v>331200.0</v>
      </c>
      <c r="AT16" s="4">
        <v>50.0</v>
      </c>
      <c r="AU16" s="4">
        <v>4.3575E7</v>
      </c>
      <c r="AV16" s="4">
        <v>0.05</v>
      </c>
      <c r="AW16" s="4">
        <v>2178750.0</v>
      </c>
      <c r="AX16" s="4">
        <v>4.139625E7</v>
      </c>
      <c r="AY16" s="4">
        <v>2.7015E7</v>
      </c>
      <c r="AZ16" s="4">
        <v>1.438125E7</v>
      </c>
    </row>
    <row r="17">
      <c r="A17" s="3" t="s">
        <v>117</v>
      </c>
      <c r="B17" s="5">
        <v>42540.0</v>
      </c>
      <c r="C17" s="6">
        <f t="shared" si="1"/>
        <v>2016</v>
      </c>
      <c r="D17" s="7" t="s">
        <v>118</v>
      </c>
      <c r="E17" s="7" t="s">
        <v>119</v>
      </c>
      <c r="F17" s="7" t="s">
        <v>31</v>
      </c>
      <c r="G17" s="5" t="s">
        <v>51</v>
      </c>
      <c r="H17" s="7" t="s">
        <v>33</v>
      </c>
      <c r="I17" s="7" t="s">
        <v>53</v>
      </c>
      <c r="J17" s="7" t="s">
        <v>120</v>
      </c>
      <c r="K17" s="7" t="s">
        <v>36</v>
      </c>
      <c r="L17" s="7" t="s">
        <v>45</v>
      </c>
      <c r="M17" s="7" t="s">
        <v>38</v>
      </c>
      <c r="N17" s="5">
        <v>42543.0</v>
      </c>
      <c r="O17" s="8">
        <v>10650.0</v>
      </c>
      <c r="P17" s="8">
        <v>17100.0</v>
      </c>
      <c r="Q17" s="8">
        <f t="shared" si="2"/>
        <v>6450</v>
      </c>
      <c r="R17" s="8">
        <v>50.0</v>
      </c>
      <c r="S17" s="8">
        <f t="shared" si="3"/>
        <v>855000</v>
      </c>
      <c r="T17" s="9">
        <v>0.06</v>
      </c>
      <c r="U17" s="8">
        <f t="shared" si="4"/>
        <v>51300</v>
      </c>
      <c r="V17" s="8">
        <f t="shared" si="5"/>
        <v>803700</v>
      </c>
      <c r="W17" s="10">
        <f t="shared" si="6"/>
        <v>532500</v>
      </c>
      <c r="X17" s="10">
        <f t="shared" si="7"/>
        <v>271200</v>
      </c>
      <c r="Y17" s="10"/>
      <c r="Z17" s="10"/>
      <c r="AA17" s="10"/>
      <c r="AB17" s="4" t="s">
        <v>121</v>
      </c>
      <c r="AC17" s="4" t="s">
        <v>117</v>
      </c>
      <c r="AD17" s="4">
        <v>42540.0</v>
      </c>
      <c r="AE17" s="4">
        <v>2016.0</v>
      </c>
      <c r="AF17" s="4" t="s">
        <v>118</v>
      </c>
      <c r="AG17" s="4" t="s">
        <v>119</v>
      </c>
      <c r="AH17" s="4" t="s">
        <v>31</v>
      </c>
      <c r="AI17" s="4" t="s">
        <v>51</v>
      </c>
      <c r="AJ17" s="4" t="s">
        <v>33</v>
      </c>
      <c r="AK17" s="4" t="s">
        <v>53</v>
      </c>
      <c r="AL17" s="4" t="s">
        <v>120</v>
      </c>
      <c r="AM17" s="4" t="s">
        <v>36</v>
      </c>
      <c r="AN17" s="4" t="s">
        <v>45</v>
      </c>
      <c r="AO17" s="4" t="s">
        <v>38</v>
      </c>
      <c r="AP17" s="4">
        <v>42543.0</v>
      </c>
      <c r="AQ17" s="4">
        <v>10650.0</v>
      </c>
      <c r="AR17" s="4">
        <v>17100.0</v>
      </c>
      <c r="AS17" s="4">
        <v>6450.0</v>
      </c>
      <c r="AT17" s="4">
        <v>50.0</v>
      </c>
      <c r="AU17" s="4">
        <v>855000.0</v>
      </c>
      <c r="AV17" s="4">
        <v>0.06</v>
      </c>
      <c r="AW17" s="4">
        <v>51300.0</v>
      </c>
      <c r="AX17" s="4">
        <v>803700.0</v>
      </c>
      <c r="AY17" s="4">
        <v>532500.0</v>
      </c>
      <c r="AZ17" s="4">
        <v>271200.0</v>
      </c>
    </row>
    <row r="18">
      <c r="A18" s="3" t="s">
        <v>122</v>
      </c>
      <c r="B18" s="5">
        <v>42544.0</v>
      </c>
      <c r="C18" s="6">
        <f t="shared" si="1"/>
        <v>2016</v>
      </c>
      <c r="D18" s="7" t="s">
        <v>123</v>
      </c>
      <c r="E18" s="7" t="s">
        <v>124</v>
      </c>
      <c r="F18" s="7" t="s">
        <v>50</v>
      </c>
      <c r="G18" s="5" t="s">
        <v>32</v>
      </c>
      <c r="H18" s="7" t="s">
        <v>125</v>
      </c>
      <c r="I18" s="7" t="s">
        <v>53</v>
      </c>
      <c r="J18" s="7" t="s">
        <v>126</v>
      </c>
      <c r="K18" s="7" t="s">
        <v>36</v>
      </c>
      <c r="L18" s="7" t="s">
        <v>127</v>
      </c>
      <c r="M18" s="7" t="s">
        <v>38</v>
      </c>
      <c r="N18" s="5">
        <v>42546.0</v>
      </c>
      <c r="O18" s="8">
        <v>51300.0</v>
      </c>
      <c r="P18" s="8">
        <v>125100.0</v>
      </c>
      <c r="Q18" s="8">
        <f t="shared" si="2"/>
        <v>73800</v>
      </c>
      <c r="R18" s="8">
        <v>16.0</v>
      </c>
      <c r="S18" s="8">
        <f t="shared" si="3"/>
        <v>2001600</v>
      </c>
      <c r="T18" s="9">
        <v>0.03</v>
      </c>
      <c r="U18" s="8">
        <f t="shared" si="4"/>
        <v>60048</v>
      </c>
      <c r="V18" s="8">
        <f t="shared" si="5"/>
        <v>1941552</v>
      </c>
      <c r="W18" s="10">
        <f t="shared" si="6"/>
        <v>820800</v>
      </c>
      <c r="X18" s="10">
        <f t="shared" si="7"/>
        <v>1120752</v>
      </c>
      <c r="Y18" s="10"/>
      <c r="Z18" s="10"/>
      <c r="AA18" s="10"/>
      <c r="AB18" s="4" t="s">
        <v>128</v>
      </c>
      <c r="AC18" s="4" t="s">
        <v>122</v>
      </c>
      <c r="AD18" s="4">
        <v>42544.0</v>
      </c>
      <c r="AE18" s="4">
        <v>2016.0</v>
      </c>
      <c r="AF18" s="4" t="s">
        <v>123</v>
      </c>
      <c r="AG18" s="4" t="s">
        <v>124</v>
      </c>
      <c r="AH18" s="4" t="s">
        <v>50</v>
      </c>
      <c r="AI18" s="4" t="s">
        <v>32</v>
      </c>
      <c r="AJ18" s="4" t="s">
        <v>125</v>
      </c>
      <c r="AK18" s="4" t="s">
        <v>53</v>
      </c>
      <c r="AL18" s="4" t="s">
        <v>126</v>
      </c>
      <c r="AM18" s="4" t="s">
        <v>36</v>
      </c>
      <c r="AN18" s="4" t="s">
        <v>127</v>
      </c>
      <c r="AO18" s="4" t="s">
        <v>38</v>
      </c>
      <c r="AP18" s="4">
        <v>42546.0</v>
      </c>
      <c r="AQ18" s="4">
        <v>51300.0</v>
      </c>
      <c r="AR18" s="4">
        <v>125100.0</v>
      </c>
      <c r="AS18" s="4">
        <v>73800.0</v>
      </c>
      <c r="AT18" s="4">
        <v>16.0</v>
      </c>
      <c r="AU18" s="4">
        <v>2001600.0</v>
      </c>
      <c r="AV18" s="4">
        <v>0.03</v>
      </c>
      <c r="AW18" s="4">
        <v>60048.0</v>
      </c>
      <c r="AX18" s="4">
        <v>1941552.0</v>
      </c>
      <c r="AY18" s="4">
        <v>820800.0</v>
      </c>
      <c r="AZ18" s="4">
        <v>1120752.0</v>
      </c>
    </row>
    <row r="19">
      <c r="A19" s="3" t="s">
        <v>129</v>
      </c>
      <c r="B19" s="5">
        <v>42546.0</v>
      </c>
      <c r="C19" s="6">
        <f t="shared" si="1"/>
        <v>2016</v>
      </c>
      <c r="D19" s="7" t="s">
        <v>130</v>
      </c>
      <c r="E19" s="7" t="s">
        <v>103</v>
      </c>
      <c r="F19" s="7" t="s">
        <v>31</v>
      </c>
      <c r="G19" s="5" t="s">
        <v>51</v>
      </c>
      <c r="H19" s="7" t="s">
        <v>43</v>
      </c>
      <c r="I19" s="7" t="s">
        <v>74</v>
      </c>
      <c r="J19" s="7" t="s">
        <v>120</v>
      </c>
      <c r="K19" s="7" t="s">
        <v>36</v>
      </c>
      <c r="L19" s="7" t="s">
        <v>45</v>
      </c>
      <c r="M19" s="7" t="s">
        <v>38</v>
      </c>
      <c r="N19" s="5">
        <v>42546.0</v>
      </c>
      <c r="O19" s="8">
        <v>10650.0</v>
      </c>
      <c r="P19" s="8">
        <v>17100.0</v>
      </c>
      <c r="Q19" s="8">
        <f t="shared" si="2"/>
        <v>6450</v>
      </c>
      <c r="R19" s="8">
        <v>38.0</v>
      </c>
      <c r="S19" s="8">
        <f t="shared" si="3"/>
        <v>649800</v>
      </c>
      <c r="T19" s="9">
        <v>0.02</v>
      </c>
      <c r="U19" s="8">
        <f t="shared" si="4"/>
        <v>12996</v>
      </c>
      <c r="V19" s="8">
        <f t="shared" si="5"/>
        <v>636804</v>
      </c>
      <c r="W19" s="10">
        <f t="shared" si="6"/>
        <v>404700</v>
      </c>
      <c r="X19" s="10">
        <f t="shared" si="7"/>
        <v>232104</v>
      </c>
      <c r="Y19" s="10"/>
      <c r="Z19" s="10"/>
      <c r="AA19" s="10"/>
      <c r="AB19" s="4" t="s">
        <v>131</v>
      </c>
      <c r="AC19" s="4" t="s">
        <v>129</v>
      </c>
      <c r="AD19" s="4">
        <v>42546.0</v>
      </c>
      <c r="AE19" s="4">
        <v>2016.0</v>
      </c>
      <c r="AF19" s="4" t="s">
        <v>130</v>
      </c>
      <c r="AG19" s="4" t="s">
        <v>103</v>
      </c>
      <c r="AH19" s="4" t="s">
        <v>31</v>
      </c>
      <c r="AI19" s="4" t="s">
        <v>51</v>
      </c>
      <c r="AJ19" s="4" t="s">
        <v>43</v>
      </c>
      <c r="AK19" s="4" t="s">
        <v>74</v>
      </c>
      <c r="AL19" s="4" t="s">
        <v>120</v>
      </c>
      <c r="AM19" s="4" t="s">
        <v>36</v>
      </c>
      <c r="AN19" s="4" t="s">
        <v>45</v>
      </c>
      <c r="AO19" s="4" t="s">
        <v>38</v>
      </c>
      <c r="AP19" s="4">
        <v>42546.0</v>
      </c>
      <c r="AQ19" s="4">
        <v>10650.0</v>
      </c>
      <c r="AR19" s="4">
        <v>17100.0</v>
      </c>
      <c r="AS19" s="4">
        <v>6450.0</v>
      </c>
      <c r="AT19" s="4">
        <v>38.0</v>
      </c>
      <c r="AU19" s="4">
        <v>649800.0</v>
      </c>
      <c r="AV19" s="4">
        <v>0.02</v>
      </c>
      <c r="AW19" s="4">
        <v>12996.0</v>
      </c>
      <c r="AX19" s="4">
        <v>636804.0</v>
      </c>
      <c r="AY19" s="4">
        <v>404700.0</v>
      </c>
      <c r="AZ19" s="4">
        <v>232104.0</v>
      </c>
    </row>
    <row r="20">
      <c r="A20" s="3" t="s">
        <v>132</v>
      </c>
      <c r="B20" s="5">
        <v>42548.0</v>
      </c>
      <c r="C20" s="6">
        <f t="shared" si="1"/>
        <v>2016</v>
      </c>
      <c r="D20" s="7" t="s">
        <v>133</v>
      </c>
      <c r="E20" s="7" t="s">
        <v>134</v>
      </c>
      <c r="F20" s="7" t="s">
        <v>50</v>
      </c>
      <c r="G20" s="5" t="s">
        <v>51</v>
      </c>
      <c r="H20" s="7" t="s">
        <v>98</v>
      </c>
      <c r="I20" s="7" t="s">
        <v>104</v>
      </c>
      <c r="J20" s="7" t="s">
        <v>135</v>
      </c>
      <c r="K20" s="7" t="s">
        <v>36</v>
      </c>
      <c r="L20" s="7" t="s">
        <v>37</v>
      </c>
      <c r="M20" s="7" t="s">
        <v>38</v>
      </c>
      <c r="N20" s="5">
        <v>42549.0</v>
      </c>
      <c r="O20" s="8">
        <v>68850.0</v>
      </c>
      <c r="P20" s="8">
        <v>109200.0</v>
      </c>
      <c r="Q20" s="8">
        <f t="shared" si="2"/>
        <v>40350</v>
      </c>
      <c r="R20" s="8">
        <v>22.0</v>
      </c>
      <c r="S20" s="8">
        <f t="shared" si="3"/>
        <v>2402400</v>
      </c>
      <c r="T20" s="9">
        <v>0.01</v>
      </c>
      <c r="U20" s="8">
        <f t="shared" si="4"/>
        <v>24024</v>
      </c>
      <c r="V20" s="8">
        <f t="shared" si="5"/>
        <v>2378376</v>
      </c>
      <c r="W20" s="10">
        <f t="shared" si="6"/>
        <v>1514700</v>
      </c>
      <c r="X20" s="10">
        <f t="shared" si="7"/>
        <v>863676</v>
      </c>
      <c r="Y20" s="10"/>
      <c r="Z20" s="10"/>
      <c r="AA20" s="10"/>
      <c r="AB20" s="4" t="s">
        <v>136</v>
      </c>
      <c r="AC20" s="4" t="s">
        <v>132</v>
      </c>
      <c r="AD20" s="4">
        <v>42548.0</v>
      </c>
      <c r="AE20" s="4">
        <v>2016.0</v>
      </c>
      <c r="AF20" s="4" t="s">
        <v>133</v>
      </c>
      <c r="AG20" s="4" t="s">
        <v>134</v>
      </c>
      <c r="AH20" s="4" t="s">
        <v>50</v>
      </c>
      <c r="AI20" s="4" t="s">
        <v>51</v>
      </c>
      <c r="AJ20" s="4" t="s">
        <v>98</v>
      </c>
      <c r="AK20" s="4" t="s">
        <v>104</v>
      </c>
      <c r="AL20" s="4" t="s">
        <v>135</v>
      </c>
      <c r="AM20" s="4" t="s">
        <v>36</v>
      </c>
      <c r="AN20" s="4" t="s">
        <v>37</v>
      </c>
      <c r="AO20" s="4" t="s">
        <v>38</v>
      </c>
      <c r="AP20" s="4">
        <v>42549.0</v>
      </c>
      <c r="AQ20" s="4">
        <v>68850.0</v>
      </c>
      <c r="AR20" s="4">
        <v>109200.0</v>
      </c>
      <c r="AS20" s="4">
        <v>40350.0</v>
      </c>
      <c r="AT20" s="4">
        <v>22.0</v>
      </c>
      <c r="AU20" s="4">
        <v>2402400.0</v>
      </c>
      <c r="AV20" s="4">
        <v>0.01</v>
      </c>
      <c r="AW20" s="4">
        <v>24024.0</v>
      </c>
      <c r="AX20" s="4">
        <v>2378376.0</v>
      </c>
      <c r="AY20" s="4">
        <v>1514700.0</v>
      </c>
      <c r="AZ20" s="4">
        <v>863676.0</v>
      </c>
    </row>
    <row r="21" ht="15.75" customHeight="1">
      <c r="A21" s="3" t="s">
        <v>137</v>
      </c>
      <c r="B21" s="5">
        <v>42549.0</v>
      </c>
      <c r="C21" s="6">
        <f t="shared" si="1"/>
        <v>2016</v>
      </c>
      <c r="D21" s="7" t="s">
        <v>138</v>
      </c>
      <c r="E21" s="7" t="s">
        <v>139</v>
      </c>
      <c r="F21" s="7" t="s">
        <v>50</v>
      </c>
      <c r="G21" s="5" t="s">
        <v>91</v>
      </c>
      <c r="H21" s="7" t="s">
        <v>140</v>
      </c>
      <c r="I21" s="7" t="s">
        <v>74</v>
      </c>
      <c r="J21" s="7" t="s">
        <v>141</v>
      </c>
      <c r="K21" s="7" t="s">
        <v>36</v>
      </c>
      <c r="L21" s="7" t="s">
        <v>45</v>
      </c>
      <c r="M21" s="7" t="s">
        <v>38</v>
      </c>
      <c r="N21" s="5">
        <v>42553.0</v>
      </c>
      <c r="O21" s="8">
        <v>19500.0</v>
      </c>
      <c r="P21" s="8">
        <v>43200.0</v>
      </c>
      <c r="Q21" s="8">
        <f t="shared" si="2"/>
        <v>23700</v>
      </c>
      <c r="R21" s="8">
        <v>48.0</v>
      </c>
      <c r="S21" s="8">
        <f t="shared" si="3"/>
        <v>2073600</v>
      </c>
      <c r="T21" s="9">
        <v>0.07</v>
      </c>
      <c r="U21" s="8">
        <f t="shared" si="4"/>
        <v>145152</v>
      </c>
      <c r="V21" s="8">
        <f t="shared" si="5"/>
        <v>1928448</v>
      </c>
      <c r="W21" s="10">
        <f t="shared" si="6"/>
        <v>936000</v>
      </c>
      <c r="X21" s="10">
        <f t="shared" si="7"/>
        <v>992448</v>
      </c>
      <c r="Y21" s="10"/>
      <c r="Z21" s="10"/>
      <c r="AA21" s="10"/>
      <c r="AB21" s="4" t="s">
        <v>142</v>
      </c>
      <c r="AC21" s="4" t="s">
        <v>137</v>
      </c>
      <c r="AD21" s="4">
        <v>42549.0</v>
      </c>
      <c r="AE21" s="4">
        <v>2016.0</v>
      </c>
      <c r="AF21" s="4" t="s">
        <v>138</v>
      </c>
      <c r="AG21" s="4" t="s">
        <v>139</v>
      </c>
      <c r="AH21" s="4" t="s">
        <v>50</v>
      </c>
      <c r="AI21" s="4" t="s">
        <v>91</v>
      </c>
      <c r="AJ21" s="4" t="s">
        <v>140</v>
      </c>
      <c r="AK21" s="4" t="s">
        <v>74</v>
      </c>
      <c r="AL21" s="4" t="s">
        <v>141</v>
      </c>
      <c r="AM21" s="4" t="s">
        <v>36</v>
      </c>
      <c r="AN21" s="4" t="s">
        <v>45</v>
      </c>
      <c r="AO21" s="4" t="s">
        <v>38</v>
      </c>
      <c r="AP21" s="4">
        <v>42553.0</v>
      </c>
      <c r="AQ21" s="4">
        <v>19500.0</v>
      </c>
      <c r="AR21" s="4">
        <v>43200.0</v>
      </c>
      <c r="AS21" s="4">
        <v>23700.0</v>
      </c>
      <c r="AT21" s="4">
        <v>48.0</v>
      </c>
      <c r="AU21" s="4">
        <v>2073600.0</v>
      </c>
      <c r="AV21" s="4">
        <v>0.07</v>
      </c>
      <c r="AW21" s="4">
        <v>145152.0</v>
      </c>
      <c r="AX21" s="4">
        <v>1928448.0</v>
      </c>
      <c r="AY21" s="4">
        <v>936000.0</v>
      </c>
      <c r="AZ21" s="4">
        <v>992448.0</v>
      </c>
    </row>
    <row r="22" ht="15.75" customHeight="1">
      <c r="A22" s="3" t="s">
        <v>143</v>
      </c>
      <c r="B22" s="5">
        <v>42556.0</v>
      </c>
      <c r="C22" s="6">
        <f t="shared" si="1"/>
        <v>2016</v>
      </c>
      <c r="D22" s="7" t="s">
        <v>144</v>
      </c>
      <c r="E22" s="7" t="s">
        <v>145</v>
      </c>
      <c r="F22" s="7" t="s">
        <v>50</v>
      </c>
      <c r="G22" s="5" t="s">
        <v>91</v>
      </c>
      <c r="H22" s="7" t="s">
        <v>69</v>
      </c>
      <c r="I22" s="7" t="s">
        <v>34</v>
      </c>
      <c r="J22" s="7" t="s">
        <v>146</v>
      </c>
      <c r="K22" s="7" t="s">
        <v>36</v>
      </c>
      <c r="L22" s="7" t="s">
        <v>45</v>
      </c>
      <c r="M22" s="7" t="s">
        <v>38</v>
      </c>
      <c r="N22" s="5">
        <v>42559.0</v>
      </c>
      <c r="O22" s="8">
        <v>27300.0</v>
      </c>
      <c r="P22" s="8">
        <v>44700.0</v>
      </c>
      <c r="Q22" s="8">
        <f t="shared" si="2"/>
        <v>17400</v>
      </c>
      <c r="R22" s="8">
        <v>22.0</v>
      </c>
      <c r="S22" s="8">
        <f t="shared" si="3"/>
        <v>983400</v>
      </c>
      <c r="T22" s="9">
        <v>0.04</v>
      </c>
      <c r="U22" s="8">
        <f t="shared" si="4"/>
        <v>39336</v>
      </c>
      <c r="V22" s="8">
        <f t="shared" si="5"/>
        <v>944064</v>
      </c>
      <c r="W22" s="10">
        <f t="shared" si="6"/>
        <v>600600</v>
      </c>
      <c r="X22" s="10">
        <f t="shared" si="7"/>
        <v>343464</v>
      </c>
      <c r="Y22" s="10"/>
      <c r="Z22" s="10"/>
      <c r="AA22" s="10"/>
      <c r="AB22" s="4" t="s">
        <v>147</v>
      </c>
      <c r="AC22" s="4" t="s">
        <v>143</v>
      </c>
      <c r="AD22" s="4">
        <v>42556.0</v>
      </c>
      <c r="AE22" s="4">
        <v>2016.0</v>
      </c>
      <c r="AF22" s="4" t="s">
        <v>144</v>
      </c>
      <c r="AG22" s="4" t="s">
        <v>145</v>
      </c>
      <c r="AH22" s="4" t="s">
        <v>50</v>
      </c>
      <c r="AI22" s="4" t="s">
        <v>91</v>
      </c>
      <c r="AJ22" s="4" t="s">
        <v>69</v>
      </c>
      <c r="AK22" s="4" t="s">
        <v>34</v>
      </c>
      <c r="AL22" s="4" t="s">
        <v>146</v>
      </c>
      <c r="AM22" s="4" t="s">
        <v>36</v>
      </c>
      <c r="AN22" s="4" t="s">
        <v>45</v>
      </c>
      <c r="AO22" s="4" t="s">
        <v>38</v>
      </c>
      <c r="AP22" s="4">
        <v>42559.0</v>
      </c>
      <c r="AQ22" s="4">
        <v>27300.0</v>
      </c>
      <c r="AR22" s="4">
        <v>44700.0</v>
      </c>
      <c r="AS22" s="4">
        <v>17400.0</v>
      </c>
      <c r="AT22" s="4">
        <v>22.0</v>
      </c>
      <c r="AU22" s="4">
        <v>983400.0</v>
      </c>
      <c r="AV22" s="4">
        <v>0.04</v>
      </c>
      <c r="AW22" s="4">
        <v>39336.0</v>
      </c>
      <c r="AX22" s="4">
        <v>944064.0</v>
      </c>
      <c r="AY22" s="4">
        <v>600600.0</v>
      </c>
      <c r="AZ22" s="4">
        <v>343464.0</v>
      </c>
    </row>
    <row r="23" ht="15.75" customHeight="1">
      <c r="A23" s="3" t="s">
        <v>148</v>
      </c>
      <c r="B23" s="5">
        <v>42559.0</v>
      </c>
      <c r="C23" s="6">
        <f t="shared" si="1"/>
        <v>2016</v>
      </c>
      <c r="D23" s="7" t="s">
        <v>149</v>
      </c>
      <c r="E23" s="7" t="s">
        <v>150</v>
      </c>
      <c r="F23" s="7" t="s">
        <v>50</v>
      </c>
      <c r="G23" s="5" t="s">
        <v>68</v>
      </c>
      <c r="H23" s="7" t="s">
        <v>151</v>
      </c>
      <c r="I23" s="7" t="s">
        <v>92</v>
      </c>
      <c r="J23" s="7" t="s">
        <v>152</v>
      </c>
      <c r="K23" s="7" t="s">
        <v>61</v>
      </c>
      <c r="L23" s="7" t="s">
        <v>37</v>
      </c>
      <c r="M23" s="7" t="s">
        <v>38</v>
      </c>
      <c r="N23" s="5">
        <v>42561.0</v>
      </c>
      <c r="O23" s="8">
        <v>1223850.0</v>
      </c>
      <c r="P23" s="8">
        <v>2399850.0</v>
      </c>
      <c r="Q23" s="8">
        <f t="shared" si="2"/>
        <v>1176000</v>
      </c>
      <c r="R23" s="8">
        <v>30.0</v>
      </c>
      <c r="S23" s="8">
        <f t="shared" si="3"/>
        <v>71995500</v>
      </c>
      <c r="T23" s="9">
        <v>0.01</v>
      </c>
      <c r="U23" s="8">
        <f t="shared" si="4"/>
        <v>719955</v>
      </c>
      <c r="V23" s="8">
        <f t="shared" si="5"/>
        <v>71275545</v>
      </c>
      <c r="W23" s="10">
        <f t="shared" si="6"/>
        <v>36715500</v>
      </c>
      <c r="X23" s="10">
        <f t="shared" si="7"/>
        <v>34560045</v>
      </c>
      <c r="Y23" s="10"/>
      <c r="Z23" s="10"/>
      <c r="AA23" s="10"/>
      <c r="AB23" s="4" t="s">
        <v>153</v>
      </c>
      <c r="AC23" s="4" t="s">
        <v>148</v>
      </c>
      <c r="AD23" s="4">
        <v>42559.0</v>
      </c>
      <c r="AE23" s="4">
        <v>2016.0</v>
      </c>
      <c r="AF23" s="4" t="s">
        <v>149</v>
      </c>
      <c r="AG23" s="4" t="s">
        <v>150</v>
      </c>
      <c r="AH23" s="4" t="s">
        <v>50</v>
      </c>
      <c r="AI23" s="4" t="s">
        <v>68</v>
      </c>
      <c r="AJ23" s="4" t="s">
        <v>151</v>
      </c>
      <c r="AK23" s="4" t="s">
        <v>92</v>
      </c>
      <c r="AL23" s="4" t="s">
        <v>152</v>
      </c>
      <c r="AM23" s="4" t="s">
        <v>61</v>
      </c>
      <c r="AN23" s="4" t="s">
        <v>37</v>
      </c>
      <c r="AO23" s="4" t="s">
        <v>38</v>
      </c>
      <c r="AP23" s="4">
        <v>42561.0</v>
      </c>
      <c r="AQ23" s="4">
        <v>1223850.0</v>
      </c>
      <c r="AR23" s="4">
        <v>2399850.0</v>
      </c>
      <c r="AS23" s="4">
        <v>1176000.0</v>
      </c>
      <c r="AT23" s="4">
        <v>30.0</v>
      </c>
      <c r="AU23" s="4">
        <v>7.19955E7</v>
      </c>
      <c r="AV23" s="4">
        <v>0.01</v>
      </c>
      <c r="AW23" s="4">
        <v>719955.0</v>
      </c>
      <c r="AX23" s="4">
        <v>7.1275545E7</v>
      </c>
      <c r="AY23" s="4">
        <v>3.67155E7</v>
      </c>
      <c r="AZ23" s="4">
        <v>3.4560045E7</v>
      </c>
    </row>
    <row r="24" ht="15.75" customHeight="1">
      <c r="A24" s="3" t="s">
        <v>154</v>
      </c>
      <c r="B24" s="5">
        <v>42560.0</v>
      </c>
      <c r="C24" s="6">
        <f t="shared" si="1"/>
        <v>2016</v>
      </c>
      <c r="D24" s="7" t="s">
        <v>155</v>
      </c>
      <c r="E24" s="7" t="s">
        <v>156</v>
      </c>
      <c r="F24" s="7" t="s">
        <v>50</v>
      </c>
      <c r="G24" s="5" t="s">
        <v>32</v>
      </c>
      <c r="H24" s="7" t="s">
        <v>110</v>
      </c>
      <c r="I24" s="7" t="s">
        <v>74</v>
      </c>
      <c r="J24" s="7" t="s">
        <v>99</v>
      </c>
      <c r="K24" s="7" t="s">
        <v>36</v>
      </c>
      <c r="L24" s="7" t="s">
        <v>37</v>
      </c>
      <c r="M24" s="7" t="s">
        <v>38</v>
      </c>
      <c r="N24" s="5">
        <v>42567.0</v>
      </c>
      <c r="O24" s="8">
        <v>79950.0</v>
      </c>
      <c r="P24" s="8">
        <v>129000.0</v>
      </c>
      <c r="Q24" s="8">
        <f t="shared" si="2"/>
        <v>49050</v>
      </c>
      <c r="R24" s="8">
        <v>37.0</v>
      </c>
      <c r="S24" s="8">
        <f t="shared" si="3"/>
        <v>4773000</v>
      </c>
      <c r="T24" s="9">
        <v>0.04</v>
      </c>
      <c r="U24" s="8">
        <f t="shared" si="4"/>
        <v>190920</v>
      </c>
      <c r="V24" s="8">
        <f t="shared" si="5"/>
        <v>4582080</v>
      </c>
      <c r="W24" s="10">
        <f t="shared" si="6"/>
        <v>2958150</v>
      </c>
      <c r="X24" s="10">
        <f t="shared" si="7"/>
        <v>1623930</v>
      </c>
      <c r="Y24" s="10"/>
      <c r="Z24" s="10"/>
      <c r="AA24" s="10"/>
      <c r="AB24" s="4" t="s">
        <v>157</v>
      </c>
      <c r="AC24" s="4" t="s">
        <v>154</v>
      </c>
      <c r="AD24" s="4">
        <v>42560.0</v>
      </c>
      <c r="AE24" s="4">
        <v>2016.0</v>
      </c>
      <c r="AF24" s="4" t="s">
        <v>155</v>
      </c>
      <c r="AG24" s="4" t="s">
        <v>156</v>
      </c>
      <c r="AH24" s="4" t="s">
        <v>50</v>
      </c>
      <c r="AI24" s="4" t="s">
        <v>32</v>
      </c>
      <c r="AJ24" s="4" t="s">
        <v>110</v>
      </c>
      <c r="AK24" s="4" t="s">
        <v>74</v>
      </c>
      <c r="AL24" s="4" t="s">
        <v>99</v>
      </c>
      <c r="AM24" s="4" t="s">
        <v>36</v>
      </c>
      <c r="AN24" s="4" t="s">
        <v>37</v>
      </c>
      <c r="AO24" s="4" t="s">
        <v>38</v>
      </c>
      <c r="AP24" s="4">
        <v>42567.0</v>
      </c>
      <c r="AQ24" s="4">
        <v>79950.0</v>
      </c>
      <c r="AR24" s="4">
        <v>129000.0</v>
      </c>
      <c r="AS24" s="4">
        <v>49050.0</v>
      </c>
      <c r="AT24" s="4">
        <v>37.0</v>
      </c>
      <c r="AU24" s="4">
        <v>4773000.0</v>
      </c>
      <c r="AV24" s="4">
        <v>0.04</v>
      </c>
      <c r="AW24" s="4">
        <v>190920.0</v>
      </c>
      <c r="AX24" s="4">
        <v>4582080.0</v>
      </c>
      <c r="AY24" s="4">
        <v>2958150.0</v>
      </c>
      <c r="AZ24" s="4">
        <v>1623930.0</v>
      </c>
    </row>
    <row r="25" ht="15.75" customHeight="1">
      <c r="A25" s="3" t="s">
        <v>158</v>
      </c>
      <c r="B25" s="5">
        <v>42560.0</v>
      </c>
      <c r="C25" s="6">
        <f t="shared" si="1"/>
        <v>2016</v>
      </c>
      <c r="D25" s="7" t="s">
        <v>159</v>
      </c>
      <c r="E25" s="7" t="s">
        <v>139</v>
      </c>
      <c r="F25" s="7" t="s">
        <v>50</v>
      </c>
      <c r="G25" s="5" t="s">
        <v>91</v>
      </c>
      <c r="H25" s="7" t="s">
        <v>140</v>
      </c>
      <c r="I25" s="7" t="s">
        <v>104</v>
      </c>
      <c r="J25" s="7" t="s">
        <v>160</v>
      </c>
      <c r="K25" s="7" t="s">
        <v>36</v>
      </c>
      <c r="L25" s="7" t="s">
        <v>37</v>
      </c>
      <c r="M25" s="7" t="s">
        <v>38</v>
      </c>
      <c r="N25" s="5">
        <v>42560.0</v>
      </c>
      <c r="O25" s="8">
        <v>52800.0</v>
      </c>
      <c r="P25" s="8">
        <v>85200.0</v>
      </c>
      <c r="Q25" s="8">
        <f t="shared" si="2"/>
        <v>32400</v>
      </c>
      <c r="R25" s="8">
        <v>24.0</v>
      </c>
      <c r="S25" s="8">
        <f t="shared" si="3"/>
        <v>2044800</v>
      </c>
      <c r="T25" s="9">
        <v>0.06</v>
      </c>
      <c r="U25" s="8">
        <f t="shared" si="4"/>
        <v>122688</v>
      </c>
      <c r="V25" s="8">
        <f t="shared" si="5"/>
        <v>1922112</v>
      </c>
      <c r="W25" s="10">
        <f t="shared" si="6"/>
        <v>1267200</v>
      </c>
      <c r="X25" s="10">
        <f t="shared" si="7"/>
        <v>654912</v>
      </c>
      <c r="Y25" s="10"/>
      <c r="Z25" s="10"/>
      <c r="AA25" s="10"/>
      <c r="AB25" s="4" t="s">
        <v>161</v>
      </c>
      <c r="AC25" s="4" t="s">
        <v>158</v>
      </c>
      <c r="AD25" s="4">
        <v>42560.0</v>
      </c>
      <c r="AE25" s="4">
        <v>2016.0</v>
      </c>
      <c r="AF25" s="4" t="s">
        <v>159</v>
      </c>
      <c r="AG25" s="4" t="s">
        <v>139</v>
      </c>
      <c r="AH25" s="4" t="s">
        <v>50</v>
      </c>
      <c r="AI25" s="4" t="s">
        <v>91</v>
      </c>
      <c r="AJ25" s="4" t="s">
        <v>140</v>
      </c>
      <c r="AK25" s="4" t="s">
        <v>104</v>
      </c>
      <c r="AL25" s="4" t="s">
        <v>160</v>
      </c>
      <c r="AM25" s="4" t="s">
        <v>36</v>
      </c>
      <c r="AN25" s="4" t="s">
        <v>37</v>
      </c>
      <c r="AO25" s="4" t="s">
        <v>38</v>
      </c>
      <c r="AP25" s="4">
        <v>42560.0</v>
      </c>
      <c r="AQ25" s="4">
        <v>52800.0</v>
      </c>
      <c r="AR25" s="4">
        <v>85200.0</v>
      </c>
      <c r="AS25" s="4">
        <v>32400.0</v>
      </c>
      <c r="AT25" s="4">
        <v>24.0</v>
      </c>
      <c r="AU25" s="4">
        <v>2044800.0</v>
      </c>
      <c r="AV25" s="4">
        <v>0.06</v>
      </c>
      <c r="AW25" s="4">
        <v>122688.0</v>
      </c>
      <c r="AX25" s="4">
        <v>1922112.0</v>
      </c>
      <c r="AY25" s="4">
        <v>1267200.0</v>
      </c>
      <c r="AZ25" s="4">
        <v>654912.0</v>
      </c>
    </row>
    <row r="26" ht="15.75" customHeight="1">
      <c r="A26" s="3" t="s">
        <v>162</v>
      </c>
      <c r="B26" s="5">
        <v>42563.0</v>
      </c>
      <c r="C26" s="6">
        <f t="shared" si="1"/>
        <v>2016</v>
      </c>
      <c r="D26" s="7" t="s">
        <v>163</v>
      </c>
      <c r="E26" s="7" t="s">
        <v>164</v>
      </c>
      <c r="F26" s="7" t="s">
        <v>50</v>
      </c>
      <c r="G26" s="5" t="s">
        <v>51</v>
      </c>
      <c r="H26" s="7" t="s">
        <v>69</v>
      </c>
      <c r="I26" s="7" t="s">
        <v>92</v>
      </c>
      <c r="J26" s="7" t="s">
        <v>165</v>
      </c>
      <c r="K26" s="7" t="s">
        <v>36</v>
      </c>
      <c r="L26" s="7" t="s">
        <v>127</v>
      </c>
      <c r="M26" s="7" t="s">
        <v>38</v>
      </c>
      <c r="N26" s="5">
        <v>42564.0</v>
      </c>
      <c r="O26" s="8">
        <v>14100.0</v>
      </c>
      <c r="P26" s="8">
        <v>31200.0</v>
      </c>
      <c r="Q26" s="8">
        <f t="shared" si="2"/>
        <v>17100</v>
      </c>
      <c r="R26" s="8">
        <v>4.0</v>
      </c>
      <c r="S26" s="8">
        <f t="shared" si="3"/>
        <v>124800</v>
      </c>
      <c r="T26" s="9">
        <v>0.02</v>
      </c>
      <c r="U26" s="8">
        <f t="shared" si="4"/>
        <v>2496</v>
      </c>
      <c r="V26" s="8">
        <f t="shared" si="5"/>
        <v>122304</v>
      </c>
      <c r="W26" s="10">
        <f t="shared" si="6"/>
        <v>56400</v>
      </c>
      <c r="X26" s="10">
        <f t="shared" si="7"/>
        <v>65904</v>
      </c>
      <c r="Y26" s="10"/>
      <c r="Z26" s="10"/>
      <c r="AA26" s="10"/>
      <c r="AB26" s="4" t="s">
        <v>166</v>
      </c>
      <c r="AC26" s="4" t="s">
        <v>162</v>
      </c>
      <c r="AD26" s="4">
        <v>42563.0</v>
      </c>
      <c r="AE26" s="4">
        <v>2016.0</v>
      </c>
      <c r="AF26" s="4" t="s">
        <v>163</v>
      </c>
      <c r="AG26" s="4" t="s">
        <v>164</v>
      </c>
      <c r="AH26" s="4" t="s">
        <v>50</v>
      </c>
      <c r="AI26" s="4" t="s">
        <v>51</v>
      </c>
      <c r="AJ26" s="4" t="s">
        <v>69</v>
      </c>
      <c r="AK26" s="4" t="s">
        <v>92</v>
      </c>
      <c r="AL26" s="4" t="s">
        <v>165</v>
      </c>
      <c r="AM26" s="4" t="s">
        <v>36</v>
      </c>
      <c r="AN26" s="4" t="s">
        <v>127</v>
      </c>
      <c r="AO26" s="4" t="s">
        <v>38</v>
      </c>
      <c r="AP26" s="4">
        <v>42564.0</v>
      </c>
      <c r="AQ26" s="4">
        <v>14100.0</v>
      </c>
      <c r="AR26" s="4">
        <v>31200.0</v>
      </c>
      <c r="AS26" s="4">
        <v>17100.0</v>
      </c>
      <c r="AT26" s="4">
        <v>4.0</v>
      </c>
      <c r="AU26" s="4">
        <v>124800.0</v>
      </c>
      <c r="AV26" s="4">
        <v>0.02</v>
      </c>
      <c r="AW26" s="4">
        <v>2496.0</v>
      </c>
      <c r="AX26" s="4">
        <v>122304.0</v>
      </c>
      <c r="AY26" s="4">
        <v>56400.0</v>
      </c>
      <c r="AZ26" s="4">
        <v>65904.0</v>
      </c>
    </row>
    <row r="27" ht="15.75" customHeight="1">
      <c r="A27" s="3" t="s">
        <v>167</v>
      </c>
      <c r="B27" s="5">
        <v>42583.0</v>
      </c>
      <c r="C27" s="6">
        <f t="shared" si="1"/>
        <v>2016</v>
      </c>
      <c r="D27" s="7" t="s">
        <v>168</v>
      </c>
      <c r="E27" s="7" t="s">
        <v>169</v>
      </c>
      <c r="F27" s="7" t="s">
        <v>31</v>
      </c>
      <c r="G27" s="5" t="s">
        <v>51</v>
      </c>
      <c r="H27" s="7" t="s">
        <v>43</v>
      </c>
      <c r="I27" s="7" t="s">
        <v>92</v>
      </c>
      <c r="J27" s="7" t="s">
        <v>99</v>
      </c>
      <c r="K27" s="7" t="s">
        <v>36</v>
      </c>
      <c r="L27" s="7" t="s">
        <v>37</v>
      </c>
      <c r="M27" s="7" t="s">
        <v>38</v>
      </c>
      <c r="N27" s="5">
        <v>42584.0</v>
      </c>
      <c r="O27" s="8">
        <v>79950.0</v>
      </c>
      <c r="P27" s="8">
        <v>129000.0</v>
      </c>
      <c r="Q27" s="8">
        <f t="shared" si="2"/>
        <v>49050</v>
      </c>
      <c r="R27" s="8">
        <v>36.0</v>
      </c>
      <c r="S27" s="8">
        <f t="shared" si="3"/>
        <v>4644000</v>
      </c>
      <c r="T27" s="9">
        <v>0.06</v>
      </c>
      <c r="U27" s="8">
        <f t="shared" si="4"/>
        <v>278640</v>
      </c>
      <c r="V27" s="8">
        <f t="shared" si="5"/>
        <v>4365360</v>
      </c>
      <c r="W27" s="10">
        <f t="shared" si="6"/>
        <v>2878200</v>
      </c>
      <c r="X27" s="10">
        <f t="shared" si="7"/>
        <v>1487160</v>
      </c>
      <c r="Y27" s="10"/>
      <c r="Z27" s="10"/>
      <c r="AA27" s="10"/>
      <c r="AB27" s="4" t="s">
        <v>170</v>
      </c>
      <c r="AC27" s="4" t="s">
        <v>167</v>
      </c>
      <c r="AD27" s="4">
        <v>42583.0</v>
      </c>
      <c r="AE27" s="4">
        <v>2016.0</v>
      </c>
      <c r="AF27" s="4" t="s">
        <v>168</v>
      </c>
      <c r="AG27" s="4" t="s">
        <v>169</v>
      </c>
      <c r="AH27" s="4" t="s">
        <v>31</v>
      </c>
      <c r="AI27" s="4" t="s">
        <v>51</v>
      </c>
      <c r="AJ27" s="4" t="s">
        <v>43</v>
      </c>
      <c r="AK27" s="4" t="s">
        <v>92</v>
      </c>
      <c r="AL27" s="4" t="s">
        <v>99</v>
      </c>
      <c r="AM27" s="4" t="s">
        <v>36</v>
      </c>
      <c r="AN27" s="4" t="s">
        <v>37</v>
      </c>
      <c r="AO27" s="4" t="s">
        <v>38</v>
      </c>
      <c r="AP27" s="4">
        <v>42584.0</v>
      </c>
      <c r="AQ27" s="4">
        <v>79950.0</v>
      </c>
      <c r="AR27" s="4">
        <v>129000.0</v>
      </c>
      <c r="AS27" s="4">
        <v>49050.0</v>
      </c>
      <c r="AT27" s="4">
        <v>36.0</v>
      </c>
      <c r="AU27" s="4">
        <v>4644000.0</v>
      </c>
      <c r="AV27" s="4">
        <v>0.06</v>
      </c>
      <c r="AW27" s="4">
        <v>278640.0</v>
      </c>
      <c r="AX27" s="4">
        <v>4365360.0</v>
      </c>
      <c r="AY27" s="4">
        <v>2878200.0</v>
      </c>
      <c r="AZ27" s="4">
        <v>1487160.0</v>
      </c>
    </row>
    <row r="28" ht="15.75" customHeight="1">
      <c r="A28" s="3" t="s">
        <v>171</v>
      </c>
      <c r="B28" s="5">
        <v>42584.0</v>
      </c>
      <c r="C28" s="6">
        <f t="shared" si="1"/>
        <v>2016</v>
      </c>
      <c r="D28" s="7" t="s">
        <v>172</v>
      </c>
      <c r="E28" s="7" t="s">
        <v>173</v>
      </c>
      <c r="F28" s="7" t="s">
        <v>31</v>
      </c>
      <c r="G28" s="5" t="s">
        <v>91</v>
      </c>
      <c r="H28" s="7" t="s">
        <v>43</v>
      </c>
      <c r="I28" s="7" t="s">
        <v>92</v>
      </c>
      <c r="J28" s="7" t="s">
        <v>174</v>
      </c>
      <c r="K28" s="7" t="s">
        <v>36</v>
      </c>
      <c r="L28" s="7" t="s">
        <v>45</v>
      </c>
      <c r="M28" s="7" t="s">
        <v>38</v>
      </c>
      <c r="N28" s="5">
        <v>42586.0</v>
      </c>
      <c r="O28" s="8">
        <v>37800.0</v>
      </c>
      <c r="P28" s="8">
        <v>60000.0</v>
      </c>
      <c r="Q28" s="8">
        <f t="shared" si="2"/>
        <v>22200</v>
      </c>
      <c r="R28" s="8">
        <v>31.0</v>
      </c>
      <c r="S28" s="8">
        <f t="shared" si="3"/>
        <v>1860000</v>
      </c>
      <c r="T28" s="9">
        <v>0.01</v>
      </c>
      <c r="U28" s="8">
        <f t="shared" si="4"/>
        <v>18600</v>
      </c>
      <c r="V28" s="8">
        <f t="shared" si="5"/>
        <v>1841400</v>
      </c>
      <c r="W28" s="10">
        <f t="shared" si="6"/>
        <v>1171800</v>
      </c>
      <c r="X28" s="10">
        <f t="shared" si="7"/>
        <v>669600</v>
      </c>
      <c r="Y28" s="10"/>
      <c r="Z28" s="10"/>
      <c r="AA28" s="10"/>
      <c r="AB28" s="4" t="s">
        <v>175</v>
      </c>
      <c r="AC28" s="4" t="s">
        <v>171</v>
      </c>
      <c r="AD28" s="4">
        <v>42584.0</v>
      </c>
      <c r="AE28" s="4">
        <v>2016.0</v>
      </c>
      <c r="AF28" s="4" t="s">
        <v>172</v>
      </c>
      <c r="AG28" s="4" t="s">
        <v>173</v>
      </c>
      <c r="AH28" s="4" t="s">
        <v>31</v>
      </c>
      <c r="AI28" s="4" t="s">
        <v>91</v>
      </c>
      <c r="AJ28" s="4" t="s">
        <v>43</v>
      </c>
      <c r="AK28" s="4" t="s">
        <v>92</v>
      </c>
      <c r="AL28" s="4" t="s">
        <v>174</v>
      </c>
      <c r="AM28" s="4" t="s">
        <v>36</v>
      </c>
      <c r="AN28" s="4" t="s">
        <v>45</v>
      </c>
      <c r="AO28" s="4" t="s">
        <v>38</v>
      </c>
      <c r="AP28" s="4">
        <v>42586.0</v>
      </c>
      <c r="AQ28" s="4">
        <v>37800.0</v>
      </c>
      <c r="AR28" s="4">
        <v>60000.0</v>
      </c>
      <c r="AS28" s="4">
        <v>22200.0</v>
      </c>
      <c r="AT28" s="4">
        <v>31.0</v>
      </c>
      <c r="AU28" s="4">
        <v>1860000.0</v>
      </c>
      <c r="AV28" s="4">
        <v>0.01</v>
      </c>
      <c r="AW28" s="4">
        <v>18600.0</v>
      </c>
      <c r="AX28" s="4">
        <v>1841400.0</v>
      </c>
      <c r="AY28" s="4">
        <v>1171800.0</v>
      </c>
      <c r="AZ28" s="4">
        <v>669600.0</v>
      </c>
    </row>
    <row r="29" ht="15.75" customHeight="1">
      <c r="A29" s="3" t="s">
        <v>176</v>
      </c>
      <c r="B29" s="5">
        <v>42591.0</v>
      </c>
      <c r="C29" s="6">
        <f t="shared" si="1"/>
        <v>2016</v>
      </c>
      <c r="D29" s="7" t="s">
        <v>177</v>
      </c>
      <c r="E29" s="7" t="s">
        <v>178</v>
      </c>
      <c r="F29" s="7" t="s">
        <v>50</v>
      </c>
      <c r="G29" s="5" t="s">
        <v>32</v>
      </c>
      <c r="H29" s="7" t="s">
        <v>80</v>
      </c>
      <c r="I29" s="7" t="s">
        <v>34</v>
      </c>
      <c r="J29" s="7" t="s">
        <v>179</v>
      </c>
      <c r="K29" s="7" t="s">
        <v>36</v>
      </c>
      <c r="L29" s="7" t="s">
        <v>37</v>
      </c>
      <c r="M29" s="7" t="s">
        <v>55</v>
      </c>
      <c r="N29" s="5">
        <v>42592.0</v>
      </c>
      <c r="O29" s="8">
        <v>114150.0</v>
      </c>
      <c r="P29" s="8">
        <v>184200.0</v>
      </c>
      <c r="Q29" s="8">
        <f t="shared" si="2"/>
        <v>70050</v>
      </c>
      <c r="R29" s="8">
        <v>29.0</v>
      </c>
      <c r="S29" s="8">
        <f t="shared" si="3"/>
        <v>5341800</v>
      </c>
      <c r="T29" s="9">
        <v>0.0</v>
      </c>
      <c r="U29" s="8">
        <f t="shared" si="4"/>
        <v>0</v>
      </c>
      <c r="V29" s="8">
        <f t="shared" si="5"/>
        <v>5341800</v>
      </c>
      <c r="W29" s="10">
        <f t="shared" si="6"/>
        <v>3310350</v>
      </c>
      <c r="X29" s="10">
        <f t="shared" si="7"/>
        <v>2031450</v>
      </c>
      <c r="Y29" s="10"/>
      <c r="Z29" s="10"/>
      <c r="AA29" s="10"/>
      <c r="AB29" s="4" t="s">
        <v>180</v>
      </c>
      <c r="AC29" s="4" t="s">
        <v>176</v>
      </c>
      <c r="AD29" s="4">
        <v>42591.0</v>
      </c>
      <c r="AE29" s="4">
        <v>2016.0</v>
      </c>
      <c r="AF29" s="4" t="s">
        <v>177</v>
      </c>
      <c r="AG29" s="4" t="s">
        <v>178</v>
      </c>
      <c r="AH29" s="4" t="s">
        <v>50</v>
      </c>
      <c r="AI29" s="4" t="s">
        <v>32</v>
      </c>
      <c r="AJ29" s="4" t="s">
        <v>80</v>
      </c>
      <c r="AK29" s="4" t="s">
        <v>34</v>
      </c>
      <c r="AL29" s="4" t="s">
        <v>179</v>
      </c>
      <c r="AM29" s="4" t="s">
        <v>36</v>
      </c>
      <c r="AN29" s="4" t="s">
        <v>37</v>
      </c>
      <c r="AO29" s="4" t="s">
        <v>55</v>
      </c>
      <c r="AP29" s="4">
        <v>42592.0</v>
      </c>
      <c r="AQ29" s="4">
        <v>114150.0</v>
      </c>
      <c r="AR29" s="4">
        <v>184200.0</v>
      </c>
      <c r="AS29" s="4">
        <v>70050.0</v>
      </c>
      <c r="AT29" s="4">
        <v>29.0</v>
      </c>
      <c r="AU29" s="4">
        <v>5341800.0</v>
      </c>
      <c r="AV29" s="4">
        <v>0.0</v>
      </c>
      <c r="AW29" s="4">
        <v>0.0</v>
      </c>
      <c r="AX29" s="4">
        <v>5341800.0</v>
      </c>
      <c r="AY29" s="4">
        <v>3310350.0</v>
      </c>
      <c r="AZ29" s="4">
        <v>2031450.0</v>
      </c>
    </row>
    <row r="30" ht="15.75" customHeight="1">
      <c r="A30" s="3" t="s">
        <v>181</v>
      </c>
      <c r="B30" s="5">
        <v>42592.0</v>
      </c>
      <c r="C30" s="6">
        <f t="shared" si="1"/>
        <v>2016</v>
      </c>
      <c r="D30" s="7" t="s">
        <v>182</v>
      </c>
      <c r="E30" s="7" t="s">
        <v>183</v>
      </c>
      <c r="F30" s="7" t="s">
        <v>31</v>
      </c>
      <c r="G30" s="5" t="s">
        <v>51</v>
      </c>
      <c r="H30" s="7" t="s">
        <v>43</v>
      </c>
      <c r="I30" s="7" t="s">
        <v>104</v>
      </c>
      <c r="J30" s="7" t="s">
        <v>184</v>
      </c>
      <c r="K30" s="7" t="s">
        <v>36</v>
      </c>
      <c r="L30" s="7" t="s">
        <v>37</v>
      </c>
      <c r="M30" s="7" t="s">
        <v>38</v>
      </c>
      <c r="N30" s="5">
        <v>42594.0</v>
      </c>
      <c r="O30" s="8">
        <v>23850.0</v>
      </c>
      <c r="P30" s="8">
        <v>39150.0</v>
      </c>
      <c r="Q30" s="8">
        <f t="shared" si="2"/>
        <v>15300</v>
      </c>
      <c r="R30" s="8">
        <v>9.0</v>
      </c>
      <c r="S30" s="8">
        <f t="shared" si="3"/>
        <v>352350</v>
      </c>
      <c r="T30" s="9">
        <v>0.06</v>
      </c>
      <c r="U30" s="8">
        <f t="shared" si="4"/>
        <v>21141</v>
      </c>
      <c r="V30" s="8">
        <f t="shared" si="5"/>
        <v>331209</v>
      </c>
      <c r="W30" s="10">
        <f t="shared" si="6"/>
        <v>214650</v>
      </c>
      <c r="X30" s="10">
        <f t="shared" si="7"/>
        <v>116559</v>
      </c>
      <c r="Y30" s="10"/>
      <c r="Z30" s="10"/>
      <c r="AA30" s="10"/>
      <c r="AB30" s="4" t="s">
        <v>185</v>
      </c>
      <c r="AC30" s="4" t="s">
        <v>181</v>
      </c>
      <c r="AD30" s="4">
        <v>42592.0</v>
      </c>
      <c r="AE30" s="4">
        <v>2016.0</v>
      </c>
      <c r="AF30" s="4" t="s">
        <v>182</v>
      </c>
      <c r="AG30" s="4" t="s">
        <v>183</v>
      </c>
      <c r="AH30" s="4" t="s">
        <v>31</v>
      </c>
      <c r="AI30" s="4" t="s">
        <v>51</v>
      </c>
      <c r="AJ30" s="4" t="s">
        <v>43</v>
      </c>
      <c r="AK30" s="4" t="s">
        <v>104</v>
      </c>
      <c r="AL30" s="4" t="s">
        <v>184</v>
      </c>
      <c r="AM30" s="4" t="s">
        <v>36</v>
      </c>
      <c r="AN30" s="4" t="s">
        <v>37</v>
      </c>
      <c r="AO30" s="4" t="s">
        <v>38</v>
      </c>
      <c r="AP30" s="4">
        <v>42594.0</v>
      </c>
      <c r="AQ30" s="4">
        <v>23850.0</v>
      </c>
      <c r="AR30" s="4">
        <v>39150.0</v>
      </c>
      <c r="AS30" s="4">
        <v>15300.0</v>
      </c>
      <c r="AT30" s="4">
        <v>9.0</v>
      </c>
      <c r="AU30" s="4">
        <v>352350.0</v>
      </c>
      <c r="AV30" s="4">
        <v>0.06</v>
      </c>
      <c r="AW30" s="4">
        <v>21141.0</v>
      </c>
      <c r="AX30" s="4">
        <v>331209.0</v>
      </c>
      <c r="AY30" s="4">
        <v>214650.0</v>
      </c>
      <c r="AZ30" s="4">
        <v>116559.0</v>
      </c>
    </row>
    <row r="31" ht="15.75" customHeight="1">
      <c r="A31" s="3" t="s">
        <v>186</v>
      </c>
      <c r="B31" s="5">
        <v>42592.0</v>
      </c>
      <c r="C31" s="6">
        <f t="shared" si="1"/>
        <v>2016</v>
      </c>
      <c r="D31" s="7" t="s">
        <v>187</v>
      </c>
      <c r="E31" s="7" t="s">
        <v>188</v>
      </c>
      <c r="F31" s="7" t="s">
        <v>50</v>
      </c>
      <c r="G31" s="5" t="s">
        <v>51</v>
      </c>
      <c r="H31" s="7" t="s">
        <v>189</v>
      </c>
      <c r="I31" s="7" t="s">
        <v>104</v>
      </c>
      <c r="J31" s="7" t="s">
        <v>190</v>
      </c>
      <c r="K31" s="7" t="s">
        <v>61</v>
      </c>
      <c r="L31" s="7" t="s">
        <v>37</v>
      </c>
      <c r="M31" s="7" t="s">
        <v>38</v>
      </c>
      <c r="N31" s="5">
        <v>42592.0</v>
      </c>
      <c r="O31" s="8">
        <v>95850.0</v>
      </c>
      <c r="P31" s="8">
        <v>299700.0</v>
      </c>
      <c r="Q31" s="8">
        <f t="shared" si="2"/>
        <v>203850</v>
      </c>
      <c r="R31" s="8">
        <v>7.0</v>
      </c>
      <c r="S31" s="8">
        <f t="shared" si="3"/>
        <v>2097900</v>
      </c>
      <c r="T31" s="9">
        <v>0.01</v>
      </c>
      <c r="U31" s="8">
        <f t="shared" si="4"/>
        <v>20979</v>
      </c>
      <c r="V31" s="8">
        <f t="shared" si="5"/>
        <v>2076921</v>
      </c>
      <c r="W31" s="10">
        <f t="shared" si="6"/>
        <v>670950</v>
      </c>
      <c r="X31" s="10">
        <f t="shared" si="7"/>
        <v>1405971</v>
      </c>
      <c r="Y31" s="10"/>
      <c r="Z31" s="10"/>
      <c r="AA31" s="10"/>
      <c r="AB31" s="4" t="s">
        <v>191</v>
      </c>
      <c r="AC31" s="4" t="s">
        <v>186</v>
      </c>
      <c r="AD31" s="4">
        <v>42592.0</v>
      </c>
      <c r="AE31" s="4">
        <v>2016.0</v>
      </c>
      <c r="AF31" s="4" t="s">
        <v>187</v>
      </c>
      <c r="AG31" s="4" t="s">
        <v>188</v>
      </c>
      <c r="AH31" s="4" t="s">
        <v>50</v>
      </c>
      <c r="AI31" s="4" t="s">
        <v>51</v>
      </c>
      <c r="AJ31" s="4" t="s">
        <v>189</v>
      </c>
      <c r="AK31" s="4" t="s">
        <v>104</v>
      </c>
      <c r="AL31" s="4" t="s">
        <v>190</v>
      </c>
      <c r="AM31" s="4" t="s">
        <v>61</v>
      </c>
      <c r="AN31" s="4" t="s">
        <v>37</v>
      </c>
      <c r="AO31" s="4" t="s">
        <v>38</v>
      </c>
      <c r="AP31" s="4">
        <v>42592.0</v>
      </c>
      <c r="AQ31" s="4">
        <v>95850.0</v>
      </c>
      <c r="AR31" s="4">
        <v>299700.0</v>
      </c>
      <c r="AS31" s="4">
        <v>203850.0</v>
      </c>
      <c r="AT31" s="4">
        <v>7.0</v>
      </c>
      <c r="AU31" s="4">
        <v>2097900.0</v>
      </c>
      <c r="AV31" s="4">
        <v>0.01</v>
      </c>
      <c r="AW31" s="4">
        <v>20979.0</v>
      </c>
      <c r="AX31" s="4">
        <v>2076921.0</v>
      </c>
      <c r="AY31" s="4">
        <v>670950.0</v>
      </c>
      <c r="AZ31" s="4">
        <v>1405971.0</v>
      </c>
    </row>
    <row r="32" ht="15.75" customHeight="1">
      <c r="A32" s="3" t="s">
        <v>192</v>
      </c>
      <c r="B32" s="5">
        <v>42594.0</v>
      </c>
      <c r="C32" s="6">
        <f t="shared" si="1"/>
        <v>2016</v>
      </c>
      <c r="D32" s="7" t="s">
        <v>193</v>
      </c>
      <c r="E32" s="7" t="s">
        <v>194</v>
      </c>
      <c r="F32" s="7" t="s">
        <v>31</v>
      </c>
      <c r="G32" s="5" t="s">
        <v>51</v>
      </c>
      <c r="H32" s="7" t="s">
        <v>33</v>
      </c>
      <c r="I32" s="7" t="s">
        <v>104</v>
      </c>
      <c r="J32" s="7" t="s">
        <v>195</v>
      </c>
      <c r="K32" s="7" t="s">
        <v>61</v>
      </c>
      <c r="L32" s="7" t="s">
        <v>37</v>
      </c>
      <c r="M32" s="7" t="s">
        <v>55</v>
      </c>
      <c r="N32" s="5">
        <v>42595.0</v>
      </c>
      <c r="O32" s="8">
        <v>480300.00000000006</v>
      </c>
      <c r="P32" s="8">
        <v>2287200.0</v>
      </c>
      <c r="Q32" s="8">
        <f t="shared" si="2"/>
        <v>1806900</v>
      </c>
      <c r="R32" s="8">
        <v>16.0</v>
      </c>
      <c r="S32" s="8">
        <f t="shared" si="3"/>
        <v>36595200</v>
      </c>
      <c r="T32" s="9">
        <v>0.1</v>
      </c>
      <c r="U32" s="8">
        <f t="shared" si="4"/>
        <v>3659520</v>
      </c>
      <c r="V32" s="8">
        <f t="shared" si="5"/>
        <v>32935680</v>
      </c>
      <c r="W32" s="10">
        <f t="shared" si="6"/>
        <v>7684800</v>
      </c>
      <c r="X32" s="10">
        <f t="shared" si="7"/>
        <v>25250880</v>
      </c>
      <c r="Y32" s="10"/>
      <c r="Z32" s="10"/>
      <c r="AA32" s="10"/>
      <c r="AB32" s="4" t="s">
        <v>196</v>
      </c>
      <c r="AC32" s="4" t="s">
        <v>192</v>
      </c>
      <c r="AD32" s="4">
        <v>42594.0</v>
      </c>
      <c r="AE32" s="4">
        <v>2016.0</v>
      </c>
      <c r="AF32" s="4" t="s">
        <v>193</v>
      </c>
      <c r="AG32" s="4" t="s">
        <v>194</v>
      </c>
      <c r="AH32" s="4" t="s">
        <v>31</v>
      </c>
      <c r="AI32" s="4" t="s">
        <v>51</v>
      </c>
      <c r="AJ32" s="4" t="s">
        <v>33</v>
      </c>
      <c r="AK32" s="4" t="s">
        <v>104</v>
      </c>
      <c r="AL32" s="4" t="s">
        <v>195</v>
      </c>
      <c r="AM32" s="4" t="s">
        <v>61</v>
      </c>
      <c r="AN32" s="4" t="s">
        <v>37</v>
      </c>
      <c r="AO32" s="4" t="s">
        <v>55</v>
      </c>
      <c r="AP32" s="4">
        <v>42595.0</v>
      </c>
      <c r="AQ32" s="4">
        <v>480300.0</v>
      </c>
      <c r="AR32" s="4">
        <v>2287200.0</v>
      </c>
      <c r="AS32" s="4">
        <v>1806900.0</v>
      </c>
      <c r="AT32" s="4">
        <v>16.0</v>
      </c>
      <c r="AU32" s="4">
        <v>3.65952E7</v>
      </c>
      <c r="AV32" s="4">
        <v>0.1</v>
      </c>
      <c r="AW32" s="4">
        <v>3659520.0</v>
      </c>
      <c r="AX32" s="4">
        <v>3.293568E7</v>
      </c>
      <c r="AY32" s="4">
        <v>7684800.0</v>
      </c>
      <c r="AZ32" s="4">
        <v>2.525088E7</v>
      </c>
    </row>
    <row r="33" ht="15.75" customHeight="1">
      <c r="A33" s="3" t="s">
        <v>197</v>
      </c>
      <c r="B33" s="5">
        <v>42594.0</v>
      </c>
      <c r="C33" s="6">
        <f t="shared" si="1"/>
        <v>2016</v>
      </c>
      <c r="D33" s="7" t="s">
        <v>198</v>
      </c>
      <c r="E33" s="7" t="s">
        <v>199</v>
      </c>
      <c r="F33" s="7" t="s">
        <v>50</v>
      </c>
      <c r="G33" s="5" t="s">
        <v>91</v>
      </c>
      <c r="H33" s="7" t="s">
        <v>200</v>
      </c>
      <c r="I33" s="7" t="s">
        <v>92</v>
      </c>
      <c r="J33" s="7" t="s">
        <v>179</v>
      </c>
      <c r="K33" s="7" t="s">
        <v>36</v>
      </c>
      <c r="L33" s="7" t="s">
        <v>37</v>
      </c>
      <c r="M33" s="7" t="s">
        <v>38</v>
      </c>
      <c r="N33" s="5">
        <v>42596.0</v>
      </c>
      <c r="O33" s="8">
        <v>114150.0</v>
      </c>
      <c r="P33" s="8">
        <v>184200.0</v>
      </c>
      <c r="Q33" s="8">
        <f t="shared" si="2"/>
        <v>70050</v>
      </c>
      <c r="R33" s="8">
        <v>27.0</v>
      </c>
      <c r="S33" s="8">
        <f t="shared" si="3"/>
        <v>4973400</v>
      </c>
      <c r="T33" s="9">
        <v>0.03</v>
      </c>
      <c r="U33" s="8">
        <f t="shared" si="4"/>
        <v>149202</v>
      </c>
      <c r="V33" s="8">
        <f t="shared" si="5"/>
        <v>4824198</v>
      </c>
      <c r="W33" s="10">
        <f t="shared" si="6"/>
        <v>3082050</v>
      </c>
      <c r="X33" s="10">
        <f t="shared" si="7"/>
        <v>1742148</v>
      </c>
      <c r="Y33" s="10"/>
      <c r="Z33" s="10"/>
      <c r="AA33" s="10"/>
      <c r="AB33" s="4" t="s">
        <v>201</v>
      </c>
      <c r="AC33" s="4" t="s">
        <v>197</v>
      </c>
      <c r="AD33" s="4">
        <v>42594.0</v>
      </c>
      <c r="AE33" s="4">
        <v>2016.0</v>
      </c>
      <c r="AF33" s="4" t="s">
        <v>198</v>
      </c>
      <c r="AG33" s="4" t="s">
        <v>199</v>
      </c>
      <c r="AH33" s="4" t="s">
        <v>50</v>
      </c>
      <c r="AI33" s="4" t="s">
        <v>91</v>
      </c>
      <c r="AJ33" s="4" t="s">
        <v>200</v>
      </c>
      <c r="AK33" s="4" t="s">
        <v>92</v>
      </c>
      <c r="AL33" s="4" t="s">
        <v>179</v>
      </c>
      <c r="AM33" s="4" t="s">
        <v>36</v>
      </c>
      <c r="AN33" s="4" t="s">
        <v>37</v>
      </c>
      <c r="AO33" s="4" t="s">
        <v>38</v>
      </c>
      <c r="AP33" s="4">
        <v>42596.0</v>
      </c>
      <c r="AQ33" s="4">
        <v>114150.0</v>
      </c>
      <c r="AR33" s="4">
        <v>184200.0</v>
      </c>
      <c r="AS33" s="4">
        <v>70050.0</v>
      </c>
      <c r="AT33" s="4">
        <v>27.0</v>
      </c>
      <c r="AU33" s="4">
        <v>4973400.0</v>
      </c>
      <c r="AV33" s="4">
        <v>0.03</v>
      </c>
      <c r="AW33" s="4">
        <v>149202.0</v>
      </c>
      <c r="AX33" s="4">
        <v>4824198.0</v>
      </c>
      <c r="AY33" s="4">
        <v>3082050.0</v>
      </c>
      <c r="AZ33" s="4">
        <v>1742148.0</v>
      </c>
    </row>
    <row r="34" ht="15.75" customHeight="1">
      <c r="A34" s="3" t="s">
        <v>202</v>
      </c>
      <c r="B34" s="5">
        <v>42594.0</v>
      </c>
      <c r="C34" s="6">
        <f t="shared" si="1"/>
        <v>2016</v>
      </c>
      <c r="D34" s="7" t="s">
        <v>203</v>
      </c>
      <c r="E34" s="7" t="s">
        <v>90</v>
      </c>
      <c r="F34" s="7" t="s">
        <v>50</v>
      </c>
      <c r="G34" s="5" t="s">
        <v>68</v>
      </c>
      <c r="H34" s="7" t="s">
        <v>52</v>
      </c>
      <c r="I34" s="7" t="s">
        <v>92</v>
      </c>
      <c r="J34" s="7" t="s">
        <v>204</v>
      </c>
      <c r="K34" s="7" t="s">
        <v>61</v>
      </c>
      <c r="L34" s="7" t="s">
        <v>37</v>
      </c>
      <c r="M34" s="7" t="s">
        <v>38</v>
      </c>
      <c r="N34" s="5">
        <v>42596.0</v>
      </c>
      <c r="O34" s="8">
        <v>151050.0</v>
      </c>
      <c r="P34" s="8">
        <v>239700.0</v>
      </c>
      <c r="Q34" s="8">
        <f t="shared" si="2"/>
        <v>88650</v>
      </c>
      <c r="R34" s="8">
        <v>39.0</v>
      </c>
      <c r="S34" s="8">
        <f t="shared" si="3"/>
        <v>9348300</v>
      </c>
      <c r="T34" s="9">
        <v>0.09</v>
      </c>
      <c r="U34" s="8">
        <f t="shared" si="4"/>
        <v>841347</v>
      </c>
      <c r="V34" s="8">
        <f t="shared" si="5"/>
        <v>8506953</v>
      </c>
      <c r="W34" s="10">
        <f t="shared" si="6"/>
        <v>5890950</v>
      </c>
      <c r="X34" s="10">
        <f t="shared" si="7"/>
        <v>2616003</v>
      </c>
      <c r="Y34" s="10"/>
      <c r="Z34" s="10"/>
      <c r="AA34" s="10"/>
      <c r="AB34" s="4" t="s">
        <v>205</v>
      </c>
      <c r="AC34" s="4" t="s">
        <v>202</v>
      </c>
      <c r="AD34" s="4">
        <v>42594.0</v>
      </c>
      <c r="AE34" s="4">
        <v>2016.0</v>
      </c>
      <c r="AF34" s="4" t="s">
        <v>203</v>
      </c>
      <c r="AG34" s="4" t="s">
        <v>90</v>
      </c>
      <c r="AH34" s="4" t="s">
        <v>50</v>
      </c>
      <c r="AI34" s="4" t="s">
        <v>68</v>
      </c>
      <c r="AJ34" s="4" t="s">
        <v>52</v>
      </c>
      <c r="AK34" s="4" t="s">
        <v>92</v>
      </c>
      <c r="AL34" s="4" t="s">
        <v>204</v>
      </c>
      <c r="AM34" s="4" t="s">
        <v>61</v>
      </c>
      <c r="AN34" s="4" t="s">
        <v>37</v>
      </c>
      <c r="AO34" s="4" t="s">
        <v>38</v>
      </c>
      <c r="AP34" s="4">
        <v>42596.0</v>
      </c>
      <c r="AQ34" s="4">
        <v>151050.0</v>
      </c>
      <c r="AR34" s="4">
        <v>239700.0</v>
      </c>
      <c r="AS34" s="4">
        <v>88650.0</v>
      </c>
      <c r="AT34" s="4">
        <v>39.0</v>
      </c>
      <c r="AU34" s="4">
        <v>9348300.0</v>
      </c>
      <c r="AV34" s="4">
        <v>0.09</v>
      </c>
      <c r="AW34" s="4">
        <v>841347.0</v>
      </c>
      <c r="AX34" s="4">
        <v>8506953.0</v>
      </c>
      <c r="AY34" s="4">
        <v>5890950.0</v>
      </c>
      <c r="AZ34" s="4">
        <v>2616003.0</v>
      </c>
    </row>
    <row r="35" ht="15.75" customHeight="1">
      <c r="A35" s="3" t="s">
        <v>206</v>
      </c>
      <c r="B35" s="5">
        <v>42595.0</v>
      </c>
      <c r="C35" s="6">
        <f t="shared" si="1"/>
        <v>2016</v>
      </c>
      <c r="D35" s="7" t="s">
        <v>207</v>
      </c>
      <c r="E35" s="7" t="s">
        <v>59</v>
      </c>
      <c r="F35" s="7" t="s">
        <v>31</v>
      </c>
      <c r="G35" s="5" t="s">
        <v>51</v>
      </c>
      <c r="H35" s="7" t="s">
        <v>33</v>
      </c>
      <c r="I35" s="7" t="s">
        <v>92</v>
      </c>
      <c r="J35" s="7" t="s">
        <v>208</v>
      </c>
      <c r="K35" s="7" t="s">
        <v>36</v>
      </c>
      <c r="L35" s="7" t="s">
        <v>127</v>
      </c>
      <c r="M35" s="7" t="s">
        <v>38</v>
      </c>
      <c r="N35" s="5">
        <v>42597.0</v>
      </c>
      <c r="O35" s="8">
        <v>71850.0</v>
      </c>
      <c r="P35" s="8">
        <v>179550.0</v>
      </c>
      <c r="Q35" s="8">
        <f t="shared" si="2"/>
        <v>107700</v>
      </c>
      <c r="R35" s="8">
        <v>7.0</v>
      </c>
      <c r="S35" s="8">
        <f t="shared" si="3"/>
        <v>1256850</v>
      </c>
      <c r="T35" s="9">
        <v>0.05</v>
      </c>
      <c r="U35" s="8">
        <f t="shared" si="4"/>
        <v>62842.5</v>
      </c>
      <c r="V35" s="8">
        <f t="shared" si="5"/>
        <v>1194007.5</v>
      </c>
      <c r="W35" s="10">
        <f t="shared" si="6"/>
        <v>502950</v>
      </c>
      <c r="X35" s="10">
        <f t="shared" si="7"/>
        <v>691057.5</v>
      </c>
      <c r="Y35" s="10"/>
      <c r="Z35" s="10"/>
      <c r="AA35" s="10"/>
      <c r="AB35" s="4" t="s">
        <v>209</v>
      </c>
      <c r="AC35" s="4" t="s">
        <v>206</v>
      </c>
      <c r="AD35" s="4">
        <v>42595.0</v>
      </c>
      <c r="AE35" s="4">
        <v>2016.0</v>
      </c>
      <c r="AF35" s="4" t="s">
        <v>207</v>
      </c>
      <c r="AG35" s="4" t="s">
        <v>59</v>
      </c>
      <c r="AH35" s="4" t="s">
        <v>31</v>
      </c>
      <c r="AI35" s="4" t="s">
        <v>51</v>
      </c>
      <c r="AJ35" s="4" t="s">
        <v>33</v>
      </c>
      <c r="AK35" s="4" t="s">
        <v>92</v>
      </c>
      <c r="AL35" s="4" t="s">
        <v>208</v>
      </c>
      <c r="AM35" s="4" t="s">
        <v>36</v>
      </c>
      <c r="AN35" s="4" t="s">
        <v>127</v>
      </c>
      <c r="AO35" s="4" t="s">
        <v>38</v>
      </c>
      <c r="AP35" s="4">
        <v>42597.0</v>
      </c>
      <c r="AQ35" s="4">
        <v>71850.0</v>
      </c>
      <c r="AR35" s="4">
        <v>179550.0</v>
      </c>
      <c r="AS35" s="4">
        <v>107700.0</v>
      </c>
      <c r="AT35" s="4">
        <v>7.0</v>
      </c>
      <c r="AU35" s="4">
        <v>1256850.0</v>
      </c>
      <c r="AV35" s="4">
        <v>0.05</v>
      </c>
      <c r="AW35" s="4">
        <v>62842.5</v>
      </c>
      <c r="AX35" s="4">
        <v>1194007.5</v>
      </c>
      <c r="AY35" s="4">
        <v>502950.0</v>
      </c>
      <c r="AZ35" s="4">
        <v>691057.5</v>
      </c>
    </row>
    <row r="36" ht="15.75" customHeight="1">
      <c r="A36" s="3" t="s">
        <v>210</v>
      </c>
      <c r="B36" s="5">
        <v>42596.0</v>
      </c>
      <c r="C36" s="6">
        <f t="shared" si="1"/>
        <v>2016</v>
      </c>
      <c r="D36" s="7" t="s">
        <v>211</v>
      </c>
      <c r="E36" s="7" t="s">
        <v>194</v>
      </c>
      <c r="F36" s="7" t="s">
        <v>31</v>
      </c>
      <c r="G36" s="5" t="s">
        <v>32</v>
      </c>
      <c r="H36" s="7" t="s">
        <v>33</v>
      </c>
      <c r="I36" s="7" t="s">
        <v>92</v>
      </c>
      <c r="J36" s="7" t="s">
        <v>212</v>
      </c>
      <c r="K36" s="7" t="s">
        <v>36</v>
      </c>
      <c r="L36" s="7" t="s">
        <v>37</v>
      </c>
      <c r="M36" s="7" t="s">
        <v>38</v>
      </c>
      <c r="N36" s="5">
        <v>42597.0</v>
      </c>
      <c r="O36" s="8">
        <v>130650.00000000001</v>
      </c>
      <c r="P36" s="8">
        <v>214200.0</v>
      </c>
      <c r="Q36" s="8">
        <f t="shared" si="2"/>
        <v>83550</v>
      </c>
      <c r="R36" s="8">
        <v>42.0</v>
      </c>
      <c r="S36" s="8">
        <f t="shared" si="3"/>
        <v>8996400</v>
      </c>
      <c r="T36" s="9">
        <v>0.1</v>
      </c>
      <c r="U36" s="8">
        <f t="shared" si="4"/>
        <v>899640</v>
      </c>
      <c r="V36" s="8">
        <f t="shared" si="5"/>
        <v>8096760</v>
      </c>
      <c r="W36" s="10">
        <f t="shared" si="6"/>
        <v>5487300</v>
      </c>
      <c r="X36" s="10">
        <f t="shared" si="7"/>
        <v>2609460</v>
      </c>
      <c r="Y36" s="10"/>
      <c r="Z36" s="10"/>
      <c r="AA36" s="10"/>
      <c r="AB36" s="4" t="s">
        <v>213</v>
      </c>
      <c r="AC36" s="4" t="s">
        <v>210</v>
      </c>
      <c r="AD36" s="4">
        <v>42596.0</v>
      </c>
      <c r="AE36" s="4">
        <v>2016.0</v>
      </c>
      <c r="AF36" s="4" t="s">
        <v>211</v>
      </c>
      <c r="AG36" s="4" t="s">
        <v>194</v>
      </c>
      <c r="AH36" s="4" t="s">
        <v>31</v>
      </c>
      <c r="AI36" s="4" t="s">
        <v>32</v>
      </c>
      <c r="AJ36" s="4" t="s">
        <v>33</v>
      </c>
      <c r="AK36" s="4" t="s">
        <v>92</v>
      </c>
      <c r="AL36" s="4" t="s">
        <v>212</v>
      </c>
      <c r="AM36" s="4" t="s">
        <v>36</v>
      </c>
      <c r="AN36" s="4" t="s">
        <v>37</v>
      </c>
      <c r="AO36" s="4" t="s">
        <v>38</v>
      </c>
      <c r="AP36" s="4">
        <v>42597.0</v>
      </c>
      <c r="AQ36" s="4">
        <v>130650.0</v>
      </c>
      <c r="AR36" s="4">
        <v>214200.0</v>
      </c>
      <c r="AS36" s="4">
        <v>83550.0</v>
      </c>
      <c r="AT36" s="4">
        <v>42.0</v>
      </c>
      <c r="AU36" s="4">
        <v>8996400.0</v>
      </c>
      <c r="AV36" s="4">
        <v>0.1</v>
      </c>
      <c r="AW36" s="4">
        <v>899640.0</v>
      </c>
      <c r="AX36" s="4">
        <v>8096760.0</v>
      </c>
      <c r="AY36" s="4">
        <v>5487300.0</v>
      </c>
      <c r="AZ36" s="4">
        <v>2609460.0</v>
      </c>
    </row>
    <row r="37" ht="15.75" customHeight="1">
      <c r="A37" s="3" t="s">
        <v>214</v>
      </c>
      <c r="B37" s="5">
        <v>42596.0</v>
      </c>
      <c r="C37" s="6">
        <f t="shared" si="1"/>
        <v>2016</v>
      </c>
      <c r="D37" s="7" t="s">
        <v>215</v>
      </c>
      <c r="E37" s="7" t="s">
        <v>216</v>
      </c>
      <c r="F37" s="7" t="s">
        <v>50</v>
      </c>
      <c r="G37" s="5" t="s">
        <v>91</v>
      </c>
      <c r="H37" s="7" t="s">
        <v>151</v>
      </c>
      <c r="I37" s="7" t="s">
        <v>53</v>
      </c>
      <c r="J37" s="7" t="s">
        <v>93</v>
      </c>
      <c r="K37" s="7" t="s">
        <v>36</v>
      </c>
      <c r="L37" s="7" t="s">
        <v>37</v>
      </c>
      <c r="M37" s="7" t="s">
        <v>38</v>
      </c>
      <c r="N37" s="5">
        <v>42597.0</v>
      </c>
      <c r="O37" s="8">
        <v>814350.0</v>
      </c>
      <c r="P37" s="8">
        <v>1357200.0</v>
      </c>
      <c r="Q37" s="8">
        <f t="shared" si="2"/>
        <v>542850</v>
      </c>
      <c r="R37" s="8">
        <v>15.0</v>
      </c>
      <c r="S37" s="8">
        <f t="shared" si="3"/>
        <v>20358000</v>
      </c>
      <c r="T37" s="9">
        <v>0.05</v>
      </c>
      <c r="U37" s="8">
        <f t="shared" si="4"/>
        <v>1017900</v>
      </c>
      <c r="V37" s="8">
        <f t="shared" si="5"/>
        <v>19340100</v>
      </c>
      <c r="W37" s="10">
        <f t="shared" si="6"/>
        <v>12215250</v>
      </c>
      <c r="X37" s="10">
        <f t="shared" si="7"/>
        <v>7124850</v>
      </c>
      <c r="Y37" s="10"/>
      <c r="Z37" s="10"/>
      <c r="AA37" s="10"/>
      <c r="AB37" s="4" t="s">
        <v>217</v>
      </c>
      <c r="AC37" s="4" t="s">
        <v>214</v>
      </c>
      <c r="AD37" s="4">
        <v>42596.0</v>
      </c>
      <c r="AE37" s="4">
        <v>2016.0</v>
      </c>
      <c r="AF37" s="4" t="s">
        <v>215</v>
      </c>
      <c r="AG37" s="4" t="s">
        <v>216</v>
      </c>
      <c r="AH37" s="4" t="s">
        <v>50</v>
      </c>
      <c r="AI37" s="4" t="s">
        <v>91</v>
      </c>
      <c r="AJ37" s="4" t="s">
        <v>151</v>
      </c>
      <c r="AK37" s="4" t="s">
        <v>53</v>
      </c>
      <c r="AL37" s="4" t="s">
        <v>93</v>
      </c>
      <c r="AM37" s="4" t="s">
        <v>36</v>
      </c>
      <c r="AN37" s="4" t="s">
        <v>37</v>
      </c>
      <c r="AO37" s="4" t="s">
        <v>38</v>
      </c>
      <c r="AP37" s="4">
        <v>42597.0</v>
      </c>
      <c r="AQ37" s="4">
        <v>814350.0</v>
      </c>
      <c r="AR37" s="4">
        <v>1357200.0</v>
      </c>
      <c r="AS37" s="4">
        <v>542850.0</v>
      </c>
      <c r="AT37" s="4">
        <v>15.0</v>
      </c>
      <c r="AU37" s="4">
        <v>2.0358E7</v>
      </c>
      <c r="AV37" s="4">
        <v>0.05</v>
      </c>
      <c r="AW37" s="4">
        <v>1017900.0</v>
      </c>
      <c r="AX37" s="4">
        <v>1.93401E7</v>
      </c>
      <c r="AY37" s="4">
        <v>1.221525E7</v>
      </c>
      <c r="AZ37" s="4">
        <v>7124850.0</v>
      </c>
    </row>
    <row r="38" ht="15.75" customHeight="1">
      <c r="A38" s="3" t="s">
        <v>218</v>
      </c>
      <c r="B38" s="5">
        <v>42597.0</v>
      </c>
      <c r="C38" s="6">
        <f t="shared" si="1"/>
        <v>2016</v>
      </c>
      <c r="D38" s="7" t="s">
        <v>219</v>
      </c>
      <c r="E38" s="7" t="s">
        <v>220</v>
      </c>
      <c r="F38" s="7" t="s">
        <v>50</v>
      </c>
      <c r="G38" s="5" t="s">
        <v>91</v>
      </c>
      <c r="H38" s="7" t="s">
        <v>189</v>
      </c>
      <c r="I38" s="7" t="s">
        <v>53</v>
      </c>
      <c r="J38" s="7" t="s">
        <v>160</v>
      </c>
      <c r="K38" s="7" t="s">
        <v>36</v>
      </c>
      <c r="L38" s="7" t="s">
        <v>37</v>
      </c>
      <c r="M38" s="7" t="s">
        <v>38</v>
      </c>
      <c r="N38" s="5">
        <v>42599.0</v>
      </c>
      <c r="O38" s="8">
        <v>52800.0</v>
      </c>
      <c r="P38" s="8">
        <v>85200.0</v>
      </c>
      <c r="Q38" s="8">
        <f t="shared" si="2"/>
        <v>32400</v>
      </c>
      <c r="R38" s="8">
        <v>20.0</v>
      </c>
      <c r="S38" s="8">
        <f t="shared" si="3"/>
        <v>1704000</v>
      </c>
      <c r="T38" s="9">
        <v>0.07</v>
      </c>
      <c r="U38" s="8">
        <f t="shared" si="4"/>
        <v>119280</v>
      </c>
      <c r="V38" s="8">
        <f t="shared" si="5"/>
        <v>1584720</v>
      </c>
      <c r="W38" s="10">
        <f t="shared" si="6"/>
        <v>1056000</v>
      </c>
      <c r="X38" s="10">
        <f t="shared" si="7"/>
        <v>528720</v>
      </c>
      <c r="Y38" s="10"/>
      <c r="Z38" s="10"/>
      <c r="AA38" s="10"/>
      <c r="AB38" s="4" t="s">
        <v>221</v>
      </c>
      <c r="AC38" s="4" t="s">
        <v>218</v>
      </c>
      <c r="AD38" s="4">
        <v>42597.0</v>
      </c>
      <c r="AE38" s="4">
        <v>2016.0</v>
      </c>
      <c r="AF38" s="4" t="s">
        <v>219</v>
      </c>
      <c r="AG38" s="4" t="s">
        <v>220</v>
      </c>
      <c r="AH38" s="4" t="s">
        <v>50</v>
      </c>
      <c r="AI38" s="4" t="s">
        <v>91</v>
      </c>
      <c r="AJ38" s="4" t="s">
        <v>189</v>
      </c>
      <c r="AK38" s="4" t="s">
        <v>53</v>
      </c>
      <c r="AL38" s="4" t="s">
        <v>160</v>
      </c>
      <c r="AM38" s="4" t="s">
        <v>36</v>
      </c>
      <c r="AN38" s="4" t="s">
        <v>37</v>
      </c>
      <c r="AO38" s="4" t="s">
        <v>38</v>
      </c>
      <c r="AP38" s="4">
        <v>42599.0</v>
      </c>
      <c r="AQ38" s="4">
        <v>52800.0</v>
      </c>
      <c r="AR38" s="4">
        <v>85200.0</v>
      </c>
      <c r="AS38" s="4">
        <v>32400.0</v>
      </c>
      <c r="AT38" s="4">
        <v>20.0</v>
      </c>
      <c r="AU38" s="4">
        <v>1704000.0</v>
      </c>
      <c r="AV38" s="4">
        <v>0.07</v>
      </c>
      <c r="AW38" s="4">
        <v>119280.0</v>
      </c>
      <c r="AX38" s="4">
        <v>1584720.0</v>
      </c>
      <c r="AY38" s="4">
        <v>1056000.0</v>
      </c>
      <c r="AZ38" s="4">
        <v>528720.0</v>
      </c>
    </row>
    <row r="39" ht="15.75" customHeight="1">
      <c r="A39" s="3" t="s">
        <v>222</v>
      </c>
      <c r="B39" s="5">
        <v>42598.0</v>
      </c>
      <c r="C39" s="6">
        <f t="shared" si="1"/>
        <v>2016</v>
      </c>
      <c r="D39" s="7" t="s">
        <v>223</v>
      </c>
      <c r="E39" s="7" t="s">
        <v>109</v>
      </c>
      <c r="F39" s="7" t="s">
        <v>50</v>
      </c>
      <c r="G39" s="5" t="s">
        <v>51</v>
      </c>
      <c r="H39" s="7" t="s">
        <v>110</v>
      </c>
      <c r="I39" s="7" t="s">
        <v>53</v>
      </c>
      <c r="J39" s="7" t="s">
        <v>224</v>
      </c>
      <c r="K39" s="7" t="s">
        <v>36</v>
      </c>
      <c r="L39" s="7" t="s">
        <v>45</v>
      </c>
      <c r="M39" s="7" t="s">
        <v>38</v>
      </c>
      <c r="N39" s="5">
        <v>42600.0</v>
      </c>
      <c r="O39" s="8">
        <v>52050.0</v>
      </c>
      <c r="P39" s="8">
        <v>100200.0</v>
      </c>
      <c r="Q39" s="8">
        <f t="shared" si="2"/>
        <v>48150</v>
      </c>
      <c r="R39" s="8">
        <v>41.0</v>
      </c>
      <c r="S39" s="8">
        <f t="shared" si="3"/>
        <v>4108200</v>
      </c>
      <c r="T39" s="9">
        <v>0.08</v>
      </c>
      <c r="U39" s="8">
        <f t="shared" si="4"/>
        <v>328656</v>
      </c>
      <c r="V39" s="8">
        <f t="shared" si="5"/>
        <v>3779544</v>
      </c>
      <c r="W39" s="10">
        <f t="shared" si="6"/>
        <v>2134050</v>
      </c>
      <c r="X39" s="10">
        <f t="shared" si="7"/>
        <v>1645494</v>
      </c>
      <c r="Y39" s="10"/>
      <c r="Z39" s="10"/>
      <c r="AA39" s="10"/>
      <c r="AB39" s="4" t="s">
        <v>225</v>
      </c>
      <c r="AC39" s="4" t="s">
        <v>222</v>
      </c>
      <c r="AD39" s="4">
        <v>42598.0</v>
      </c>
      <c r="AE39" s="4">
        <v>2016.0</v>
      </c>
      <c r="AF39" s="4" t="s">
        <v>223</v>
      </c>
      <c r="AG39" s="4" t="s">
        <v>109</v>
      </c>
      <c r="AH39" s="4" t="s">
        <v>50</v>
      </c>
      <c r="AI39" s="4" t="s">
        <v>51</v>
      </c>
      <c r="AJ39" s="4" t="s">
        <v>110</v>
      </c>
      <c r="AK39" s="4" t="s">
        <v>53</v>
      </c>
      <c r="AL39" s="4" t="s">
        <v>224</v>
      </c>
      <c r="AM39" s="4" t="s">
        <v>36</v>
      </c>
      <c r="AN39" s="4" t="s">
        <v>45</v>
      </c>
      <c r="AO39" s="4" t="s">
        <v>38</v>
      </c>
      <c r="AP39" s="4">
        <v>42600.0</v>
      </c>
      <c r="AQ39" s="4">
        <v>52050.0</v>
      </c>
      <c r="AR39" s="4">
        <v>100200.0</v>
      </c>
      <c r="AS39" s="4">
        <v>48150.0</v>
      </c>
      <c r="AT39" s="4">
        <v>41.0</v>
      </c>
      <c r="AU39" s="4">
        <v>4108200.0</v>
      </c>
      <c r="AV39" s="4">
        <v>0.08</v>
      </c>
      <c r="AW39" s="4">
        <v>328656.0</v>
      </c>
      <c r="AX39" s="4">
        <v>3779544.0</v>
      </c>
      <c r="AY39" s="4">
        <v>2134050.0</v>
      </c>
      <c r="AZ39" s="4">
        <v>1645494.0</v>
      </c>
    </row>
    <row r="40" ht="15.75" customHeight="1">
      <c r="A40" s="3" t="s">
        <v>226</v>
      </c>
      <c r="B40" s="5">
        <v>42599.0</v>
      </c>
      <c r="C40" s="6">
        <f t="shared" si="1"/>
        <v>2016</v>
      </c>
      <c r="D40" s="7" t="s">
        <v>227</v>
      </c>
      <c r="E40" s="7" t="s">
        <v>228</v>
      </c>
      <c r="F40" s="7" t="s">
        <v>50</v>
      </c>
      <c r="G40" s="5" t="s">
        <v>51</v>
      </c>
      <c r="H40" s="7" t="s">
        <v>140</v>
      </c>
      <c r="I40" s="7" t="s">
        <v>104</v>
      </c>
      <c r="J40" s="7" t="s">
        <v>229</v>
      </c>
      <c r="K40" s="7" t="s">
        <v>61</v>
      </c>
      <c r="L40" s="7" t="s">
        <v>127</v>
      </c>
      <c r="M40" s="7" t="s">
        <v>38</v>
      </c>
      <c r="N40" s="5">
        <v>42600.0</v>
      </c>
      <c r="O40" s="8">
        <v>28050.0</v>
      </c>
      <c r="P40" s="8">
        <v>33379.50000000001</v>
      </c>
      <c r="Q40" s="8">
        <f t="shared" si="2"/>
        <v>5329.5</v>
      </c>
      <c r="R40" s="8">
        <v>41.0</v>
      </c>
      <c r="S40" s="8">
        <f t="shared" si="3"/>
        <v>1368559.5</v>
      </c>
      <c r="T40" s="9">
        <v>0.06</v>
      </c>
      <c r="U40" s="8">
        <f t="shared" si="4"/>
        <v>82113.57</v>
      </c>
      <c r="V40" s="8">
        <f t="shared" si="5"/>
        <v>1286445.93</v>
      </c>
      <c r="W40" s="10">
        <f t="shared" si="6"/>
        <v>1150050</v>
      </c>
      <c r="X40" s="10">
        <f t="shared" si="7"/>
        <v>136395.93</v>
      </c>
      <c r="Y40" s="10"/>
      <c r="Z40" s="10"/>
      <c r="AA40" s="10"/>
      <c r="AB40" s="4" t="s">
        <v>230</v>
      </c>
      <c r="AC40" s="4" t="s">
        <v>226</v>
      </c>
      <c r="AD40" s="4">
        <v>42599.0</v>
      </c>
      <c r="AE40" s="4">
        <v>2016.0</v>
      </c>
      <c r="AF40" s="4" t="s">
        <v>227</v>
      </c>
      <c r="AG40" s="4" t="s">
        <v>228</v>
      </c>
      <c r="AH40" s="4" t="s">
        <v>50</v>
      </c>
      <c r="AI40" s="4" t="s">
        <v>51</v>
      </c>
      <c r="AJ40" s="4" t="s">
        <v>140</v>
      </c>
      <c r="AK40" s="4" t="s">
        <v>104</v>
      </c>
      <c r="AL40" s="4" t="s">
        <v>229</v>
      </c>
      <c r="AM40" s="4" t="s">
        <v>61</v>
      </c>
      <c r="AN40" s="4" t="s">
        <v>127</v>
      </c>
      <c r="AO40" s="4" t="s">
        <v>38</v>
      </c>
      <c r="AP40" s="4">
        <v>42600.0</v>
      </c>
      <c r="AQ40" s="4">
        <v>28050.0</v>
      </c>
      <c r="AR40" s="4">
        <v>33379.5</v>
      </c>
      <c r="AS40" s="4">
        <v>5329.50000000001</v>
      </c>
      <c r="AT40" s="4">
        <v>41.0</v>
      </c>
      <c r="AU40" s="4">
        <v>1368559.5</v>
      </c>
      <c r="AV40" s="4">
        <v>0.06</v>
      </c>
      <c r="AW40" s="4">
        <v>82113.57</v>
      </c>
      <c r="AX40" s="4">
        <v>1286445.93</v>
      </c>
      <c r="AY40" s="4">
        <v>1150050.0</v>
      </c>
      <c r="AZ40" s="4">
        <v>136395.93</v>
      </c>
    </row>
    <row r="41" ht="15.75" customHeight="1">
      <c r="A41" s="3" t="s">
        <v>231</v>
      </c>
      <c r="B41" s="5">
        <v>42599.0</v>
      </c>
      <c r="C41" s="6">
        <f t="shared" si="1"/>
        <v>2016</v>
      </c>
      <c r="D41" s="7" t="s">
        <v>227</v>
      </c>
      <c r="E41" s="7" t="s">
        <v>228</v>
      </c>
      <c r="F41" s="7" t="s">
        <v>50</v>
      </c>
      <c r="G41" s="5" t="s">
        <v>51</v>
      </c>
      <c r="H41" s="7" t="s">
        <v>140</v>
      </c>
      <c r="I41" s="7" t="s">
        <v>104</v>
      </c>
      <c r="J41" s="7" t="s">
        <v>224</v>
      </c>
      <c r="K41" s="7" t="s">
        <v>36</v>
      </c>
      <c r="L41" s="7" t="s">
        <v>45</v>
      </c>
      <c r="M41" s="7" t="s">
        <v>38</v>
      </c>
      <c r="N41" s="5">
        <v>42600.0</v>
      </c>
      <c r="O41" s="8">
        <v>52050.0</v>
      </c>
      <c r="P41" s="8">
        <v>100200.0</v>
      </c>
      <c r="Q41" s="8">
        <f t="shared" si="2"/>
        <v>48150</v>
      </c>
      <c r="R41" s="8">
        <v>2.0</v>
      </c>
      <c r="S41" s="8">
        <f t="shared" si="3"/>
        <v>200400</v>
      </c>
      <c r="T41" s="9">
        <v>0.01</v>
      </c>
      <c r="U41" s="8">
        <f t="shared" si="4"/>
        <v>2004</v>
      </c>
      <c r="V41" s="8">
        <f t="shared" si="5"/>
        <v>198396</v>
      </c>
      <c r="W41" s="10">
        <f t="shared" si="6"/>
        <v>104100</v>
      </c>
      <c r="X41" s="10">
        <f t="shared" si="7"/>
        <v>94296</v>
      </c>
      <c r="Y41" s="10"/>
      <c r="Z41" s="10"/>
      <c r="AA41" s="10"/>
      <c r="AB41" s="4" t="s">
        <v>232</v>
      </c>
      <c r="AC41" s="4" t="s">
        <v>231</v>
      </c>
      <c r="AD41" s="4">
        <v>42599.0</v>
      </c>
      <c r="AE41" s="4">
        <v>2016.0</v>
      </c>
      <c r="AF41" s="4" t="s">
        <v>227</v>
      </c>
      <c r="AG41" s="4" t="s">
        <v>228</v>
      </c>
      <c r="AH41" s="4" t="s">
        <v>50</v>
      </c>
      <c r="AI41" s="4" t="s">
        <v>51</v>
      </c>
      <c r="AJ41" s="4" t="s">
        <v>140</v>
      </c>
      <c r="AK41" s="4" t="s">
        <v>104</v>
      </c>
      <c r="AL41" s="4" t="s">
        <v>224</v>
      </c>
      <c r="AM41" s="4" t="s">
        <v>36</v>
      </c>
      <c r="AN41" s="4" t="s">
        <v>45</v>
      </c>
      <c r="AO41" s="4" t="s">
        <v>38</v>
      </c>
      <c r="AP41" s="4">
        <v>42600.0</v>
      </c>
      <c r="AQ41" s="4">
        <v>52050.0</v>
      </c>
      <c r="AR41" s="4">
        <v>100200.0</v>
      </c>
      <c r="AS41" s="4">
        <v>48150.0</v>
      </c>
      <c r="AT41" s="4">
        <v>2.0</v>
      </c>
      <c r="AU41" s="4">
        <v>200400.0</v>
      </c>
      <c r="AV41" s="4">
        <v>0.01</v>
      </c>
      <c r="AW41" s="4">
        <v>2004.0</v>
      </c>
      <c r="AX41" s="4">
        <v>198396.0</v>
      </c>
      <c r="AY41" s="4">
        <v>104100.0</v>
      </c>
      <c r="AZ41" s="4">
        <v>94296.0</v>
      </c>
    </row>
    <row r="42" ht="15.75" customHeight="1">
      <c r="A42" s="3" t="s">
        <v>233</v>
      </c>
      <c r="B42" s="5">
        <v>42599.0</v>
      </c>
      <c r="C42" s="6">
        <f t="shared" si="1"/>
        <v>2016</v>
      </c>
      <c r="D42" s="7" t="s">
        <v>234</v>
      </c>
      <c r="E42" s="7" t="s">
        <v>30</v>
      </c>
      <c r="F42" s="7" t="s">
        <v>31</v>
      </c>
      <c r="G42" s="5" t="s">
        <v>51</v>
      </c>
      <c r="H42" s="7" t="s">
        <v>33</v>
      </c>
      <c r="I42" s="7" t="s">
        <v>74</v>
      </c>
      <c r="J42" s="7" t="s">
        <v>204</v>
      </c>
      <c r="K42" s="7" t="s">
        <v>61</v>
      </c>
      <c r="L42" s="7" t="s">
        <v>37</v>
      </c>
      <c r="M42" s="7" t="s">
        <v>38</v>
      </c>
      <c r="N42" s="5">
        <v>42604.0</v>
      </c>
      <c r="O42" s="8">
        <v>151050.0</v>
      </c>
      <c r="P42" s="8">
        <v>239700.0</v>
      </c>
      <c r="Q42" s="8">
        <f t="shared" si="2"/>
        <v>88650</v>
      </c>
      <c r="R42" s="8">
        <v>34.0</v>
      </c>
      <c r="S42" s="8">
        <f t="shared" si="3"/>
        <v>8149800</v>
      </c>
      <c r="T42" s="9">
        <v>0.1</v>
      </c>
      <c r="U42" s="8">
        <f t="shared" si="4"/>
        <v>814980</v>
      </c>
      <c r="V42" s="8">
        <f t="shared" si="5"/>
        <v>7334820</v>
      </c>
      <c r="W42" s="10">
        <f t="shared" si="6"/>
        <v>5135700</v>
      </c>
      <c r="X42" s="10">
        <f t="shared" si="7"/>
        <v>2199120</v>
      </c>
      <c r="Y42" s="10"/>
      <c r="Z42" s="10"/>
      <c r="AA42" s="10"/>
      <c r="AB42" s="4" t="s">
        <v>235</v>
      </c>
      <c r="AC42" s="4" t="s">
        <v>233</v>
      </c>
      <c r="AD42" s="4">
        <v>42599.0</v>
      </c>
      <c r="AE42" s="4">
        <v>2016.0</v>
      </c>
      <c r="AF42" s="4" t="s">
        <v>234</v>
      </c>
      <c r="AG42" s="4" t="s">
        <v>30</v>
      </c>
      <c r="AH42" s="4" t="s">
        <v>31</v>
      </c>
      <c r="AI42" s="4" t="s">
        <v>51</v>
      </c>
      <c r="AJ42" s="4" t="s">
        <v>33</v>
      </c>
      <c r="AK42" s="4" t="s">
        <v>74</v>
      </c>
      <c r="AL42" s="4" t="s">
        <v>204</v>
      </c>
      <c r="AM42" s="4" t="s">
        <v>61</v>
      </c>
      <c r="AN42" s="4" t="s">
        <v>37</v>
      </c>
      <c r="AO42" s="4" t="s">
        <v>38</v>
      </c>
      <c r="AP42" s="4">
        <v>42604.0</v>
      </c>
      <c r="AQ42" s="4">
        <v>151050.0</v>
      </c>
      <c r="AR42" s="4">
        <v>239700.0</v>
      </c>
      <c r="AS42" s="4">
        <v>88650.0</v>
      </c>
      <c r="AT42" s="4">
        <v>34.0</v>
      </c>
      <c r="AU42" s="4">
        <v>8149800.0</v>
      </c>
      <c r="AV42" s="4">
        <v>0.1</v>
      </c>
      <c r="AW42" s="4">
        <v>814980.0</v>
      </c>
      <c r="AX42" s="4">
        <v>7334820.0</v>
      </c>
      <c r="AY42" s="4">
        <v>5135700.0</v>
      </c>
      <c r="AZ42" s="4">
        <v>2199120.0</v>
      </c>
    </row>
    <row r="43" ht="15.75" customHeight="1">
      <c r="A43" s="3" t="s">
        <v>236</v>
      </c>
      <c r="B43" s="5">
        <v>42601.0</v>
      </c>
      <c r="C43" s="6">
        <f t="shared" si="1"/>
        <v>2016</v>
      </c>
      <c r="D43" s="7" t="s">
        <v>237</v>
      </c>
      <c r="E43" s="7" t="s">
        <v>238</v>
      </c>
      <c r="F43" s="7" t="s">
        <v>50</v>
      </c>
      <c r="G43" s="5" t="s">
        <v>91</v>
      </c>
      <c r="H43" s="7" t="s">
        <v>151</v>
      </c>
      <c r="I43" s="7" t="s">
        <v>92</v>
      </c>
      <c r="J43" s="7" t="s">
        <v>208</v>
      </c>
      <c r="K43" s="7" t="s">
        <v>36</v>
      </c>
      <c r="L43" s="7" t="s">
        <v>127</v>
      </c>
      <c r="M43" s="7" t="s">
        <v>38</v>
      </c>
      <c r="N43" s="5">
        <v>42603.0</v>
      </c>
      <c r="O43" s="8">
        <v>71850.0</v>
      </c>
      <c r="P43" s="8">
        <v>179550.0</v>
      </c>
      <c r="Q43" s="8">
        <f t="shared" si="2"/>
        <v>107700</v>
      </c>
      <c r="R43" s="8">
        <v>18.0</v>
      </c>
      <c r="S43" s="8">
        <f t="shared" si="3"/>
        <v>3231900</v>
      </c>
      <c r="T43" s="9">
        <v>0.08</v>
      </c>
      <c r="U43" s="8">
        <f t="shared" si="4"/>
        <v>258552</v>
      </c>
      <c r="V43" s="8">
        <f t="shared" si="5"/>
        <v>2973348</v>
      </c>
      <c r="W43" s="10">
        <f t="shared" si="6"/>
        <v>1293300</v>
      </c>
      <c r="X43" s="10">
        <f t="shared" si="7"/>
        <v>1680048</v>
      </c>
      <c r="Y43" s="10"/>
      <c r="Z43" s="10"/>
      <c r="AA43" s="10"/>
      <c r="AB43" s="4" t="s">
        <v>239</v>
      </c>
      <c r="AC43" s="4" t="s">
        <v>236</v>
      </c>
      <c r="AD43" s="4">
        <v>42601.0</v>
      </c>
      <c r="AE43" s="4">
        <v>2016.0</v>
      </c>
      <c r="AF43" s="4" t="s">
        <v>237</v>
      </c>
      <c r="AG43" s="4" t="s">
        <v>238</v>
      </c>
      <c r="AH43" s="4" t="s">
        <v>50</v>
      </c>
      <c r="AI43" s="4" t="s">
        <v>91</v>
      </c>
      <c r="AJ43" s="4" t="s">
        <v>151</v>
      </c>
      <c r="AK43" s="4" t="s">
        <v>92</v>
      </c>
      <c r="AL43" s="4" t="s">
        <v>208</v>
      </c>
      <c r="AM43" s="4" t="s">
        <v>36</v>
      </c>
      <c r="AN43" s="4" t="s">
        <v>127</v>
      </c>
      <c r="AO43" s="4" t="s">
        <v>38</v>
      </c>
      <c r="AP43" s="4">
        <v>42603.0</v>
      </c>
      <c r="AQ43" s="4">
        <v>71850.0</v>
      </c>
      <c r="AR43" s="4">
        <v>179550.0</v>
      </c>
      <c r="AS43" s="4">
        <v>107700.0</v>
      </c>
      <c r="AT43" s="4">
        <v>18.0</v>
      </c>
      <c r="AU43" s="4">
        <v>3231900.0</v>
      </c>
      <c r="AV43" s="4">
        <v>0.08</v>
      </c>
      <c r="AW43" s="4">
        <v>258552.0</v>
      </c>
      <c r="AX43" s="4">
        <v>2973348.0</v>
      </c>
      <c r="AY43" s="4">
        <v>1293300.0</v>
      </c>
      <c r="AZ43" s="4">
        <v>1680048.0</v>
      </c>
    </row>
    <row r="44" ht="15.75" customHeight="1">
      <c r="A44" s="3" t="s">
        <v>240</v>
      </c>
      <c r="B44" s="5">
        <v>42603.0</v>
      </c>
      <c r="C44" s="6">
        <f t="shared" si="1"/>
        <v>2016</v>
      </c>
      <c r="D44" s="7" t="s">
        <v>241</v>
      </c>
      <c r="E44" s="7" t="s">
        <v>242</v>
      </c>
      <c r="F44" s="7" t="s">
        <v>50</v>
      </c>
      <c r="G44" s="5" t="s">
        <v>32</v>
      </c>
      <c r="H44" s="7" t="s">
        <v>151</v>
      </c>
      <c r="I44" s="7" t="s">
        <v>53</v>
      </c>
      <c r="J44" s="7" t="s">
        <v>243</v>
      </c>
      <c r="K44" s="7" t="s">
        <v>61</v>
      </c>
      <c r="L44" s="7" t="s">
        <v>244</v>
      </c>
      <c r="M44" s="7" t="s">
        <v>55</v>
      </c>
      <c r="N44" s="5">
        <v>42604.0</v>
      </c>
      <c r="O44" s="8">
        <v>132300.0</v>
      </c>
      <c r="P44" s="8">
        <v>314850.0</v>
      </c>
      <c r="Q44" s="8">
        <f t="shared" si="2"/>
        <v>182550</v>
      </c>
      <c r="R44" s="8">
        <v>8.0</v>
      </c>
      <c r="S44" s="8">
        <f t="shared" si="3"/>
        <v>2518800</v>
      </c>
      <c r="T44" s="9">
        <v>0.09</v>
      </c>
      <c r="U44" s="8">
        <f t="shared" si="4"/>
        <v>226692</v>
      </c>
      <c r="V44" s="8">
        <f t="shared" si="5"/>
        <v>2292108</v>
      </c>
      <c r="W44" s="10">
        <f t="shared" si="6"/>
        <v>1058400</v>
      </c>
      <c r="X44" s="10">
        <f t="shared" si="7"/>
        <v>1233708</v>
      </c>
      <c r="Y44" s="10"/>
      <c r="Z44" s="10"/>
      <c r="AA44" s="10"/>
      <c r="AB44" s="4" t="s">
        <v>245</v>
      </c>
      <c r="AC44" s="4" t="s">
        <v>240</v>
      </c>
      <c r="AD44" s="4">
        <v>42603.0</v>
      </c>
      <c r="AE44" s="4">
        <v>2016.0</v>
      </c>
      <c r="AF44" s="4" t="s">
        <v>241</v>
      </c>
      <c r="AG44" s="4" t="s">
        <v>242</v>
      </c>
      <c r="AH44" s="4" t="s">
        <v>50</v>
      </c>
      <c r="AI44" s="4" t="s">
        <v>32</v>
      </c>
      <c r="AJ44" s="4" t="s">
        <v>151</v>
      </c>
      <c r="AK44" s="4" t="s">
        <v>53</v>
      </c>
      <c r="AL44" s="4" t="s">
        <v>243</v>
      </c>
      <c r="AM44" s="4" t="s">
        <v>61</v>
      </c>
      <c r="AN44" s="4" t="s">
        <v>244</v>
      </c>
      <c r="AO44" s="4" t="s">
        <v>55</v>
      </c>
      <c r="AP44" s="4">
        <v>42604.0</v>
      </c>
      <c r="AQ44" s="4">
        <v>132300.0</v>
      </c>
      <c r="AR44" s="4">
        <v>314850.0</v>
      </c>
      <c r="AS44" s="4">
        <v>182550.0</v>
      </c>
      <c r="AT44" s="4">
        <v>8.0</v>
      </c>
      <c r="AU44" s="4">
        <v>2518800.0</v>
      </c>
      <c r="AV44" s="4">
        <v>0.09</v>
      </c>
      <c r="AW44" s="4">
        <v>226692.0</v>
      </c>
      <c r="AX44" s="4">
        <v>2292108.0</v>
      </c>
      <c r="AY44" s="4">
        <v>1058400.0</v>
      </c>
      <c r="AZ44" s="4">
        <v>1233708.0</v>
      </c>
    </row>
    <row r="45" ht="15.75" customHeight="1">
      <c r="A45" s="3" t="s">
        <v>246</v>
      </c>
      <c r="B45" s="5">
        <v>42603.0</v>
      </c>
      <c r="C45" s="6">
        <f t="shared" si="1"/>
        <v>2016</v>
      </c>
      <c r="D45" s="7" t="s">
        <v>247</v>
      </c>
      <c r="E45" s="7" t="s">
        <v>173</v>
      </c>
      <c r="F45" s="7" t="s">
        <v>31</v>
      </c>
      <c r="G45" s="5" t="s">
        <v>68</v>
      </c>
      <c r="H45" s="7" t="s">
        <v>43</v>
      </c>
      <c r="I45" s="7" t="s">
        <v>53</v>
      </c>
      <c r="J45" s="7" t="s">
        <v>86</v>
      </c>
      <c r="K45" s="7" t="s">
        <v>36</v>
      </c>
      <c r="L45" s="7" t="s">
        <v>45</v>
      </c>
      <c r="M45" s="7" t="s">
        <v>38</v>
      </c>
      <c r="N45" s="5">
        <v>42605.0</v>
      </c>
      <c r="O45" s="8">
        <v>16350.000000000002</v>
      </c>
      <c r="P45" s="8">
        <v>25200.0</v>
      </c>
      <c r="Q45" s="8">
        <f t="shared" si="2"/>
        <v>8850</v>
      </c>
      <c r="R45" s="8">
        <v>18.0</v>
      </c>
      <c r="S45" s="8">
        <f t="shared" si="3"/>
        <v>453600</v>
      </c>
      <c r="T45" s="9">
        <v>0.06</v>
      </c>
      <c r="U45" s="8">
        <f t="shared" si="4"/>
        <v>27216</v>
      </c>
      <c r="V45" s="8">
        <f t="shared" si="5"/>
        <v>426384</v>
      </c>
      <c r="W45" s="10">
        <f t="shared" si="6"/>
        <v>294300</v>
      </c>
      <c r="X45" s="10">
        <f t="shared" si="7"/>
        <v>132084</v>
      </c>
      <c r="Y45" s="10"/>
      <c r="Z45" s="10"/>
      <c r="AA45" s="10"/>
      <c r="AB45" s="4" t="s">
        <v>248</v>
      </c>
      <c r="AC45" s="4" t="s">
        <v>246</v>
      </c>
      <c r="AD45" s="4">
        <v>42603.0</v>
      </c>
      <c r="AE45" s="4">
        <v>2016.0</v>
      </c>
      <c r="AF45" s="4" t="s">
        <v>247</v>
      </c>
      <c r="AG45" s="4" t="s">
        <v>173</v>
      </c>
      <c r="AH45" s="4" t="s">
        <v>31</v>
      </c>
      <c r="AI45" s="4" t="s">
        <v>68</v>
      </c>
      <c r="AJ45" s="4" t="s">
        <v>43</v>
      </c>
      <c r="AK45" s="4" t="s">
        <v>53</v>
      </c>
      <c r="AL45" s="4" t="s">
        <v>86</v>
      </c>
      <c r="AM45" s="4" t="s">
        <v>36</v>
      </c>
      <c r="AN45" s="4" t="s">
        <v>45</v>
      </c>
      <c r="AO45" s="4" t="s">
        <v>38</v>
      </c>
      <c r="AP45" s="4">
        <v>42605.0</v>
      </c>
      <c r="AQ45" s="4">
        <v>16350.0</v>
      </c>
      <c r="AR45" s="4">
        <v>25200.0</v>
      </c>
      <c r="AS45" s="4">
        <v>8850.0</v>
      </c>
      <c r="AT45" s="4">
        <v>18.0</v>
      </c>
      <c r="AU45" s="4">
        <v>453600.0</v>
      </c>
      <c r="AV45" s="4">
        <v>0.06</v>
      </c>
      <c r="AW45" s="4">
        <v>27216.0</v>
      </c>
      <c r="AX45" s="4">
        <v>426384.0</v>
      </c>
      <c r="AY45" s="4">
        <v>294300.0</v>
      </c>
      <c r="AZ45" s="4">
        <v>132084.0</v>
      </c>
    </row>
    <row r="46" ht="15.75" customHeight="1">
      <c r="A46" s="3" t="s">
        <v>249</v>
      </c>
      <c r="B46" s="5">
        <v>42607.0</v>
      </c>
      <c r="C46" s="6">
        <f t="shared" si="1"/>
        <v>2016</v>
      </c>
      <c r="D46" s="7" t="s">
        <v>41</v>
      </c>
      <c r="E46" s="7" t="s">
        <v>42</v>
      </c>
      <c r="F46" s="7" t="s">
        <v>31</v>
      </c>
      <c r="G46" s="5" t="s">
        <v>32</v>
      </c>
      <c r="H46" s="7" t="s">
        <v>43</v>
      </c>
      <c r="I46" s="7" t="s">
        <v>104</v>
      </c>
      <c r="J46" s="7" t="s">
        <v>174</v>
      </c>
      <c r="K46" s="7" t="s">
        <v>36</v>
      </c>
      <c r="L46" s="7" t="s">
        <v>45</v>
      </c>
      <c r="M46" s="7" t="s">
        <v>55</v>
      </c>
      <c r="N46" s="5">
        <v>42609.0</v>
      </c>
      <c r="O46" s="8">
        <v>37800.0</v>
      </c>
      <c r="P46" s="8">
        <v>60000.0</v>
      </c>
      <c r="Q46" s="8">
        <f t="shared" si="2"/>
        <v>22200</v>
      </c>
      <c r="R46" s="8">
        <v>19.0</v>
      </c>
      <c r="S46" s="8">
        <f t="shared" si="3"/>
        <v>1140000</v>
      </c>
      <c r="T46" s="9">
        <v>0.09</v>
      </c>
      <c r="U46" s="8">
        <f t="shared" si="4"/>
        <v>102600</v>
      </c>
      <c r="V46" s="8">
        <f t="shared" si="5"/>
        <v>1037400</v>
      </c>
      <c r="W46" s="10">
        <f t="shared" si="6"/>
        <v>718200</v>
      </c>
      <c r="X46" s="10">
        <f t="shared" si="7"/>
        <v>319200</v>
      </c>
      <c r="Y46" s="10"/>
      <c r="Z46" s="10"/>
      <c r="AA46" s="10"/>
      <c r="AB46" s="4" t="s">
        <v>250</v>
      </c>
      <c r="AC46" s="4" t="s">
        <v>249</v>
      </c>
      <c r="AD46" s="4">
        <v>42607.0</v>
      </c>
      <c r="AE46" s="4">
        <v>2016.0</v>
      </c>
      <c r="AF46" s="4" t="s">
        <v>41</v>
      </c>
      <c r="AG46" s="4" t="s">
        <v>42</v>
      </c>
      <c r="AH46" s="4" t="s">
        <v>31</v>
      </c>
      <c r="AI46" s="4" t="s">
        <v>32</v>
      </c>
      <c r="AJ46" s="4" t="s">
        <v>43</v>
      </c>
      <c r="AK46" s="4" t="s">
        <v>104</v>
      </c>
      <c r="AL46" s="4" t="s">
        <v>174</v>
      </c>
      <c r="AM46" s="4" t="s">
        <v>36</v>
      </c>
      <c r="AN46" s="4" t="s">
        <v>45</v>
      </c>
      <c r="AO46" s="4" t="s">
        <v>55</v>
      </c>
      <c r="AP46" s="4">
        <v>42609.0</v>
      </c>
      <c r="AQ46" s="4">
        <v>37800.0</v>
      </c>
      <c r="AR46" s="4">
        <v>60000.0</v>
      </c>
      <c r="AS46" s="4">
        <v>22200.0</v>
      </c>
      <c r="AT46" s="4">
        <v>19.0</v>
      </c>
      <c r="AU46" s="4">
        <v>1140000.0</v>
      </c>
      <c r="AV46" s="4">
        <v>0.09</v>
      </c>
      <c r="AW46" s="4">
        <v>102600.0</v>
      </c>
      <c r="AX46" s="4">
        <v>1037400.0</v>
      </c>
      <c r="AY46" s="4">
        <v>718200.0</v>
      </c>
      <c r="AZ46" s="4">
        <v>319200.0</v>
      </c>
    </row>
    <row r="47" ht="15.75" customHeight="1">
      <c r="A47" s="3" t="s">
        <v>251</v>
      </c>
      <c r="B47" s="5">
        <v>42608.0</v>
      </c>
      <c r="C47" s="6">
        <f t="shared" si="1"/>
        <v>2016</v>
      </c>
      <c r="D47" s="7" t="s">
        <v>252</v>
      </c>
      <c r="E47" s="7" t="s">
        <v>253</v>
      </c>
      <c r="F47" s="7" t="s">
        <v>31</v>
      </c>
      <c r="G47" s="5" t="s">
        <v>32</v>
      </c>
      <c r="H47" s="7" t="s">
        <v>43</v>
      </c>
      <c r="I47" s="7" t="s">
        <v>34</v>
      </c>
      <c r="J47" s="7" t="s">
        <v>254</v>
      </c>
      <c r="K47" s="7" t="s">
        <v>36</v>
      </c>
      <c r="L47" s="7" t="s">
        <v>37</v>
      </c>
      <c r="M47" s="7" t="s">
        <v>38</v>
      </c>
      <c r="N47" s="5">
        <v>42609.0</v>
      </c>
      <c r="O47" s="8">
        <v>208200.0</v>
      </c>
      <c r="P47" s="8">
        <v>335700.0</v>
      </c>
      <c r="Q47" s="8">
        <f t="shared" si="2"/>
        <v>127500</v>
      </c>
      <c r="R47" s="8">
        <v>26.0</v>
      </c>
      <c r="S47" s="8">
        <f t="shared" si="3"/>
        <v>8728200</v>
      </c>
      <c r="T47" s="9">
        <v>0.1</v>
      </c>
      <c r="U47" s="8">
        <f t="shared" si="4"/>
        <v>872820</v>
      </c>
      <c r="V47" s="8">
        <f t="shared" si="5"/>
        <v>7855380</v>
      </c>
      <c r="W47" s="10">
        <f t="shared" si="6"/>
        <v>5413200</v>
      </c>
      <c r="X47" s="10">
        <f t="shared" si="7"/>
        <v>2442180</v>
      </c>
      <c r="Y47" s="10"/>
      <c r="Z47" s="10"/>
      <c r="AA47" s="10"/>
      <c r="AB47" s="4" t="s">
        <v>255</v>
      </c>
      <c r="AC47" s="4" t="s">
        <v>251</v>
      </c>
      <c r="AD47" s="4">
        <v>42608.0</v>
      </c>
      <c r="AE47" s="4">
        <v>2016.0</v>
      </c>
      <c r="AF47" s="4" t="s">
        <v>252</v>
      </c>
      <c r="AG47" s="4" t="s">
        <v>253</v>
      </c>
      <c r="AH47" s="4" t="s">
        <v>31</v>
      </c>
      <c r="AI47" s="4" t="s">
        <v>32</v>
      </c>
      <c r="AJ47" s="4" t="s">
        <v>43</v>
      </c>
      <c r="AK47" s="4" t="s">
        <v>34</v>
      </c>
      <c r="AL47" s="4" t="s">
        <v>254</v>
      </c>
      <c r="AM47" s="4" t="s">
        <v>36</v>
      </c>
      <c r="AN47" s="4" t="s">
        <v>37</v>
      </c>
      <c r="AO47" s="4" t="s">
        <v>38</v>
      </c>
      <c r="AP47" s="4">
        <v>42609.0</v>
      </c>
      <c r="AQ47" s="4">
        <v>208200.0</v>
      </c>
      <c r="AR47" s="4">
        <v>335700.0</v>
      </c>
      <c r="AS47" s="4">
        <v>127500.0</v>
      </c>
      <c r="AT47" s="4">
        <v>26.0</v>
      </c>
      <c r="AU47" s="4">
        <v>8728200.0</v>
      </c>
      <c r="AV47" s="4">
        <v>0.1</v>
      </c>
      <c r="AW47" s="4">
        <v>872820.0</v>
      </c>
      <c r="AX47" s="4">
        <v>7855380.0</v>
      </c>
      <c r="AY47" s="4">
        <v>5413200.0</v>
      </c>
      <c r="AZ47" s="4">
        <v>2442180.0</v>
      </c>
    </row>
    <row r="48" ht="15.75" customHeight="1">
      <c r="A48" s="3" t="s">
        <v>256</v>
      </c>
      <c r="B48" s="5">
        <v>42608.0</v>
      </c>
      <c r="C48" s="6">
        <f t="shared" si="1"/>
        <v>2016</v>
      </c>
      <c r="D48" s="7" t="s">
        <v>257</v>
      </c>
      <c r="E48" s="7" t="s">
        <v>258</v>
      </c>
      <c r="F48" s="7" t="s">
        <v>50</v>
      </c>
      <c r="G48" s="5" t="s">
        <v>51</v>
      </c>
      <c r="H48" s="7" t="s">
        <v>98</v>
      </c>
      <c r="I48" s="7" t="s">
        <v>92</v>
      </c>
      <c r="J48" s="7" t="s">
        <v>259</v>
      </c>
      <c r="K48" s="7" t="s">
        <v>36</v>
      </c>
      <c r="L48" s="7" t="s">
        <v>45</v>
      </c>
      <c r="M48" s="7" t="s">
        <v>38</v>
      </c>
      <c r="N48" s="5">
        <v>42610.0</v>
      </c>
      <c r="O48" s="8">
        <v>323400.0</v>
      </c>
      <c r="P48" s="8">
        <v>548250.0</v>
      </c>
      <c r="Q48" s="8">
        <f t="shared" si="2"/>
        <v>224850</v>
      </c>
      <c r="R48" s="8">
        <v>45.0</v>
      </c>
      <c r="S48" s="8">
        <f t="shared" si="3"/>
        <v>24671250</v>
      </c>
      <c r="T48" s="9">
        <v>0.1</v>
      </c>
      <c r="U48" s="8">
        <f t="shared" si="4"/>
        <v>2467125</v>
      </c>
      <c r="V48" s="8">
        <f t="shared" si="5"/>
        <v>22204125</v>
      </c>
      <c r="W48" s="10">
        <f t="shared" si="6"/>
        <v>14553000</v>
      </c>
      <c r="X48" s="10">
        <f t="shared" si="7"/>
        <v>7651125</v>
      </c>
      <c r="Y48" s="10"/>
      <c r="Z48" s="10"/>
      <c r="AA48" s="10"/>
      <c r="AB48" s="4" t="s">
        <v>260</v>
      </c>
      <c r="AC48" s="4" t="s">
        <v>256</v>
      </c>
      <c r="AD48" s="4">
        <v>42608.0</v>
      </c>
      <c r="AE48" s="4">
        <v>2016.0</v>
      </c>
      <c r="AF48" s="4" t="s">
        <v>257</v>
      </c>
      <c r="AG48" s="4" t="s">
        <v>258</v>
      </c>
      <c r="AH48" s="4" t="s">
        <v>50</v>
      </c>
      <c r="AI48" s="4" t="s">
        <v>51</v>
      </c>
      <c r="AJ48" s="4" t="s">
        <v>98</v>
      </c>
      <c r="AK48" s="4" t="s">
        <v>92</v>
      </c>
      <c r="AL48" s="4" t="s">
        <v>259</v>
      </c>
      <c r="AM48" s="4" t="s">
        <v>36</v>
      </c>
      <c r="AN48" s="4" t="s">
        <v>45</v>
      </c>
      <c r="AO48" s="4" t="s">
        <v>38</v>
      </c>
      <c r="AP48" s="4">
        <v>42610.0</v>
      </c>
      <c r="AQ48" s="4">
        <v>323400.0</v>
      </c>
      <c r="AR48" s="4">
        <v>548250.0</v>
      </c>
      <c r="AS48" s="4">
        <v>224850.0</v>
      </c>
      <c r="AT48" s="4">
        <v>45.0</v>
      </c>
      <c r="AU48" s="4">
        <v>2.467125E7</v>
      </c>
      <c r="AV48" s="4">
        <v>0.1</v>
      </c>
      <c r="AW48" s="4">
        <v>2467125.0</v>
      </c>
      <c r="AX48" s="4">
        <v>2.2204125E7</v>
      </c>
      <c r="AY48" s="4">
        <v>1.4553E7</v>
      </c>
      <c r="AZ48" s="4">
        <v>7651125.0</v>
      </c>
    </row>
    <row r="49" ht="15.75" customHeight="1">
      <c r="A49" s="3" t="s">
        <v>261</v>
      </c>
      <c r="B49" s="5">
        <v>42609.0</v>
      </c>
      <c r="C49" s="6">
        <f t="shared" si="1"/>
        <v>2016</v>
      </c>
      <c r="D49" s="7" t="s">
        <v>262</v>
      </c>
      <c r="E49" s="7" t="s">
        <v>263</v>
      </c>
      <c r="F49" s="7" t="s">
        <v>50</v>
      </c>
      <c r="G49" s="5" t="s">
        <v>68</v>
      </c>
      <c r="H49" s="7" t="s">
        <v>140</v>
      </c>
      <c r="I49" s="7" t="s">
        <v>34</v>
      </c>
      <c r="J49" s="7" t="s">
        <v>264</v>
      </c>
      <c r="K49" s="7" t="s">
        <v>61</v>
      </c>
      <c r="L49" s="7" t="s">
        <v>37</v>
      </c>
      <c r="M49" s="7" t="s">
        <v>55</v>
      </c>
      <c r="N49" s="5">
        <v>42610.0</v>
      </c>
      <c r="O49" s="8">
        <v>296700.0</v>
      </c>
      <c r="P49" s="8">
        <v>689850.0</v>
      </c>
      <c r="Q49" s="8">
        <f t="shared" si="2"/>
        <v>393150</v>
      </c>
      <c r="R49" s="8">
        <v>14.0</v>
      </c>
      <c r="S49" s="8">
        <f t="shared" si="3"/>
        <v>9657900</v>
      </c>
      <c r="T49" s="9">
        <v>0.02</v>
      </c>
      <c r="U49" s="8">
        <f t="shared" si="4"/>
        <v>193158</v>
      </c>
      <c r="V49" s="8">
        <f t="shared" si="5"/>
        <v>9464742</v>
      </c>
      <c r="W49" s="10">
        <f t="shared" si="6"/>
        <v>4153800</v>
      </c>
      <c r="X49" s="10">
        <f t="shared" si="7"/>
        <v>5310942</v>
      </c>
      <c r="Y49" s="10"/>
      <c r="Z49" s="10"/>
      <c r="AA49" s="10"/>
      <c r="AB49" s="4" t="s">
        <v>265</v>
      </c>
      <c r="AC49" s="4" t="s">
        <v>261</v>
      </c>
      <c r="AD49" s="4">
        <v>42609.0</v>
      </c>
      <c r="AE49" s="4">
        <v>2016.0</v>
      </c>
      <c r="AF49" s="4" t="s">
        <v>262</v>
      </c>
      <c r="AG49" s="4" t="s">
        <v>263</v>
      </c>
      <c r="AH49" s="4" t="s">
        <v>50</v>
      </c>
      <c r="AI49" s="4" t="s">
        <v>68</v>
      </c>
      <c r="AJ49" s="4" t="s">
        <v>140</v>
      </c>
      <c r="AK49" s="4" t="s">
        <v>34</v>
      </c>
      <c r="AL49" s="4" t="s">
        <v>264</v>
      </c>
      <c r="AM49" s="4" t="s">
        <v>61</v>
      </c>
      <c r="AN49" s="4" t="s">
        <v>37</v>
      </c>
      <c r="AO49" s="4" t="s">
        <v>55</v>
      </c>
      <c r="AP49" s="4">
        <v>42610.0</v>
      </c>
      <c r="AQ49" s="4">
        <v>296700.0</v>
      </c>
      <c r="AR49" s="4">
        <v>689850.0</v>
      </c>
      <c r="AS49" s="4">
        <v>393150.0</v>
      </c>
      <c r="AT49" s="4">
        <v>14.0</v>
      </c>
      <c r="AU49" s="4">
        <v>9657900.0</v>
      </c>
      <c r="AV49" s="4">
        <v>0.02</v>
      </c>
      <c r="AW49" s="4">
        <v>193158.0</v>
      </c>
      <c r="AX49" s="4">
        <v>9464742.0</v>
      </c>
      <c r="AY49" s="4">
        <v>4153800.0</v>
      </c>
      <c r="AZ49" s="4">
        <v>5310942.0</v>
      </c>
    </row>
    <row r="50" ht="15.75" customHeight="1">
      <c r="A50" s="3" t="s">
        <v>266</v>
      </c>
      <c r="B50" s="5">
        <v>42613.0</v>
      </c>
      <c r="C50" s="6">
        <f t="shared" si="1"/>
        <v>2016</v>
      </c>
      <c r="D50" s="7" t="s">
        <v>267</v>
      </c>
      <c r="E50" s="7" t="s">
        <v>268</v>
      </c>
      <c r="F50" s="7" t="s">
        <v>50</v>
      </c>
      <c r="G50" s="5" t="s">
        <v>32</v>
      </c>
      <c r="H50" s="7" t="s">
        <v>140</v>
      </c>
      <c r="I50" s="7" t="s">
        <v>34</v>
      </c>
      <c r="J50" s="7" t="s">
        <v>269</v>
      </c>
      <c r="K50" s="7" t="s">
        <v>61</v>
      </c>
      <c r="L50" s="7" t="s">
        <v>244</v>
      </c>
      <c r="M50" s="7" t="s">
        <v>38</v>
      </c>
      <c r="N50" s="5">
        <v>42614.0</v>
      </c>
      <c r="O50" s="8">
        <v>148650.0</v>
      </c>
      <c r="P50" s="8">
        <v>239850.0</v>
      </c>
      <c r="Q50" s="8">
        <f t="shared" si="2"/>
        <v>91200</v>
      </c>
      <c r="R50" s="8">
        <v>7.0</v>
      </c>
      <c r="S50" s="8">
        <f t="shared" si="3"/>
        <v>1678950</v>
      </c>
      <c r="T50" s="9">
        <v>0.03</v>
      </c>
      <c r="U50" s="8">
        <f t="shared" si="4"/>
        <v>50368.5</v>
      </c>
      <c r="V50" s="8">
        <f t="shared" si="5"/>
        <v>1628581.5</v>
      </c>
      <c r="W50" s="10">
        <f t="shared" si="6"/>
        <v>1040550</v>
      </c>
      <c r="X50" s="10">
        <f t="shared" si="7"/>
        <v>588031.5</v>
      </c>
      <c r="Y50" s="10"/>
      <c r="Z50" s="10"/>
      <c r="AA50" s="10"/>
      <c r="AB50" s="4" t="s">
        <v>270</v>
      </c>
      <c r="AC50" s="4" t="s">
        <v>266</v>
      </c>
      <c r="AD50" s="4">
        <v>42613.0</v>
      </c>
      <c r="AE50" s="4">
        <v>2016.0</v>
      </c>
      <c r="AF50" s="4" t="s">
        <v>267</v>
      </c>
      <c r="AG50" s="4" t="s">
        <v>268</v>
      </c>
      <c r="AH50" s="4" t="s">
        <v>50</v>
      </c>
      <c r="AI50" s="4" t="s">
        <v>32</v>
      </c>
      <c r="AJ50" s="4" t="s">
        <v>140</v>
      </c>
      <c r="AK50" s="4" t="s">
        <v>34</v>
      </c>
      <c r="AL50" s="4" t="s">
        <v>269</v>
      </c>
      <c r="AM50" s="4" t="s">
        <v>61</v>
      </c>
      <c r="AN50" s="4" t="s">
        <v>244</v>
      </c>
      <c r="AO50" s="4" t="s">
        <v>38</v>
      </c>
      <c r="AP50" s="4">
        <v>42614.0</v>
      </c>
      <c r="AQ50" s="4">
        <v>148650.0</v>
      </c>
      <c r="AR50" s="4">
        <v>239850.0</v>
      </c>
      <c r="AS50" s="4">
        <v>91200.0</v>
      </c>
      <c r="AT50" s="4">
        <v>7.0</v>
      </c>
      <c r="AU50" s="4">
        <v>1678950.0</v>
      </c>
      <c r="AV50" s="4">
        <v>0.03</v>
      </c>
      <c r="AW50" s="4">
        <v>50368.5</v>
      </c>
      <c r="AX50" s="4">
        <v>1628581.5</v>
      </c>
      <c r="AY50" s="4">
        <v>1040550.0</v>
      </c>
      <c r="AZ50" s="4">
        <v>588031.5</v>
      </c>
    </row>
    <row r="51" ht="15.75" customHeight="1">
      <c r="A51" s="3" t="s">
        <v>271</v>
      </c>
      <c r="B51" s="5">
        <v>42613.0</v>
      </c>
      <c r="C51" s="6">
        <f t="shared" si="1"/>
        <v>2016</v>
      </c>
      <c r="D51" s="7" t="s">
        <v>211</v>
      </c>
      <c r="E51" s="7" t="s">
        <v>194</v>
      </c>
      <c r="F51" s="7" t="s">
        <v>31</v>
      </c>
      <c r="G51" s="5" t="s">
        <v>32</v>
      </c>
      <c r="H51" s="7" t="s">
        <v>33</v>
      </c>
      <c r="I51" s="7" t="s">
        <v>92</v>
      </c>
      <c r="J51" s="7" t="s">
        <v>272</v>
      </c>
      <c r="K51" s="7" t="s">
        <v>36</v>
      </c>
      <c r="L51" s="7" t="s">
        <v>45</v>
      </c>
      <c r="M51" s="7" t="s">
        <v>38</v>
      </c>
      <c r="N51" s="5">
        <v>42614.0</v>
      </c>
      <c r="O51" s="8">
        <v>56250.0</v>
      </c>
      <c r="P51" s="8">
        <v>106200.0</v>
      </c>
      <c r="Q51" s="8">
        <f t="shared" si="2"/>
        <v>49950</v>
      </c>
      <c r="R51" s="8">
        <v>29.0</v>
      </c>
      <c r="S51" s="8">
        <f t="shared" si="3"/>
        <v>3079800</v>
      </c>
      <c r="T51" s="9">
        <v>0.04</v>
      </c>
      <c r="U51" s="8">
        <f t="shared" si="4"/>
        <v>123192</v>
      </c>
      <c r="V51" s="8">
        <f t="shared" si="5"/>
        <v>2956608</v>
      </c>
      <c r="W51" s="10">
        <f t="shared" si="6"/>
        <v>1631250</v>
      </c>
      <c r="X51" s="10">
        <f t="shared" si="7"/>
        <v>1325358</v>
      </c>
      <c r="Y51" s="10"/>
      <c r="Z51" s="10"/>
      <c r="AA51" s="10"/>
      <c r="AB51" s="4" t="s">
        <v>273</v>
      </c>
      <c r="AC51" s="4" t="s">
        <v>271</v>
      </c>
      <c r="AD51" s="4">
        <v>42613.0</v>
      </c>
      <c r="AE51" s="4">
        <v>2016.0</v>
      </c>
      <c r="AF51" s="4" t="s">
        <v>211</v>
      </c>
      <c r="AG51" s="4" t="s">
        <v>194</v>
      </c>
      <c r="AH51" s="4" t="s">
        <v>31</v>
      </c>
      <c r="AI51" s="4" t="s">
        <v>32</v>
      </c>
      <c r="AJ51" s="4" t="s">
        <v>33</v>
      </c>
      <c r="AK51" s="4" t="s">
        <v>92</v>
      </c>
      <c r="AL51" s="4" t="s">
        <v>272</v>
      </c>
      <c r="AM51" s="4" t="s">
        <v>36</v>
      </c>
      <c r="AN51" s="4" t="s">
        <v>45</v>
      </c>
      <c r="AO51" s="4" t="s">
        <v>38</v>
      </c>
      <c r="AP51" s="4">
        <v>42614.0</v>
      </c>
      <c r="AQ51" s="4">
        <v>56250.0</v>
      </c>
      <c r="AR51" s="4">
        <v>106200.0</v>
      </c>
      <c r="AS51" s="4">
        <v>49950.0</v>
      </c>
      <c r="AT51" s="4">
        <v>29.0</v>
      </c>
      <c r="AU51" s="4">
        <v>3079800.0</v>
      </c>
      <c r="AV51" s="4">
        <v>0.04</v>
      </c>
      <c r="AW51" s="4">
        <v>123192.0</v>
      </c>
      <c r="AX51" s="4">
        <v>2956608.0</v>
      </c>
      <c r="AY51" s="4">
        <v>1631250.0</v>
      </c>
      <c r="AZ51" s="4">
        <v>1325358.0</v>
      </c>
    </row>
    <row r="52" ht="15.75" customHeight="1">
      <c r="A52" s="3" t="s">
        <v>274</v>
      </c>
      <c r="B52" s="5">
        <v>42614.0</v>
      </c>
      <c r="C52" s="6">
        <f t="shared" si="1"/>
        <v>2016</v>
      </c>
      <c r="D52" s="7" t="s">
        <v>275</v>
      </c>
      <c r="E52" s="7" t="s">
        <v>276</v>
      </c>
      <c r="F52" s="7" t="s">
        <v>50</v>
      </c>
      <c r="G52" s="5" t="s">
        <v>51</v>
      </c>
      <c r="H52" s="7" t="s">
        <v>110</v>
      </c>
      <c r="I52" s="7" t="s">
        <v>34</v>
      </c>
      <c r="J52" s="7" t="s">
        <v>277</v>
      </c>
      <c r="K52" s="7" t="s">
        <v>278</v>
      </c>
      <c r="L52" s="7" t="s">
        <v>127</v>
      </c>
      <c r="M52" s="7" t="s">
        <v>38</v>
      </c>
      <c r="N52" s="5">
        <v>42615.0</v>
      </c>
      <c r="O52" s="8">
        <v>82500.0</v>
      </c>
      <c r="P52" s="8">
        <v>183300.0</v>
      </c>
      <c r="Q52" s="8">
        <f t="shared" si="2"/>
        <v>100800</v>
      </c>
      <c r="R52" s="8">
        <v>35.0</v>
      </c>
      <c r="S52" s="8">
        <f t="shared" si="3"/>
        <v>6415500</v>
      </c>
      <c r="T52" s="9">
        <v>0.0</v>
      </c>
      <c r="U52" s="8">
        <f t="shared" si="4"/>
        <v>0</v>
      </c>
      <c r="V52" s="8">
        <f t="shared" si="5"/>
        <v>6415500</v>
      </c>
      <c r="W52" s="10">
        <f t="shared" si="6"/>
        <v>2887500</v>
      </c>
      <c r="X52" s="10">
        <f t="shared" si="7"/>
        <v>3528000</v>
      </c>
      <c r="Y52" s="10"/>
      <c r="Z52" s="10"/>
      <c r="AA52" s="10"/>
      <c r="AB52" s="4" t="s">
        <v>279</v>
      </c>
      <c r="AC52" s="4" t="s">
        <v>274</v>
      </c>
      <c r="AD52" s="4">
        <v>42614.0</v>
      </c>
      <c r="AE52" s="4">
        <v>2016.0</v>
      </c>
      <c r="AF52" s="4" t="s">
        <v>275</v>
      </c>
      <c r="AG52" s="4" t="s">
        <v>276</v>
      </c>
      <c r="AH52" s="4" t="s">
        <v>50</v>
      </c>
      <c r="AI52" s="4" t="s">
        <v>51</v>
      </c>
      <c r="AJ52" s="4" t="s">
        <v>110</v>
      </c>
      <c r="AK52" s="4" t="s">
        <v>34</v>
      </c>
      <c r="AL52" s="4" t="s">
        <v>277</v>
      </c>
      <c r="AM52" s="4" t="s">
        <v>278</v>
      </c>
      <c r="AN52" s="4" t="s">
        <v>127</v>
      </c>
      <c r="AO52" s="4" t="s">
        <v>38</v>
      </c>
      <c r="AP52" s="4">
        <v>42615.0</v>
      </c>
      <c r="AQ52" s="4">
        <v>82500.0</v>
      </c>
      <c r="AR52" s="4">
        <v>183300.0</v>
      </c>
      <c r="AS52" s="4">
        <v>100800.0</v>
      </c>
      <c r="AT52" s="4">
        <v>35.0</v>
      </c>
      <c r="AU52" s="4">
        <v>6415500.0</v>
      </c>
      <c r="AV52" s="4">
        <v>0.0</v>
      </c>
      <c r="AW52" s="4">
        <v>0.0</v>
      </c>
      <c r="AX52" s="4">
        <v>6415500.0</v>
      </c>
      <c r="AY52" s="4">
        <v>2887500.0</v>
      </c>
      <c r="AZ52" s="4">
        <v>3528000.0</v>
      </c>
    </row>
    <row r="53" ht="15.75" customHeight="1">
      <c r="A53" s="3" t="s">
        <v>280</v>
      </c>
      <c r="B53" s="5">
        <v>42614.0</v>
      </c>
      <c r="C53" s="6">
        <f t="shared" si="1"/>
        <v>2016</v>
      </c>
      <c r="D53" s="7" t="s">
        <v>281</v>
      </c>
      <c r="E53" s="7" t="s">
        <v>145</v>
      </c>
      <c r="F53" s="7" t="s">
        <v>50</v>
      </c>
      <c r="G53" s="5" t="s">
        <v>91</v>
      </c>
      <c r="H53" s="7" t="s">
        <v>69</v>
      </c>
      <c r="I53" s="7" t="s">
        <v>92</v>
      </c>
      <c r="J53" s="7" t="s">
        <v>282</v>
      </c>
      <c r="K53" s="7" t="s">
        <v>36</v>
      </c>
      <c r="L53" s="7" t="s">
        <v>37</v>
      </c>
      <c r="M53" s="7" t="s">
        <v>38</v>
      </c>
      <c r="N53" s="5">
        <v>42616.0</v>
      </c>
      <c r="O53" s="8">
        <v>204600.0</v>
      </c>
      <c r="P53" s="8">
        <v>314700.0</v>
      </c>
      <c r="Q53" s="8">
        <f t="shared" si="2"/>
        <v>110100</v>
      </c>
      <c r="R53" s="8">
        <v>47.0</v>
      </c>
      <c r="S53" s="8">
        <f t="shared" si="3"/>
        <v>14790900</v>
      </c>
      <c r="T53" s="9">
        <v>0.1</v>
      </c>
      <c r="U53" s="8">
        <f t="shared" si="4"/>
        <v>1479090</v>
      </c>
      <c r="V53" s="8">
        <f t="shared" si="5"/>
        <v>13311810</v>
      </c>
      <c r="W53" s="10">
        <f t="shared" si="6"/>
        <v>9616200</v>
      </c>
      <c r="X53" s="10">
        <f t="shared" si="7"/>
        <v>3695610</v>
      </c>
      <c r="Y53" s="10"/>
      <c r="Z53" s="10"/>
      <c r="AA53" s="10"/>
      <c r="AB53" s="4" t="s">
        <v>283</v>
      </c>
      <c r="AC53" s="4" t="s">
        <v>280</v>
      </c>
      <c r="AD53" s="4">
        <v>42614.0</v>
      </c>
      <c r="AE53" s="4">
        <v>2016.0</v>
      </c>
      <c r="AF53" s="4" t="s">
        <v>281</v>
      </c>
      <c r="AG53" s="4" t="s">
        <v>145</v>
      </c>
      <c r="AH53" s="4" t="s">
        <v>50</v>
      </c>
      <c r="AI53" s="4" t="s">
        <v>91</v>
      </c>
      <c r="AJ53" s="4" t="s">
        <v>69</v>
      </c>
      <c r="AK53" s="4" t="s">
        <v>92</v>
      </c>
      <c r="AL53" s="4" t="s">
        <v>282</v>
      </c>
      <c r="AM53" s="4" t="s">
        <v>36</v>
      </c>
      <c r="AN53" s="4" t="s">
        <v>37</v>
      </c>
      <c r="AO53" s="4" t="s">
        <v>38</v>
      </c>
      <c r="AP53" s="4">
        <v>42616.0</v>
      </c>
      <c r="AQ53" s="4">
        <v>204600.0</v>
      </c>
      <c r="AR53" s="4">
        <v>314700.0</v>
      </c>
      <c r="AS53" s="4">
        <v>110100.0</v>
      </c>
      <c r="AT53" s="4">
        <v>47.0</v>
      </c>
      <c r="AU53" s="4">
        <v>1.47909E7</v>
      </c>
      <c r="AV53" s="4">
        <v>0.1</v>
      </c>
      <c r="AW53" s="4">
        <v>1479090.0</v>
      </c>
      <c r="AX53" s="4">
        <v>1.331181E7</v>
      </c>
      <c r="AY53" s="4">
        <v>9616200.0</v>
      </c>
      <c r="AZ53" s="4">
        <v>3695610.0</v>
      </c>
    </row>
    <row r="54" ht="15.75" customHeight="1">
      <c r="A54" s="3" t="s">
        <v>284</v>
      </c>
      <c r="B54" s="5">
        <v>42615.0</v>
      </c>
      <c r="C54" s="6">
        <f t="shared" si="1"/>
        <v>2016</v>
      </c>
      <c r="D54" s="7" t="s">
        <v>234</v>
      </c>
      <c r="E54" s="7" t="s">
        <v>30</v>
      </c>
      <c r="F54" s="7" t="s">
        <v>31</v>
      </c>
      <c r="G54" s="5" t="s">
        <v>68</v>
      </c>
      <c r="H54" s="7" t="s">
        <v>33</v>
      </c>
      <c r="I54" s="7" t="s">
        <v>34</v>
      </c>
      <c r="J54" s="7" t="s">
        <v>126</v>
      </c>
      <c r="K54" s="7" t="s">
        <v>36</v>
      </c>
      <c r="L54" s="7" t="s">
        <v>127</v>
      </c>
      <c r="M54" s="7" t="s">
        <v>38</v>
      </c>
      <c r="N54" s="5">
        <v>42615.0</v>
      </c>
      <c r="O54" s="8">
        <v>51300.0</v>
      </c>
      <c r="P54" s="8">
        <v>125100.0</v>
      </c>
      <c r="Q54" s="8">
        <f t="shared" si="2"/>
        <v>73800</v>
      </c>
      <c r="R54" s="8">
        <v>24.0</v>
      </c>
      <c r="S54" s="8">
        <f t="shared" si="3"/>
        <v>3002400</v>
      </c>
      <c r="T54" s="9">
        <v>0.1</v>
      </c>
      <c r="U54" s="8">
        <f t="shared" si="4"/>
        <v>300240</v>
      </c>
      <c r="V54" s="8">
        <f t="shared" si="5"/>
        <v>2702160</v>
      </c>
      <c r="W54" s="10">
        <f t="shared" si="6"/>
        <v>1231200</v>
      </c>
      <c r="X54" s="10">
        <f t="shared" si="7"/>
        <v>1470960</v>
      </c>
      <c r="Y54" s="10"/>
      <c r="Z54" s="10"/>
      <c r="AA54" s="10"/>
      <c r="AB54" s="4" t="s">
        <v>285</v>
      </c>
      <c r="AC54" s="4" t="s">
        <v>284</v>
      </c>
      <c r="AD54" s="4">
        <v>42615.0</v>
      </c>
      <c r="AE54" s="4">
        <v>2016.0</v>
      </c>
      <c r="AF54" s="4" t="s">
        <v>234</v>
      </c>
      <c r="AG54" s="4" t="s">
        <v>30</v>
      </c>
      <c r="AH54" s="4" t="s">
        <v>31</v>
      </c>
      <c r="AI54" s="4" t="s">
        <v>68</v>
      </c>
      <c r="AJ54" s="4" t="s">
        <v>33</v>
      </c>
      <c r="AK54" s="4" t="s">
        <v>34</v>
      </c>
      <c r="AL54" s="4" t="s">
        <v>126</v>
      </c>
      <c r="AM54" s="4" t="s">
        <v>36</v>
      </c>
      <c r="AN54" s="4" t="s">
        <v>127</v>
      </c>
      <c r="AO54" s="4" t="s">
        <v>38</v>
      </c>
      <c r="AP54" s="4">
        <v>42615.0</v>
      </c>
      <c r="AQ54" s="4">
        <v>51300.0</v>
      </c>
      <c r="AR54" s="4">
        <v>125100.0</v>
      </c>
      <c r="AS54" s="4">
        <v>73800.0</v>
      </c>
      <c r="AT54" s="4">
        <v>24.0</v>
      </c>
      <c r="AU54" s="4">
        <v>3002400.0</v>
      </c>
      <c r="AV54" s="4">
        <v>0.1</v>
      </c>
      <c r="AW54" s="4">
        <v>300240.0</v>
      </c>
      <c r="AX54" s="4">
        <v>2702160.0</v>
      </c>
      <c r="AY54" s="4">
        <v>1231200.0</v>
      </c>
      <c r="AZ54" s="4">
        <v>1470960.0</v>
      </c>
    </row>
    <row r="55" ht="15.75" customHeight="1">
      <c r="A55" s="3" t="s">
        <v>286</v>
      </c>
      <c r="B55" s="5">
        <v>42616.0</v>
      </c>
      <c r="C55" s="6">
        <f t="shared" si="1"/>
        <v>2016</v>
      </c>
      <c r="D55" s="7" t="s">
        <v>287</v>
      </c>
      <c r="E55" s="7" t="s">
        <v>288</v>
      </c>
      <c r="F55" s="7" t="s">
        <v>289</v>
      </c>
      <c r="G55" s="5" t="s">
        <v>91</v>
      </c>
      <c r="H55" s="7" t="s">
        <v>140</v>
      </c>
      <c r="I55" s="7" t="s">
        <v>53</v>
      </c>
      <c r="J55" s="7" t="s">
        <v>135</v>
      </c>
      <c r="K55" s="7" t="s">
        <v>36</v>
      </c>
      <c r="L55" s="7" t="s">
        <v>37</v>
      </c>
      <c r="M55" s="7" t="s">
        <v>55</v>
      </c>
      <c r="N55" s="5">
        <v>42617.0</v>
      </c>
      <c r="O55" s="8">
        <v>68850.0</v>
      </c>
      <c r="P55" s="8">
        <v>109200.0</v>
      </c>
      <c r="Q55" s="8">
        <f t="shared" si="2"/>
        <v>40350</v>
      </c>
      <c r="R55" s="8">
        <v>2.0</v>
      </c>
      <c r="S55" s="8">
        <f t="shared" si="3"/>
        <v>218400</v>
      </c>
      <c r="T55" s="9">
        <v>0.08</v>
      </c>
      <c r="U55" s="8">
        <f t="shared" si="4"/>
        <v>17472</v>
      </c>
      <c r="V55" s="8">
        <f t="shared" si="5"/>
        <v>200928</v>
      </c>
      <c r="W55" s="10">
        <f t="shared" si="6"/>
        <v>137700</v>
      </c>
      <c r="X55" s="10">
        <f t="shared" si="7"/>
        <v>63228</v>
      </c>
      <c r="Y55" s="10"/>
      <c r="Z55" s="10"/>
      <c r="AA55" s="10"/>
      <c r="AB55" s="4" t="s">
        <v>290</v>
      </c>
      <c r="AC55" s="4" t="s">
        <v>286</v>
      </c>
      <c r="AD55" s="4">
        <v>42616.0</v>
      </c>
      <c r="AE55" s="4">
        <v>2016.0</v>
      </c>
      <c r="AF55" s="4" t="s">
        <v>287</v>
      </c>
      <c r="AG55" s="4" t="s">
        <v>288</v>
      </c>
      <c r="AH55" s="4" t="s">
        <v>289</v>
      </c>
      <c r="AI55" s="4" t="s">
        <v>91</v>
      </c>
      <c r="AJ55" s="4" t="s">
        <v>140</v>
      </c>
      <c r="AK55" s="4" t="s">
        <v>53</v>
      </c>
      <c r="AL55" s="4" t="s">
        <v>135</v>
      </c>
      <c r="AM55" s="4" t="s">
        <v>36</v>
      </c>
      <c r="AN55" s="4" t="s">
        <v>37</v>
      </c>
      <c r="AO55" s="4" t="s">
        <v>55</v>
      </c>
      <c r="AP55" s="4">
        <v>42617.0</v>
      </c>
      <c r="AQ55" s="4">
        <v>68850.0</v>
      </c>
      <c r="AR55" s="4">
        <v>109200.0</v>
      </c>
      <c r="AS55" s="4">
        <v>40350.0</v>
      </c>
      <c r="AT55" s="4">
        <v>2.0</v>
      </c>
      <c r="AU55" s="4">
        <v>218400.0</v>
      </c>
      <c r="AV55" s="4">
        <v>0.08</v>
      </c>
      <c r="AW55" s="4">
        <v>17472.0</v>
      </c>
      <c r="AX55" s="4">
        <v>200928.0</v>
      </c>
      <c r="AY55" s="4">
        <v>137700.0</v>
      </c>
      <c r="AZ55" s="4">
        <v>63228.0</v>
      </c>
    </row>
    <row r="56" ht="15.75" customHeight="1">
      <c r="A56" s="3" t="s">
        <v>291</v>
      </c>
      <c r="B56" s="5">
        <v>42616.0</v>
      </c>
      <c r="C56" s="6">
        <f t="shared" si="1"/>
        <v>2016</v>
      </c>
      <c r="D56" s="7" t="s">
        <v>292</v>
      </c>
      <c r="E56" s="7" t="s">
        <v>293</v>
      </c>
      <c r="F56" s="7" t="s">
        <v>31</v>
      </c>
      <c r="G56" s="5" t="s">
        <v>51</v>
      </c>
      <c r="H56" s="7" t="s">
        <v>33</v>
      </c>
      <c r="I56" s="7" t="s">
        <v>53</v>
      </c>
      <c r="J56" s="7" t="s">
        <v>294</v>
      </c>
      <c r="K56" s="7" t="s">
        <v>36</v>
      </c>
      <c r="L56" s="7" t="s">
        <v>37</v>
      </c>
      <c r="M56" s="7" t="s">
        <v>38</v>
      </c>
      <c r="N56" s="5">
        <v>42618.0</v>
      </c>
      <c r="O56" s="8">
        <v>17700.0</v>
      </c>
      <c r="P56" s="8">
        <v>28200.0</v>
      </c>
      <c r="Q56" s="8">
        <f t="shared" si="2"/>
        <v>10500</v>
      </c>
      <c r="R56" s="8">
        <v>1.0</v>
      </c>
      <c r="S56" s="8">
        <f t="shared" si="3"/>
        <v>28200</v>
      </c>
      <c r="T56" s="9">
        <v>0.05</v>
      </c>
      <c r="U56" s="8">
        <f t="shared" si="4"/>
        <v>1410</v>
      </c>
      <c r="V56" s="8">
        <f t="shared" si="5"/>
        <v>26790</v>
      </c>
      <c r="W56" s="10">
        <f t="shared" si="6"/>
        <v>17700</v>
      </c>
      <c r="X56" s="10">
        <f t="shared" si="7"/>
        <v>9090</v>
      </c>
      <c r="Y56" s="10"/>
      <c r="Z56" s="10"/>
      <c r="AA56" s="10"/>
      <c r="AB56" s="4" t="s">
        <v>295</v>
      </c>
      <c r="AC56" s="4" t="s">
        <v>291</v>
      </c>
      <c r="AD56" s="4">
        <v>42616.0</v>
      </c>
      <c r="AE56" s="4">
        <v>2016.0</v>
      </c>
      <c r="AF56" s="4" t="s">
        <v>292</v>
      </c>
      <c r="AG56" s="4" t="s">
        <v>293</v>
      </c>
      <c r="AH56" s="4" t="s">
        <v>31</v>
      </c>
      <c r="AI56" s="4" t="s">
        <v>51</v>
      </c>
      <c r="AJ56" s="4" t="s">
        <v>33</v>
      </c>
      <c r="AK56" s="4" t="s">
        <v>53</v>
      </c>
      <c r="AL56" s="4" t="s">
        <v>294</v>
      </c>
      <c r="AM56" s="4" t="s">
        <v>36</v>
      </c>
      <c r="AN56" s="4" t="s">
        <v>37</v>
      </c>
      <c r="AO56" s="4" t="s">
        <v>38</v>
      </c>
      <c r="AP56" s="4">
        <v>42618.0</v>
      </c>
      <c r="AQ56" s="4">
        <v>17700.0</v>
      </c>
      <c r="AR56" s="4">
        <v>28200.0</v>
      </c>
      <c r="AS56" s="4">
        <v>10500.0</v>
      </c>
      <c r="AT56" s="4">
        <v>1.0</v>
      </c>
      <c r="AU56" s="4">
        <v>28200.0</v>
      </c>
      <c r="AV56" s="4">
        <v>0.05</v>
      </c>
      <c r="AW56" s="4">
        <v>1410.0</v>
      </c>
      <c r="AX56" s="4">
        <v>26790.0</v>
      </c>
      <c r="AY56" s="4">
        <v>17700.0</v>
      </c>
      <c r="AZ56" s="4">
        <v>9090.0</v>
      </c>
    </row>
    <row r="57" ht="15.75" customHeight="1">
      <c r="A57" s="3" t="s">
        <v>296</v>
      </c>
      <c r="B57" s="5">
        <v>42617.0</v>
      </c>
      <c r="C57" s="6">
        <f t="shared" si="1"/>
        <v>2016</v>
      </c>
      <c r="D57" s="7" t="s">
        <v>297</v>
      </c>
      <c r="E57" s="7" t="s">
        <v>298</v>
      </c>
      <c r="F57" s="7" t="s">
        <v>50</v>
      </c>
      <c r="G57" s="5" t="s">
        <v>32</v>
      </c>
      <c r="H57" s="7" t="s">
        <v>140</v>
      </c>
      <c r="I57" s="7" t="s">
        <v>104</v>
      </c>
      <c r="J57" s="7" t="s">
        <v>299</v>
      </c>
      <c r="K57" s="7" t="s">
        <v>61</v>
      </c>
      <c r="L57" s="7" t="s">
        <v>37</v>
      </c>
      <c r="M57" s="7" t="s">
        <v>55</v>
      </c>
      <c r="N57" s="5">
        <v>42619.0</v>
      </c>
      <c r="O57" s="8">
        <v>96000.0</v>
      </c>
      <c r="P57" s="8">
        <v>436500.0</v>
      </c>
      <c r="Q57" s="8">
        <f t="shared" si="2"/>
        <v>340500</v>
      </c>
      <c r="R57" s="8">
        <v>33.0</v>
      </c>
      <c r="S57" s="8">
        <f t="shared" si="3"/>
        <v>14404500</v>
      </c>
      <c r="T57" s="9">
        <v>0.01</v>
      </c>
      <c r="U57" s="8">
        <f t="shared" si="4"/>
        <v>144045</v>
      </c>
      <c r="V57" s="8">
        <f t="shared" si="5"/>
        <v>14260455</v>
      </c>
      <c r="W57" s="10">
        <f t="shared" si="6"/>
        <v>3168000</v>
      </c>
      <c r="X57" s="10">
        <f t="shared" si="7"/>
        <v>11092455</v>
      </c>
      <c r="Y57" s="10"/>
      <c r="Z57" s="10"/>
      <c r="AA57" s="10"/>
      <c r="AB57" s="4" t="s">
        <v>300</v>
      </c>
      <c r="AC57" s="4" t="s">
        <v>296</v>
      </c>
      <c r="AD57" s="4">
        <v>42617.0</v>
      </c>
      <c r="AE57" s="4">
        <v>2016.0</v>
      </c>
      <c r="AF57" s="4" t="s">
        <v>297</v>
      </c>
      <c r="AG57" s="4" t="s">
        <v>298</v>
      </c>
      <c r="AH57" s="4" t="s">
        <v>50</v>
      </c>
      <c r="AI57" s="4" t="s">
        <v>32</v>
      </c>
      <c r="AJ57" s="4" t="s">
        <v>140</v>
      </c>
      <c r="AK57" s="4" t="s">
        <v>104</v>
      </c>
      <c r="AL57" s="4" t="s">
        <v>299</v>
      </c>
      <c r="AM57" s="4" t="s">
        <v>61</v>
      </c>
      <c r="AN57" s="4" t="s">
        <v>37</v>
      </c>
      <c r="AO57" s="4" t="s">
        <v>55</v>
      </c>
      <c r="AP57" s="4">
        <v>42619.0</v>
      </c>
      <c r="AQ57" s="4">
        <v>96000.0</v>
      </c>
      <c r="AR57" s="4">
        <v>436500.0</v>
      </c>
      <c r="AS57" s="4">
        <v>340500.0</v>
      </c>
      <c r="AT57" s="4">
        <v>33.0</v>
      </c>
      <c r="AU57" s="4">
        <v>1.44045E7</v>
      </c>
      <c r="AV57" s="4">
        <v>0.01</v>
      </c>
      <c r="AW57" s="4">
        <v>144045.0</v>
      </c>
      <c r="AX57" s="4">
        <v>1.4260455E7</v>
      </c>
      <c r="AY57" s="4">
        <v>3168000.0</v>
      </c>
      <c r="AZ57" s="4">
        <v>1.1092455E7</v>
      </c>
    </row>
    <row r="58" ht="15.75" customHeight="1">
      <c r="A58" s="3" t="s">
        <v>301</v>
      </c>
      <c r="B58" s="5">
        <v>42620.0</v>
      </c>
      <c r="C58" s="6">
        <f t="shared" si="1"/>
        <v>2016</v>
      </c>
      <c r="D58" s="7" t="s">
        <v>302</v>
      </c>
      <c r="E58" s="7" t="s">
        <v>150</v>
      </c>
      <c r="F58" s="7" t="s">
        <v>50</v>
      </c>
      <c r="G58" s="5" t="s">
        <v>91</v>
      </c>
      <c r="H58" s="7" t="s">
        <v>151</v>
      </c>
      <c r="I58" s="7" t="s">
        <v>53</v>
      </c>
      <c r="J58" s="7" t="s">
        <v>303</v>
      </c>
      <c r="K58" s="7" t="s">
        <v>36</v>
      </c>
      <c r="L58" s="7" t="s">
        <v>37</v>
      </c>
      <c r="M58" s="7" t="s">
        <v>38</v>
      </c>
      <c r="N58" s="5">
        <v>42620.0</v>
      </c>
      <c r="O58" s="8">
        <v>57600.0</v>
      </c>
      <c r="P58" s="8">
        <v>94500.0</v>
      </c>
      <c r="Q58" s="8">
        <f t="shared" si="2"/>
        <v>36900</v>
      </c>
      <c r="R58" s="8">
        <v>42.0</v>
      </c>
      <c r="S58" s="8">
        <f t="shared" si="3"/>
        <v>3969000</v>
      </c>
      <c r="T58" s="9">
        <v>0.07</v>
      </c>
      <c r="U58" s="8">
        <f t="shared" si="4"/>
        <v>277830</v>
      </c>
      <c r="V58" s="8">
        <f t="shared" si="5"/>
        <v>3691170</v>
      </c>
      <c r="W58" s="10">
        <f t="shared" si="6"/>
        <v>2419200</v>
      </c>
      <c r="X58" s="10">
        <f t="shared" si="7"/>
        <v>1271970</v>
      </c>
      <c r="Y58" s="10"/>
      <c r="Z58" s="10"/>
      <c r="AA58" s="10"/>
      <c r="AB58" s="4" t="s">
        <v>304</v>
      </c>
      <c r="AC58" s="4" t="s">
        <v>301</v>
      </c>
      <c r="AD58" s="4">
        <v>42620.0</v>
      </c>
      <c r="AE58" s="4">
        <v>2016.0</v>
      </c>
      <c r="AF58" s="4" t="s">
        <v>302</v>
      </c>
      <c r="AG58" s="4" t="s">
        <v>150</v>
      </c>
      <c r="AH58" s="4" t="s">
        <v>50</v>
      </c>
      <c r="AI58" s="4" t="s">
        <v>91</v>
      </c>
      <c r="AJ58" s="4" t="s">
        <v>151</v>
      </c>
      <c r="AK58" s="4" t="s">
        <v>53</v>
      </c>
      <c r="AL58" s="4" t="s">
        <v>303</v>
      </c>
      <c r="AM58" s="4" t="s">
        <v>36</v>
      </c>
      <c r="AN58" s="4" t="s">
        <v>37</v>
      </c>
      <c r="AO58" s="4" t="s">
        <v>38</v>
      </c>
      <c r="AP58" s="4">
        <v>42620.0</v>
      </c>
      <c r="AQ58" s="4">
        <v>57600.0</v>
      </c>
      <c r="AR58" s="4">
        <v>94500.0</v>
      </c>
      <c r="AS58" s="4">
        <v>36900.0</v>
      </c>
      <c r="AT58" s="4">
        <v>42.0</v>
      </c>
      <c r="AU58" s="4">
        <v>3969000.0</v>
      </c>
      <c r="AV58" s="4">
        <v>0.07</v>
      </c>
      <c r="AW58" s="4">
        <v>277830.0</v>
      </c>
      <c r="AX58" s="4">
        <v>3691170.0</v>
      </c>
      <c r="AY58" s="4">
        <v>2419200.0</v>
      </c>
      <c r="AZ58" s="4">
        <v>1271970.0</v>
      </c>
    </row>
    <row r="59" ht="15.75" customHeight="1">
      <c r="A59" s="3" t="s">
        <v>305</v>
      </c>
      <c r="B59" s="5">
        <v>42621.0</v>
      </c>
      <c r="C59" s="6">
        <f t="shared" si="1"/>
        <v>2016</v>
      </c>
      <c r="D59" s="7" t="s">
        <v>306</v>
      </c>
      <c r="E59" s="7" t="s">
        <v>307</v>
      </c>
      <c r="F59" s="7" t="s">
        <v>50</v>
      </c>
      <c r="G59" s="5" t="s">
        <v>32</v>
      </c>
      <c r="H59" s="7" t="s">
        <v>140</v>
      </c>
      <c r="I59" s="7" t="s">
        <v>104</v>
      </c>
      <c r="J59" s="7" t="s">
        <v>308</v>
      </c>
      <c r="K59" s="7" t="s">
        <v>61</v>
      </c>
      <c r="L59" s="7" t="s">
        <v>37</v>
      </c>
      <c r="M59" s="7" t="s">
        <v>38</v>
      </c>
      <c r="N59" s="5">
        <v>42622.0</v>
      </c>
      <c r="O59" s="8">
        <v>2347500.0</v>
      </c>
      <c r="P59" s="8">
        <v>4514550.0</v>
      </c>
      <c r="Q59" s="8">
        <f t="shared" si="2"/>
        <v>2167050</v>
      </c>
      <c r="R59" s="8">
        <v>14.0</v>
      </c>
      <c r="S59" s="8">
        <f t="shared" si="3"/>
        <v>63203700</v>
      </c>
      <c r="T59" s="9">
        <v>0.1</v>
      </c>
      <c r="U59" s="8">
        <f t="shared" si="4"/>
        <v>6320370</v>
      </c>
      <c r="V59" s="8">
        <f t="shared" si="5"/>
        <v>56883330</v>
      </c>
      <c r="W59" s="10">
        <f t="shared" si="6"/>
        <v>32865000</v>
      </c>
      <c r="X59" s="10">
        <f t="shared" si="7"/>
        <v>24018330</v>
      </c>
      <c r="Y59" s="10"/>
      <c r="Z59" s="10"/>
      <c r="AA59" s="10"/>
      <c r="AB59" s="4" t="s">
        <v>309</v>
      </c>
      <c r="AC59" s="4" t="s">
        <v>305</v>
      </c>
      <c r="AD59" s="4">
        <v>42621.0</v>
      </c>
      <c r="AE59" s="4">
        <v>2016.0</v>
      </c>
      <c r="AF59" s="4" t="s">
        <v>306</v>
      </c>
      <c r="AG59" s="4" t="s">
        <v>307</v>
      </c>
      <c r="AH59" s="4" t="s">
        <v>50</v>
      </c>
      <c r="AI59" s="4" t="s">
        <v>32</v>
      </c>
      <c r="AJ59" s="4" t="s">
        <v>140</v>
      </c>
      <c r="AK59" s="4" t="s">
        <v>104</v>
      </c>
      <c r="AL59" s="4" t="s">
        <v>308</v>
      </c>
      <c r="AM59" s="4" t="s">
        <v>61</v>
      </c>
      <c r="AN59" s="4" t="s">
        <v>37</v>
      </c>
      <c r="AO59" s="4" t="s">
        <v>38</v>
      </c>
      <c r="AP59" s="4">
        <v>42622.0</v>
      </c>
      <c r="AQ59" s="4">
        <v>2347500.0</v>
      </c>
      <c r="AR59" s="4">
        <v>4514550.0</v>
      </c>
      <c r="AS59" s="4">
        <v>2167050.0</v>
      </c>
      <c r="AT59" s="4">
        <v>14.0</v>
      </c>
      <c r="AU59" s="4">
        <v>6.32037E7</v>
      </c>
      <c r="AV59" s="4">
        <v>0.1</v>
      </c>
      <c r="AW59" s="4">
        <v>6320370.0</v>
      </c>
      <c r="AX59" s="4">
        <v>5.688333E7</v>
      </c>
      <c r="AY59" s="4">
        <v>3.2865E7</v>
      </c>
      <c r="AZ59" s="4">
        <v>2.401833E7</v>
      </c>
    </row>
    <row r="60" ht="15.75" customHeight="1">
      <c r="A60" s="3" t="s">
        <v>310</v>
      </c>
      <c r="B60" s="5">
        <v>42622.0</v>
      </c>
      <c r="C60" s="6">
        <f t="shared" si="1"/>
        <v>2016</v>
      </c>
      <c r="D60" s="7" t="s">
        <v>311</v>
      </c>
      <c r="E60" s="7" t="s">
        <v>312</v>
      </c>
      <c r="F60" s="7" t="s">
        <v>50</v>
      </c>
      <c r="G60" s="5" t="s">
        <v>51</v>
      </c>
      <c r="H60" s="7" t="s">
        <v>151</v>
      </c>
      <c r="I60" s="7" t="s">
        <v>74</v>
      </c>
      <c r="J60" s="7" t="s">
        <v>313</v>
      </c>
      <c r="K60" s="7" t="s">
        <v>36</v>
      </c>
      <c r="L60" s="7" t="s">
        <v>45</v>
      </c>
      <c r="M60" s="7" t="s">
        <v>38</v>
      </c>
      <c r="N60" s="5">
        <v>42626.0</v>
      </c>
      <c r="O60" s="8">
        <v>34350.0</v>
      </c>
      <c r="P60" s="8">
        <v>53700.0</v>
      </c>
      <c r="Q60" s="8">
        <f t="shared" si="2"/>
        <v>19350</v>
      </c>
      <c r="R60" s="8">
        <v>38.0</v>
      </c>
      <c r="S60" s="8">
        <f t="shared" si="3"/>
        <v>2040600</v>
      </c>
      <c r="T60" s="9">
        <v>0.06</v>
      </c>
      <c r="U60" s="8">
        <f t="shared" si="4"/>
        <v>122436</v>
      </c>
      <c r="V60" s="8">
        <f t="shared" si="5"/>
        <v>1918164</v>
      </c>
      <c r="W60" s="10">
        <f t="shared" si="6"/>
        <v>1305300</v>
      </c>
      <c r="X60" s="10">
        <f t="shared" si="7"/>
        <v>612864</v>
      </c>
      <c r="Y60" s="10"/>
      <c r="Z60" s="10"/>
      <c r="AA60" s="10"/>
      <c r="AB60" s="4" t="s">
        <v>314</v>
      </c>
      <c r="AC60" s="4" t="s">
        <v>310</v>
      </c>
      <c r="AD60" s="4">
        <v>42622.0</v>
      </c>
      <c r="AE60" s="4">
        <v>2016.0</v>
      </c>
      <c r="AF60" s="4" t="s">
        <v>311</v>
      </c>
      <c r="AG60" s="4" t="s">
        <v>312</v>
      </c>
      <c r="AH60" s="4" t="s">
        <v>50</v>
      </c>
      <c r="AI60" s="4" t="s">
        <v>51</v>
      </c>
      <c r="AJ60" s="4" t="s">
        <v>151</v>
      </c>
      <c r="AK60" s="4" t="s">
        <v>74</v>
      </c>
      <c r="AL60" s="4" t="s">
        <v>313</v>
      </c>
      <c r="AM60" s="4" t="s">
        <v>36</v>
      </c>
      <c r="AN60" s="4" t="s">
        <v>45</v>
      </c>
      <c r="AO60" s="4" t="s">
        <v>38</v>
      </c>
      <c r="AP60" s="4">
        <v>42626.0</v>
      </c>
      <c r="AQ60" s="4">
        <v>34350.0</v>
      </c>
      <c r="AR60" s="4">
        <v>53700.0</v>
      </c>
      <c r="AS60" s="4">
        <v>19350.0</v>
      </c>
      <c r="AT60" s="4">
        <v>38.0</v>
      </c>
      <c r="AU60" s="4">
        <v>2040600.0</v>
      </c>
      <c r="AV60" s="4">
        <v>0.06</v>
      </c>
      <c r="AW60" s="4">
        <v>122436.0</v>
      </c>
      <c r="AX60" s="4">
        <v>1918164.0</v>
      </c>
      <c r="AY60" s="4">
        <v>1305300.0</v>
      </c>
      <c r="AZ60" s="4">
        <v>612864.0</v>
      </c>
    </row>
    <row r="61" ht="15.75" customHeight="1">
      <c r="A61" s="3" t="s">
        <v>315</v>
      </c>
      <c r="B61" s="5">
        <v>42623.0</v>
      </c>
      <c r="C61" s="6">
        <f t="shared" si="1"/>
        <v>2016</v>
      </c>
      <c r="D61" s="7" t="s">
        <v>316</v>
      </c>
      <c r="E61" s="7" t="s">
        <v>317</v>
      </c>
      <c r="F61" s="7" t="s">
        <v>289</v>
      </c>
      <c r="G61" s="5" t="s">
        <v>32</v>
      </c>
      <c r="H61" s="7" t="s">
        <v>200</v>
      </c>
      <c r="I61" s="7" t="s">
        <v>34</v>
      </c>
      <c r="J61" s="7" t="s">
        <v>318</v>
      </c>
      <c r="K61" s="7" t="s">
        <v>36</v>
      </c>
      <c r="L61" s="7" t="s">
        <v>37</v>
      </c>
      <c r="M61" s="7" t="s">
        <v>55</v>
      </c>
      <c r="N61" s="5">
        <v>42623.0</v>
      </c>
      <c r="O61" s="8">
        <v>33750.0</v>
      </c>
      <c r="P61" s="8">
        <v>55350.0</v>
      </c>
      <c r="Q61" s="8">
        <f t="shared" si="2"/>
        <v>21600</v>
      </c>
      <c r="R61" s="8">
        <v>35.0</v>
      </c>
      <c r="S61" s="8">
        <f t="shared" si="3"/>
        <v>1937250</v>
      </c>
      <c r="T61" s="9">
        <v>0.03</v>
      </c>
      <c r="U61" s="8">
        <f t="shared" si="4"/>
        <v>58117.5</v>
      </c>
      <c r="V61" s="8">
        <f t="shared" si="5"/>
        <v>1879132.5</v>
      </c>
      <c r="W61" s="10">
        <f t="shared" si="6"/>
        <v>1181250</v>
      </c>
      <c r="X61" s="10">
        <f t="shared" si="7"/>
        <v>697882.5</v>
      </c>
      <c r="Y61" s="10"/>
      <c r="Z61" s="10"/>
      <c r="AA61" s="10"/>
      <c r="AB61" s="4" t="s">
        <v>319</v>
      </c>
      <c r="AC61" s="4" t="s">
        <v>315</v>
      </c>
      <c r="AD61" s="4">
        <v>42623.0</v>
      </c>
      <c r="AE61" s="4">
        <v>2016.0</v>
      </c>
      <c r="AF61" s="4" t="s">
        <v>316</v>
      </c>
      <c r="AG61" s="4" t="s">
        <v>317</v>
      </c>
      <c r="AH61" s="4" t="s">
        <v>289</v>
      </c>
      <c r="AI61" s="4" t="s">
        <v>32</v>
      </c>
      <c r="AJ61" s="4" t="s">
        <v>200</v>
      </c>
      <c r="AK61" s="4" t="s">
        <v>34</v>
      </c>
      <c r="AL61" s="4" t="s">
        <v>318</v>
      </c>
      <c r="AM61" s="4" t="s">
        <v>36</v>
      </c>
      <c r="AN61" s="4" t="s">
        <v>37</v>
      </c>
      <c r="AO61" s="4" t="s">
        <v>55</v>
      </c>
      <c r="AP61" s="4">
        <v>42623.0</v>
      </c>
      <c r="AQ61" s="4">
        <v>33750.0</v>
      </c>
      <c r="AR61" s="4">
        <v>55350.0</v>
      </c>
      <c r="AS61" s="4">
        <v>21600.0</v>
      </c>
      <c r="AT61" s="4">
        <v>35.0</v>
      </c>
      <c r="AU61" s="4">
        <v>1937250.0</v>
      </c>
      <c r="AV61" s="4">
        <v>0.03</v>
      </c>
      <c r="AW61" s="4">
        <v>58117.5</v>
      </c>
      <c r="AX61" s="4">
        <v>1879132.5</v>
      </c>
      <c r="AY61" s="4">
        <v>1181250.0</v>
      </c>
      <c r="AZ61" s="4">
        <v>697882.5</v>
      </c>
    </row>
    <row r="62" ht="15.75" customHeight="1">
      <c r="A62" s="3" t="s">
        <v>320</v>
      </c>
      <c r="B62" s="5">
        <v>42623.0</v>
      </c>
      <c r="C62" s="6">
        <f t="shared" si="1"/>
        <v>2016</v>
      </c>
      <c r="D62" s="7" t="s">
        <v>321</v>
      </c>
      <c r="E62" s="7" t="s">
        <v>124</v>
      </c>
      <c r="F62" s="7" t="s">
        <v>289</v>
      </c>
      <c r="G62" s="5" t="s">
        <v>91</v>
      </c>
      <c r="H62" s="7" t="s">
        <v>200</v>
      </c>
      <c r="I62" s="7" t="s">
        <v>104</v>
      </c>
      <c r="J62" s="7" t="s">
        <v>322</v>
      </c>
      <c r="K62" s="7" t="s">
        <v>36</v>
      </c>
      <c r="L62" s="7" t="s">
        <v>37</v>
      </c>
      <c r="M62" s="7" t="s">
        <v>55</v>
      </c>
      <c r="N62" s="5">
        <v>42623.0</v>
      </c>
      <c r="O62" s="8">
        <v>185850.0</v>
      </c>
      <c r="P62" s="8">
        <v>299700.0</v>
      </c>
      <c r="Q62" s="8">
        <f t="shared" si="2"/>
        <v>113850</v>
      </c>
      <c r="R62" s="8">
        <v>13.0</v>
      </c>
      <c r="S62" s="8">
        <f t="shared" si="3"/>
        <v>3896100</v>
      </c>
      <c r="T62" s="9">
        <v>0.1</v>
      </c>
      <c r="U62" s="8">
        <f t="shared" si="4"/>
        <v>389610</v>
      </c>
      <c r="V62" s="8">
        <f t="shared" si="5"/>
        <v>3506490</v>
      </c>
      <c r="W62" s="10">
        <f t="shared" si="6"/>
        <v>2416050</v>
      </c>
      <c r="X62" s="10">
        <f t="shared" si="7"/>
        <v>1090440</v>
      </c>
      <c r="Y62" s="10"/>
      <c r="Z62" s="10"/>
      <c r="AA62" s="10"/>
      <c r="AB62" s="4" t="s">
        <v>323</v>
      </c>
      <c r="AC62" s="4" t="s">
        <v>320</v>
      </c>
      <c r="AD62" s="4">
        <v>42623.0</v>
      </c>
      <c r="AE62" s="4">
        <v>2016.0</v>
      </c>
      <c r="AF62" s="4" t="s">
        <v>321</v>
      </c>
      <c r="AG62" s="4" t="s">
        <v>124</v>
      </c>
      <c r="AH62" s="4" t="s">
        <v>289</v>
      </c>
      <c r="AI62" s="4" t="s">
        <v>91</v>
      </c>
      <c r="AJ62" s="4" t="s">
        <v>200</v>
      </c>
      <c r="AK62" s="4" t="s">
        <v>104</v>
      </c>
      <c r="AL62" s="4" t="s">
        <v>322</v>
      </c>
      <c r="AM62" s="4" t="s">
        <v>36</v>
      </c>
      <c r="AN62" s="4" t="s">
        <v>37</v>
      </c>
      <c r="AO62" s="4" t="s">
        <v>55</v>
      </c>
      <c r="AP62" s="4">
        <v>42623.0</v>
      </c>
      <c r="AQ62" s="4">
        <v>185850.0</v>
      </c>
      <c r="AR62" s="4">
        <v>299700.0</v>
      </c>
      <c r="AS62" s="4">
        <v>113850.0</v>
      </c>
      <c r="AT62" s="4">
        <v>13.0</v>
      </c>
      <c r="AU62" s="4">
        <v>3896100.0</v>
      </c>
      <c r="AV62" s="4">
        <v>0.1</v>
      </c>
      <c r="AW62" s="4">
        <v>389610.0</v>
      </c>
      <c r="AX62" s="4">
        <v>3506490.0</v>
      </c>
      <c r="AY62" s="4">
        <v>2416050.0</v>
      </c>
      <c r="AZ62" s="4">
        <v>1090440.0</v>
      </c>
    </row>
    <row r="63" ht="15.75" customHeight="1">
      <c r="A63" s="3" t="s">
        <v>324</v>
      </c>
      <c r="B63" s="5">
        <v>42625.0</v>
      </c>
      <c r="C63" s="6">
        <f t="shared" si="1"/>
        <v>2016</v>
      </c>
      <c r="D63" s="7" t="s">
        <v>325</v>
      </c>
      <c r="E63" s="7" t="s">
        <v>326</v>
      </c>
      <c r="F63" s="7" t="s">
        <v>50</v>
      </c>
      <c r="G63" s="5" t="s">
        <v>51</v>
      </c>
      <c r="H63" s="7" t="s">
        <v>69</v>
      </c>
      <c r="I63" s="7" t="s">
        <v>104</v>
      </c>
      <c r="J63" s="7" t="s">
        <v>327</v>
      </c>
      <c r="K63" s="7" t="s">
        <v>36</v>
      </c>
      <c r="L63" s="7" t="s">
        <v>37</v>
      </c>
      <c r="M63" s="7" t="s">
        <v>38</v>
      </c>
      <c r="N63" s="5">
        <v>42625.0</v>
      </c>
      <c r="O63" s="8">
        <v>133800.0</v>
      </c>
      <c r="P63" s="8">
        <v>446100.0</v>
      </c>
      <c r="Q63" s="8">
        <f t="shared" si="2"/>
        <v>312300</v>
      </c>
      <c r="R63" s="8">
        <v>14.0</v>
      </c>
      <c r="S63" s="8">
        <f t="shared" si="3"/>
        <v>6245400</v>
      </c>
      <c r="T63" s="9">
        <v>0.02</v>
      </c>
      <c r="U63" s="8">
        <f t="shared" si="4"/>
        <v>124908</v>
      </c>
      <c r="V63" s="8">
        <f t="shared" si="5"/>
        <v>6120492</v>
      </c>
      <c r="W63" s="10">
        <f t="shared" si="6"/>
        <v>1873200</v>
      </c>
      <c r="X63" s="10">
        <f t="shared" si="7"/>
        <v>4247292</v>
      </c>
      <c r="Y63" s="10"/>
      <c r="Z63" s="10"/>
      <c r="AA63" s="10"/>
      <c r="AB63" s="4" t="s">
        <v>328</v>
      </c>
      <c r="AC63" s="4" t="s">
        <v>324</v>
      </c>
      <c r="AD63" s="4">
        <v>42625.0</v>
      </c>
      <c r="AE63" s="4">
        <v>2016.0</v>
      </c>
      <c r="AF63" s="4" t="s">
        <v>325</v>
      </c>
      <c r="AG63" s="4" t="s">
        <v>326</v>
      </c>
      <c r="AH63" s="4" t="s">
        <v>50</v>
      </c>
      <c r="AI63" s="4" t="s">
        <v>51</v>
      </c>
      <c r="AJ63" s="4" t="s">
        <v>69</v>
      </c>
      <c r="AK63" s="4" t="s">
        <v>104</v>
      </c>
      <c r="AL63" s="4" t="s">
        <v>327</v>
      </c>
      <c r="AM63" s="4" t="s">
        <v>36</v>
      </c>
      <c r="AN63" s="4" t="s">
        <v>37</v>
      </c>
      <c r="AO63" s="4" t="s">
        <v>38</v>
      </c>
      <c r="AP63" s="4">
        <v>42625.0</v>
      </c>
      <c r="AQ63" s="4">
        <v>133800.0</v>
      </c>
      <c r="AR63" s="4">
        <v>446100.0</v>
      </c>
      <c r="AS63" s="4">
        <v>312300.0</v>
      </c>
      <c r="AT63" s="4">
        <v>14.0</v>
      </c>
      <c r="AU63" s="4">
        <v>6245400.0</v>
      </c>
      <c r="AV63" s="4">
        <v>0.02</v>
      </c>
      <c r="AW63" s="4">
        <v>124908.0</v>
      </c>
      <c r="AX63" s="4">
        <v>6120492.0</v>
      </c>
      <c r="AY63" s="4">
        <v>1873200.0</v>
      </c>
      <c r="AZ63" s="4">
        <v>4247292.0</v>
      </c>
    </row>
    <row r="64" ht="15.75" customHeight="1">
      <c r="A64" s="3" t="s">
        <v>329</v>
      </c>
      <c r="B64" s="5">
        <v>42625.0</v>
      </c>
      <c r="C64" s="6">
        <f t="shared" si="1"/>
        <v>2016</v>
      </c>
      <c r="D64" s="7" t="s">
        <v>330</v>
      </c>
      <c r="E64" s="7" t="s">
        <v>139</v>
      </c>
      <c r="F64" s="7" t="s">
        <v>50</v>
      </c>
      <c r="G64" s="5" t="s">
        <v>91</v>
      </c>
      <c r="H64" s="7" t="s">
        <v>140</v>
      </c>
      <c r="I64" s="7" t="s">
        <v>92</v>
      </c>
      <c r="J64" s="7" t="s">
        <v>331</v>
      </c>
      <c r="K64" s="7" t="s">
        <v>61</v>
      </c>
      <c r="L64" s="7" t="s">
        <v>37</v>
      </c>
      <c r="M64" s="7" t="s">
        <v>38</v>
      </c>
      <c r="N64" s="5">
        <v>42627.0</v>
      </c>
      <c r="O64" s="8">
        <v>908850.0</v>
      </c>
      <c r="P64" s="8">
        <v>1514700.0</v>
      </c>
      <c r="Q64" s="8">
        <f t="shared" si="2"/>
        <v>605850</v>
      </c>
      <c r="R64" s="8">
        <v>33.0</v>
      </c>
      <c r="S64" s="8">
        <f t="shared" si="3"/>
        <v>49985100</v>
      </c>
      <c r="T64" s="9">
        <v>0.05</v>
      </c>
      <c r="U64" s="8">
        <f t="shared" si="4"/>
        <v>2499255</v>
      </c>
      <c r="V64" s="8">
        <f t="shared" si="5"/>
        <v>47485845</v>
      </c>
      <c r="W64" s="10">
        <f t="shared" si="6"/>
        <v>29992050</v>
      </c>
      <c r="X64" s="10">
        <f t="shared" si="7"/>
        <v>17493795</v>
      </c>
      <c r="Y64" s="10"/>
      <c r="Z64" s="10"/>
      <c r="AA64" s="10"/>
      <c r="AB64" s="4" t="s">
        <v>332</v>
      </c>
      <c r="AC64" s="4" t="s">
        <v>329</v>
      </c>
      <c r="AD64" s="4">
        <v>42625.0</v>
      </c>
      <c r="AE64" s="4">
        <v>2016.0</v>
      </c>
      <c r="AF64" s="4" t="s">
        <v>330</v>
      </c>
      <c r="AG64" s="4" t="s">
        <v>139</v>
      </c>
      <c r="AH64" s="4" t="s">
        <v>50</v>
      </c>
      <c r="AI64" s="4" t="s">
        <v>91</v>
      </c>
      <c r="AJ64" s="4" t="s">
        <v>140</v>
      </c>
      <c r="AK64" s="4" t="s">
        <v>92</v>
      </c>
      <c r="AL64" s="4" t="s">
        <v>331</v>
      </c>
      <c r="AM64" s="4" t="s">
        <v>61</v>
      </c>
      <c r="AN64" s="4" t="s">
        <v>37</v>
      </c>
      <c r="AO64" s="4" t="s">
        <v>38</v>
      </c>
      <c r="AP64" s="4">
        <v>42627.0</v>
      </c>
      <c r="AQ64" s="4">
        <v>908850.0</v>
      </c>
      <c r="AR64" s="4">
        <v>1514700.0</v>
      </c>
      <c r="AS64" s="4">
        <v>605850.0</v>
      </c>
      <c r="AT64" s="4">
        <v>33.0</v>
      </c>
      <c r="AU64" s="4">
        <v>4.99851E7</v>
      </c>
      <c r="AV64" s="4">
        <v>0.05</v>
      </c>
      <c r="AW64" s="4">
        <v>2499255.0</v>
      </c>
      <c r="AX64" s="4">
        <v>4.7485845E7</v>
      </c>
      <c r="AY64" s="4">
        <v>2.999205E7</v>
      </c>
      <c r="AZ64" s="4">
        <v>1.7493795E7</v>
      </c>
    </row>
    <row r="65" ht="15.75" customHeight="1">
      <c r="A65" s="3" t="s">
        <v>333</v>
      </c>
      <c r="B65" s="5">
        <v>42625.0</v>
      </c>
      <c r="C65" s="6">
        <f t="shared" si="1"/>
        <v>2016</v>
      </c>
      <c r="D65" s="7" t="s">
        <v>334</v>
      </c>
      <c r="E65" s="7" t="s">
        <v>30</v>
      </c>
      <c r="F65" s="7" t="s">
        <v>31</v>
      </c>
      <c r="G65" s="5" t="s">
        <v>68</v>
      </c>
      <c r="H65" s="7" t="s">
        <v>33</v>
      </c>
      <c r="I65" s="7" t="s">
        <v>74</v>
      </c>
      <c r="J65" s="7" t="s">
        <v>335</v>
      </c>
      <c r="K65" s="7" t="s">
        <v>36</v>
      </c>
      <c r="L65" s="7" t="s">
        <v>45</v>
      </c>
      <c r="M65" s="7" t="s">
        <v>38</v>
      </c>
      <c r="N65" s="5">
        <v>42629.0</v>
      </c>
      <c r="O65" s="8">
        <v>52200.0</v>
      </c>
      <c r="P65" s="8">
        <v>81450.0</v>
      </c>
      <c r="Q65" s="8">
        <f t="shared" si="2"/>
        <v>29250</v>
      </c>
      <c r="R65" s="8">
        <v>29.0</v>
      </c>
      <c r="S65" s="8">
        <f t="shared" si="3"/>
        <v>2362050</v>
      </c>
      <c r="T65" s="9">
        <v>0.07</v>
      </c>
      <c r="U65" s="8">
        <f t="shared" si="4"/>
        <v>165343.5</v>
      </c>
      <c r="V65" s="8">
        <f t="shared" si="5"/>
        <v>2196706.5</v>
      </c>
      <c r="W65" s="10">
        <f t="shared" si="6"/>
        <v>1513800</v>
      </c>
      <c r="X65" s="10">
        <f t="shared" si="7"/>
        <v>682906.5</v>
      </c>
      <c r="Y65" s="10"/>
      <c r="Z65" s="10"/>
      <c r="AA65" s="10"/>
      <c r="AB65" s="4" t="s">
        <v>336</v>
      </c>
      <c r="AC65" s="4" t="s">
        <v>333</v>
      </c>
      <c r="AD65" s="4">
        <v>42625.0</v>
      </c>
      <c r="AE65" s="4">
        <v>2016.0</v>
      </c>
      <c r="AF65" s="4" t="s">
        <v>334</v>
      </c>
      <c r="AG65" s="4" t="s">
        <v>30</v>
      </c>
      <c r="AH65" s="4" t="s">
        <v>31</v>
      </c>
      <c r="AI65" s="4" t="s">
        <v>68</v>
      </c>
      <c r="AJ65" s="4" t="s">
        <v>33</v>
      </c>
      <c r="AK65" s="4" t="s">
        <v>74</v>
      </c>
      <c r="AL65" s="4" t="s">
        <v>335</v>
      </c>
      <c r="AM65" s="4" t="s">
        <v>36</v>
      </c>
      <c r="AN65" s="4" t="s">
        <v>45</v>
      </c>
      <c r="AO65" s="4" t="s">
        <v>38</v>
      </c>
      <c r="AP65" s="4">
        <v>42629.0</v>
      </c>
      <c r="AQ65" s="4">
        <v>52200.0</v>
      </c>
      <c r="AR65" s="4">
        <v>81450.0</v>
      </c>
      <c r="AS65" s="4">
        <v>29250.0</v>
      </c>
      <c r="AT65" s="4">
        <v>29.0</v>
      </c>
      <c r="AU65" s="4">
        <v>2362050.0</v>
      </c>
      <c r="AV65" s="4">
        <v>0.07</v>
      </c>
      <c r="AW65" s="4">
        <v>165343.5</v>
      </c>
      <c r="AX65" s="4">
        <v>2196706.5</v>
      </c>
      <c r="AY65" s="4">
        <v>1513800.0</v>
      </c>
      <c r="AZ65" s="4">
        <v>682906.5</v>
      </c>
    </row>
    <row r="66" ht="15.75" customHeight="1">
      <c r="A66" s="3" t="s">
        <v>337</v>
      </c>
      <c r="B66" s="5">
        <v>42627.0</v>
      </c>
      <c r="C66" s="6">
        <f t="shared" si="1"/>
        <v>2016</v>
      </c>
      <c r="D66" s="7" t="s">
        <v>338</v>
      </c>
      <c r="E66" s="7" t="s">
        <v>164</v>
      </c>
      <c r="F66" s="7" t="s">
        <v>50</v>
      </c>
      <c r="G66" s="5" t="s">
        <v>91</v>
      </c>
      <c r="H66" s="7" t="s">
        <v>69</v>
      </c>
      <c r="I66" s="7" t="s">
        <v>74</v>
      </c>
      <c r="J66" s="7" t="s">
        <v>339</v>
      </c>
      <c r="K66" s="7" t="s">
        <v>61</v>
      </c>
      <c r="L66" s="7" t="s">
        <v>127</v>
      </c>
      <c r="M66" s="7" t="s">
        <v>38</v>
      </c>
      <c r="N66" s="5">
        <v>42629.0</v>
      </c>
      <c r="O66" s="8">
        <v>302700.0</v>
      </c>
      <c r="P66" s="8">
        <v>531150.0</v>
      </c>
      <c r="Q66" s="8">
        <f t="shared" si="2"/>
        <v>228450</v>
      </c>
      <c r="R66" s="8">
        <v>38.0</v>
      </c>
      <c r="S66" s="8">
        <f t="shared" si="3"/>
        <v>20183700</v>
      </c>
      <c r="T66" s="9">
        <v>0.03</v>
      </c>
      <c r="U66" s="8">
        <f t="shared" si="4"/>
        <v>605511</v>
      </c>
      <c r="V66" s="8">
        <f t="shared" si="5"/>
        <v>19578189</v>
      </c>
      <c r="W66" s="10">
        <f t="shared" si="6"/>
        <v>11502600</v>
      </c>
      <c r="X66" s="10">
        <f t="shared" si="7"/>
        <v>8075589</v>
      </c>
      <c r="Y66" s="10"/>
      <c r="Z66" s="10"/>
      <c r="AA66" s="10"/>
      <c r="AB66" s="4" t="s">
        <v>340</v>
      </c>
      <c r="AC66" s="4" t="s">
        <v>337</v>
      </c>
      <c r="AD66" s="4">
        <v>42627.0</v>
      </c>
      <c r="AE66" s="4">
        <v>2016.0</v>
      </c>
      <c r="AF66" s="4" t="s">
        <v>338</v>
      </c>
      <c r="AG66" s="4" t="s">
        <v>164</v>
      </c>
      <c r="AH66" s="4" t="s">
        <v>50</v>
      </c>
      <c r="AI66" s="4" t="s">
        <v>91</v>
      </c>
      <c r="AJ66" s="4" t="s">
        <v>69</v>
      </c>
      <c r="AK66" s="4" t="s">
        <v>74</v>
      </c>
      <c r="AL66" s="4" t="s">
        <v>339</v>
      </c>
      <c r="AM66" s="4" t="s">
        <v>61</v>
      </c>
      <c r="AN66" s="4" t="s">
        <v>127</v>
      </c>
      <c r="AO66" s="4" t="s">
        <v>38</v>
      </c>
      <c r="AP66" s="4">
        <v>42629.0</v>
      </c>
      <c r="AQ66" s="4">
        <v>302700.0</v>
      </c>
      <c r="AR66" s="4">
        <v>531150.0</v>
      </c>
      <c r="AS66" s="4">
        <v>228450.0</v>
      </c>
      <c r="AT66" s="4">
        <v>38.0</v>
      </c>
      <c r="AU66" s="4">
        <v>2.01837E7</v>
      </c>
      <c r="AV66" s="4">
        <v>0.03</v>
      </c>
      <c r="AW66" s="4">
        <v>605511.0</v>
      </c>
      <c r="AX66" s="4">
        <v>1.9578189E7</v>
      </c>
      <c r="AY66" s="4">
        <v>1.15026E7</v>
      </c>
      <c r="AZ66" s="4">
        <v>8075589.0</v>
      </c>
    </row>
    <row r="67" ht="15.75" customHeight="1">
      <c r="A67" s="3" t="s">
        <v>341</v>
      </c>
      <c r="B67" s="5">
        <v>42629.0</v>
      </c>
      <c r="C67" s="6">
        <f t="shared" si="1"/>
        <v>2016</v>
      </c>
      <c r="D67" s="7" t="s">
        <v>342</v>
      </c>
      <c r="E67" s="7" t="s">
        <v>343</v>
      </c>
      <c r="F67" s="7" t="s">
        <v>50</v>
      </c>
      <c r="G67" s="5" t="s">
        <v>91</v>
      </c>
      <c r="H67" s="7" t="s">
        <v>344</v>
      </c>
      <c r="I67" s="7" t="s">
        <v>92</v>
      </c>
      <c r="J67" s="7" t="s">
        <v>345</v>
      </c>
      <c r="K67" s="7" t="s">
        <v>36</v>
      </c>
      <c r="L67" s="7" t="s">
        <v>45</v>
      </c>
      <c r="M67" s="7" t="s">
        <v>38</v>
      </c>
      <c r="N67" s="5">
        <v>42631.0</v>
      </c>
      <c r="O67" s="8">
        <v>26400.0</v>
      </c>
      <c r="P67" s="8">
        <v>50700.0</v>
      </c>
      <c r="Q67" s="8">
        <f t="shared" si="2"/>
        <v>24300</v>
      </c>
      <c r="R67" s="8">
        <v>34.0</v>
      </c>
      <c r="S67" s="8">
        <f t="shared" si="3"/>
        <v>1723800</v>
      </c>
      <c r="T67" s="9">
        <v>0.07</v>
      </c>
      <c r="U67" s="8">
        <f t="shared" si="4"/>
        <v>120666</v>
      </c>
      <c r="V67" s="8">
        <f t="shared" si="5"/>
        <v>1603134</v>
      </c>
      <c r="W67" s="10">
        <f t="shared" si="6"/>
        <v>897600</v>
      </c>
      <c r="X67" s="10">
        <f t="shared" si="7"/>
        <v>705534</v>
      </c>
      <c r="Y67" s="10"/>
      <c r="Z67" s="10"/>
      <c r="AA67" s="10"/>
      <c r="AB67" s="4" t="s">
        <v>346</v>
      </c>
      <c r="AC67" s="4" t="s">
        <v>341</v>
      </c>
      <c r="AD67" s="4">
        <v>42629.0</v>
      </c>
      <c r="AE67" s="4">
        <v>2016.0</v>
      </c>
      <c r="AF67" s="4" t="s">
        <v>342</v>
      </c>
      <c r="AG67" s="4" t="s">
        <v>343</v>
      </c>
      <c r="AH67" s="4" t="s">
        <v>50</v>
      </c>
      <c r="AI67" s="4" t="s">
        <v>91</v>
      </c>
      <c r="AJ67" s="4" t="s">
        <v>344</v>
      </c>
      <c r="AK67" s="4" t="s">
        <v>92</v>
      </c>
      <c r="AL67" s="4" t="s">
        <v>345</v>
      </c>
      <c r="AM67" s="4" t="s">
        <v>36</v>
      </c>
      <c r="AN67" s="4" t="s">
        <v>45</v>
      </c>
      <c r="AO67" s="4" t="s">
        <v>38</v>
      </c>
      <c r="AP67" s="4">
        <v>42631.0</v>
      </c>
      <c r="AQ67" s="4">
        <v>26400.0</v>
      </c>
      <c r="AR67" s="4">
        <v>50700.0</v>
      </c>
      <c r="AS67" s="4">
        <v>24300.0</v>
      </c>
      <c r="AT67" s="4">
        <v>34.0</v>
      </c>
      <c r="AU67" s="4">
        <v>1723800.0</v>
      </c>
      <c r="AV67" s="4">
        <v>0.07</v>
      </c>
      <c r="AW67" s="4">
        <v>120666.0</v>
      </c>
      <c r="AX67" s="4">
        <v>1603134.0</v>
      </c>
      <c r="AY67" s="4">
        <v>897600.0</v>
      </c>
      <c r="AZ67" s="4">
        <v>705534.0</v>
      </c>
    </row>
    <row r="68" ht="15.75" customHeight="1">
      <c r="A68" s="3" t="s">
        <v>347</v>
      </c>
      <c r="B68" s="5">
        <v>42630.0</v>
      </c>
      <c r="C68" s="6">
        <f t="shared" si="1"/>
        <v>2016</v>
      </c>
      <c r="D68" s="7" t="s">
        <v>348</v>
      </c>
      <c r="E68" s="7" t="s">
        <v>228</v>
      </c>
      <c r="F68" s="7" t="s">
        <v>50</v>
      </c>
      <c r="G68" s="5" t="s">
        <v>32</v>
      </c>
      <c r="H68" s="7" t="s">
        <v>140</v>
      </c>
      <c r="I68" s="7" t="s">
        <v>53</v>
      </c>
      <c r="J68" s="7" t="s">
        <v>115</v>
      </c>
      <c r="K68" s="7" t="s">
        <v>36</v>
      </c>
      <c r="L68" s="7" t="s">
        <v>37</v>
      </c>
      <c r="M68" s="7" t="s">
        <v>55</v>
      </c>
      <c r="N68" s="5">
        <v>42632.0</v>
      </c>
      <c r="O68" s="8">
        <v>540300.0</v>
      </c>
      <c r="P68" s="8">
        <v>871500.0</v>
      </c>
      <c r="Q68" s="8">
        <f t="shared" si="2"/>
        <v>331200</v>
      </c>
      <c r="R68" s="8">
        <v>10.0</v>
      </c>
      <c r="S68" s="8">
        <f t="shared" si="3"/>
        <v>8715000</v>
      </c>
      <c r="T68" s="9">
        <v>0.09</v>
      </c>
      <c r="U68" s="8">
        <f t="shared" si="4"/>
        <v>784350</v>
      </c>
      <c r="V68" s="8">
        <f t="shared" si="5"/>
        <v>7930650</v>
      </c>
      <c r="W68" s="10">
        <f t="shared" si="6"/>
        <v>5403000</v>
      </c>
      <c r="X68" s="10">
        <f t="shared" si="7"/>
        <v>2527650</v>
      </c>
      <c r="Y68" s="10"/>
      <c r="Z68" s="10"/>
      <c r="AA68" s="10"/>
      <c r="AB68" s="4" t="s">
        <v>349</v>
      </c>
      <c r="AC68" s="4" t="s">
        <v>347</v>
      </c>
      <c r="AD68" s="4">
        <v>42630.0</v>
      </c>
      <c r="AE68" s="4">
        <v>2016.0</v>
      </c>
      <c r="AF68" s="4" t="s">
        <v>348</v>
      </c>
      <c r="AG68" s="4" t="s">
        <v>228</v>
      </c>
      <c r="AH68" s="4" t="s">
        <v>50</v>
      </c>
      <c r="AI68" s="4" t="s">
        <v>32</v>
      </c>
      <c r="AJ68" s="4" t="s">
        <v>140</v>
      </c>
      <c r="AK68" s="4" t="s">
        <v>53</v>
      </c>
      <c r="AL68" s="4" t="s">
        <v>115</v>
      </c>
      <c r="AM68" s="4" t="s">
        <v>36</v>
      </c>
      <c r="AN68" s="4" t="s">
        <v>37</v>
      </c>
      <c r="AO68" s="4" t="s">
        <v>55</v>
      </c>
      <c r="AP68" s="4">
        <v>42632.0</v>
      </c>
      <c r="AQ68" s="4">
        <v>540300.0</v>
      </c>
      <c r="AR68" s="4">
        <v>871500.0</v>
      </c>
      <c r="AS68" s="4">
        <v>331200.0</v>
      </c>
      <c r="AT68" s="4">
        <v>10.0</v>
      </c>
      <c r="AU68" s="4">
        <v>8715000.0</v>
      </c>
      <c r="AV68" s="4">
        <v>0.09</v>
      </c>
      <c r="AW68" s="4">
        <v>784350.0</v>
      </c>
      <c r="AX68" s="4">
        <v>7930650.0</v>
      </c>
      <c r="AY68" s="4">
        <v>5403000.0</v>
      </c>
      <c r="AZ68" s="4">
        <v>2527650.0</v>
      </c>
    </row>
    <row r="69" ht="15.75" customHeight="1">
      <c r="A69" s="3" t="s">
        <v>350</v>
      </c>
      <c r="B69" s="5">
        <v>42630.0</v>
      </c>
      <c r="C69" s="6">
        <f t="shared" si="1"/>
        <v>2016</v>
      </c>
      <c r="D69" s="7" t="s">
        <v>351</v>
      </c>
      <c r="E69" s="7" t="s">
        <v>156</v>
      </c>
      <c r="F69" s="7" t="s">
        <v>50</v>
      </c>
      <c r="G69" s="5" t="s">
        <v>51</v>
      </c>
      <c r="H69" s="7" t="s">
        <v>110</v>
      </c>
      <c r="I69" s="7" t="s">
        <v>74</v>
      </c>
      <c r="J69" s="7" t="s">
        <v>308</v>
      </c>
      <c r="K69" s="7" t="s">
        <v>61</v>
      </c>
      <c r="L69" s="7" t="s">
        <v>37</v>
      </c>
      <c r="M69" s="7" t="s">
        <v>38</v>
      </c>
      <c r="N69" s="5">
        <v>42630.0</v>
      </c>
      <c r="O69" s="8">
        <v>2347500.0</v>
      </c>
      <c r="P69" s="8">
        <v>4514550.0</v>
      </c>
      <c r="Q69" s="8">
        <f t="shared" si="2"/>
        <v>2167050</v>
      </c>
      <c r="R69" s="8">
        <v>38.0</v>
      </c>
      <c r="S69" s="8">
        <f t="shared" si="3"/>
        <v>171552900</v>
      </c>
      <c r="T69" s="9">
        <v>0.09</v>
      </c>
      <c r="U69" s="8">
        <f t="shared" si="4"/>
        <v>15439761</v>
      </c>
      <c r="V69" s="8">
        <f t="shared" si="5"/>
        <v>156113139</v>
      </c>
      <c r="W69" s="10">
        <f t="shared" si="6"/>
        <v>89205000</v>
      </c>
      <c r="X69" s="10">
        <f t="shared" si="7"/>
        <v>66908139</v>
      </c>
      <c r="Y69" s="10"/>
      <c r="Z69" s="10"/>
      <c r="AA69" s="10"/>
      <c r="AB69" s="4" t="s">
        <v>352</v>
      </c>
      <c r="AC69" s="4" t="s">
        <v>350</v>
      </c>
      <c r="AD69" s="4">
        <v>42630.0</v>
      </c>
      <c r="AE69" s="4">
        <v>2016.0</v>
      </c>
      <c r="AF69" s="4" t="s">
        <v>351</v>
      </c>
      <c r="AG69" s="4" t="s">
        <v>156</v>
      </c>
      <c r="AH69" s="4" t="s">
        <v>50</v>
      </c>
      <c r="AI69" s="4" t="s">
        <v>51</v>
      </c>
      <c r="AJ69" s="4" t="s">
        <v>110</v>
      </c>
      <c r="AK69" s="4" t="s">
        <v>74</v>
      </c>
      <c r="AL69" s="4" t="s">
        <v>308</v>
      </c>
      <c r="AM69" s="4" t="s">
        <v>61</v>
      </c>
      <c r="AN69" s="4" t="s">
        <v>37</v>
      </c>
      <c r="AO69" s="4" t="s">
        <v>38</v>
      </c>
      <c r="AP69" s="4">
        <v>42630.0</v>
      </c>
      <c r="AQ69" s="4">
        <v>2347500.0</v>
      </c>
      <c r="AR69" s="4">
        <v>4514550.0</v>
      </c>
      <c r="AS69" s="4">
        <v>2167050.0</v>
      </c>
      <c r="AT69" s="4">
        <v>38.0</v>
      </c>
      <c r="AU69" s="4">
        <v>1.715529E8</v>
      </c>
      <c r="AV69" s="4">
        <v>0.09</v>
      </c>
      <c r="AW69" s="4">
        <v>1.5439761E7</v>
      </c>
      <c r="AX69" s="4">
        <v>1.56113139E8</v>
      </c>
      <c r="AY69" s="4">
        <v>8.9205E7</v>
      </c>
      <c r="AZ69" s="4">
        <v>6.6908139E7</v>
      </c>
    </row>
    <row r="70" ht="15.75" customHeight="1">
      <c r="A70" s="3" t="s">
        <v>353</v>
      </c>
      <c r="B70" s="5">
        <v>42631.0</v>
      </c>
      <c r="C70" s="6">
        <f t="shared" si="1"/>
        <v>2016</v>
      </c>
      <c r="D70" s="7" t="s">
        <v>354</v>
      </c>
      <c r="E70" s="7" t="s">
        <v>355</v>
      </c>
      <c r="F70" s="7" t="s">
        <v>50</v>
      </c>
      <c r="G70" s="5" t="s">
        <v>91</v>
      </c>
      <c r="H70" s="7" t="s">
        <v>69</v>
      </c>
      <c r="I70" s="7" t="s">
        <v>104</v>
      </c>
      <c r="J70" s="7" t="s">
        <v>126</v>
      </c>
      <c r="K70" s="7" t="s">
        <v>36</v>
      </c>
      <c r="L70" s="7" t="s">
        <v>127</v>
      </c>
      <c r="M70" s="7" t="s">
        <v>38</v>
      </c>
      <c r="N70" s="5">
        <v>42633.0</v>
      </c>
      <c r="O70" s="8">
        <v>51300.0</v>
      </c>
      <c r="P70" s="8">
        <v>125100.0</v>
      </c>
      <c r="Q70" s="8">
        <f t="shared" si="2"/>
        <v>73800</v>
      </c>
      <c r="R70" s="8">
        <v>30.0</v>
      </c>
      <c r="S70" s="8">
        <f t="shared" si="3"/>
        <v>3753000</v>
      </c>
      <c r="T70" s="9">
        <v>0.02</v>
      </c>
      <c r="U70" s="8">
        <f t="shared" si="4"/>
        <v>75060</v>
      </c>
      <c r="V70" s="8">
        <f t="shared" si="5"/>
        <v>3677940</v>
      </c>
      <c r="W70" s="10">
        <f t="shared" si="6"/>
        <v>1539000</v>
      </c>
      <c r="X70" s="10">
        <f t="shared" si="7"/>
        <v>2138940</v>
      </c>
      <c r="Y70" s="10"/>
      <c r="Z70" s="10"/>
      <c r="AA70" s="10"/>
      <c r="AB70" s="4" t="s">
        <v>356</v>
      </c>
      <c r="AC70" s="4" t="s">
        <v>353</v>
      </c>
      <c r="AD70" s="4">
        <v>42631.0</v>
      </c>
      <c r="AE70" s="4">
        <v>2016.0</v>
      </c>
      <c r="AF70" s="4" t="s">
        <v>354</v>
      </c>
      <c r="AG70" s="4" t="s">
        <v>355</v>
      </c>
      <c r="AH70" s="4" t="s">
        <v>50</v>
      </c>
      <c r="AI70" s="4" t="s">
        <v>91</v>
      </c>
      <c r="AJ70" s="4" t="s">
        <v>69</v>
      </c>
      <c r="AK70" s="4" t="s">
        <v>104</v>
      </c>
      <c r="AL70" s="4" t="s">
        <v>126</v>
      </c>
      <c r="AM70" s="4" t="s">
        <v>36</v>
      </c>
      <c r="AN70" s="4" t="s">
        <v>127</v>
      </c>
      <c r="AO70" s="4" t="s">
        <v>38</v>
      </c>
      <c r="AP70" s="4">
        <v>42633.0</v>
      </c>
      <c r="AQ70" s="4">
        <v>51300.0</v>
      </c>
      <c r="AR70" s="4">
        <v>125100.0</v>
      </c>
      <c r="AS70" s="4">
        <v>73800.0</v>
      </c>
      <c r="AT70" s="4">
        <v>30.0</v>
      </c>
      <c r="AU70" s="4">
        <v>3753000.0</v>
      </c>
      <c r="AV70" s="4">
        <v>0.02</v>
      </c>
      <c r="AW70" s="4">
        <v>75060.0</v>
      </c>
      <c r="AX70" s="4">
        <v>3677940.0</v>
      </c>
      <c r="AY70" s="4">
        <v>1539000.0</v>
      </c>
      <c r="AZ70" s="4">
        <v>2138940.0</v>
      </c>
    </row>
    <row r="71" ht="15.75" customHeight="1">
      <c r="A71" s="3" t="s">
        <v>357</v>
      </c>
      <c r="B71" s="5">
        <v>42632.0</v>
      </c>
      <c r="C71" s="6">
        <f t="shared" si="1"/>
        <v>2016</v>
      </c>
      <c r="D71" s="7" t="s">
        <v>358</v>
      </c>
      <c r="E71" s="7" t="s">
        <v>359</v>
      </c>
      <c r="F71" s="7" t="s">
        <v>50</v>
      </c>
      <c r="G71" s="5" t="s">
        <v>51</v>
      </c>
      <c r="H71" s="7" t="s">
        <v>360</v>
      </c>
      <c r="I71" s="7" t="s">
        <v>92</v>
      </c>
      <c r="J71" s="7" t="s">
        <v>331</v>
      </c>
      <c r="K71" s="7" t="s">
        <v>61</v>
      </c>
      <c r="L71" s="7" t="s">
        <v>37</v>
      </c>
      <c r="M71" s="7" t="s">
        <v>38</v>
      </c>
      <c r="N71" s="5">
        <v>42633.0</v>
      </c>
      <c r="O71" s="8">
        <v>908850.0</v>
      </c>
      <c r="P71" s="8">
        <v>1514700.0</v>
      </c>
      <c r="Q71" s="8">
        <f t="shared" si="2"/>
        <v>605850</v>
      </c>
      <c r="R71" s="8">
        <v>29.0</v>
      </c>
      <c r="S71" s="8">
        <f t="shared" si="3"/>
        <v>43926300</v>
      </c>
      <c r="T71" s="9">
        <v>0.03</v>
      </c>
      <c r="U71" s="8">
        <f t="shared" si="4"/>
        <v>1317789</v>
      </c>
      <c r="V71" s="8">
        <f t="shared" si="5"/>
        <v>42608511</v>
      </c>
      <c r="W71" s="10">
        <f t="shared" si="6"/>
        <v>26356650</v>
      </c>
      <c r="X71" s="10">
        <f t="shared" si="7"/>
        <v>16251861</v>
      </c>
      <c r="Y71" s="10"/>
      <c r="Z71" s="10"/>
      <c r="AA71" s="10"/>
      <c r="AB71" s="4" t="s">
        <v>361</v>
      </c>
      <c r="AC71" s="4" t="s">
        <v>357</v>
      </c>
      <c r="AD71" s="4">
        <v>42632.0</v>
      </c>
      <c r="AE71" s="4">
        <v>2016.0</v>
      </c>
      <c r="AF71" s="4" t="s">
        <v>358</v>
      </c>
      <c r="AG71" s="4" t="s">
        <v>359</v>
      </c>
      <c r="AH71" s="4" t="s">
        <v>50</v>
      </c>
      <c r="AI71" s="4" t="s">
        <v>51</v>
      </c>
      <c r="AJ71" s="4" t="s">
        <v>360</v>
      </c>
      <c r="AK71" s="4" t="s">
        <v>92</v>
      </c>
      <c r="AL71" s="4" t="s">
        <v>331</v>
      </c>
      <c r="AM71" s="4" t="s">
        <v>61</v>
      </c>
      <c r="AN71" s="4" t="s">
        <v>37</v>
      </c>
      <c r="AO71" s="4" t="s">
        <v>38</v>
      </c>
      <c r="AP71" s="4">
        <v>42633.0</v>
      </c>
      <c r="AQ71" s="4">
        <v>908850.0</v>
      </c>
      <c r="AR71" s="4">
        <v>1514700.0</v>
      </c>
      <c r="AS71" s="4">
        <v>605850.0</v>
      </c>
      <c r="AT71" s="4">
        <v>29.0</v>
      </c>
      <c r="AU71" s="4">
        <v>4.39263E7</v>
      </c>
      <c r="AV71" s="4">
        <v>0.03</v>
      </c>
      <c r="AW71" s="4">
        <v>1317789.0</v>
      </c>
      <c r="AX71" s="4">
        <v>4.2608511E7</v>
      </c>
      <c r="AY71" s="4">
        <v>2.635665E7</v>
      </c>
      <c r="AZ71" s="4">
        <v>1.6251861E7</v>
      </c>
    </row>
    <row r="72" ht="15.75" customHeight="1">
      <c r="A72" s="3" t="s">
        <v>362</v>
      </c>
      <c r="B72" s="5">
        <v>42634.0</v>
      </c>
      <c r="C72" s="6">
        <f t="shared" si="1"/>
        <v>2016</v>
      </c>
      <c r="D72" s="7" t="s">
        <v>363</v>
      </c>
      <c r="E72" s="7" t="s">
        <v>364</v>
      </c>
      <c r="F72" s="7" t="s">
        <v>50</v>
      </c>
      <c r="G72" s="5" t="s">
        <v>51</v>
      </c>
      <c r="H72" s="7" t="s">
        <v>200</v>
      </c>
      <c r="I72" s="7" t="s">
        <v>92</v>
      </c>
      <c r="J72" s="7" t="s">
        <v>365</v>
      </c>
      <c r="K72" s="7" t="s">
        <v>36</v>
      </c>
      <c r="L72" s="7" t="s">
        <v>37</v>
      </c>
      <c r="M72" s="7" t="s">
        <v>38</v>
      </c>
      <c r="N72" s="5">
        <v>42634.0</v>
      </c>
      <c r="O72" s="8">
        <v>2682450.0</v>
      </c>
      <c r="P72" s="8">
        <v>6238200.0</v>
      </c>
      <c r="Q72" s="8">
        <f t="shared" si="2"/>
        <v>3555750</v>
      </c>
      <c r="R72" s="8">
        <v>2.0</v>
      </c>
      <c r="S72" s="8">
        <f t="shared" si="3"/>
        <v>12476400</v>
      </c>
      <c r="T72" s="9">
        <v>0.07</v>
      </c>
      <c r="U72" s="8">
        <f t="shared" si="4"/>
        <v>873348</v>
      </c>
      <c r="V72" s="8">
        <f t="shared" si="5"/>
        <v>11603052</v>
      </c>
      <c r="W72" s="10">
        <f t="shared" si="6"/>
        <v>5364900</v>
      </c>
      <c r="X72" s="10">
        <f t="shared" si="7"/>
        <v>6238152</v>
      </c>
      <c r="Y72" s="10"/>
      <c r="Z72" s="10"/>
      <c r="AA72" s="10"/>
      <c r="AB72" s="4" t="s">
        <v>366</v>
      </c>
      <c r="AC72" s="4" t="s">
        <v>362</v>
      </c>
      <c r="AD72" s="4">
        <v>42634.0</v>
      </c>
      <c r="AE72" s="4">
        <v>2016.0</v>
      </c>
      <c r="AF72" s="4" t="s">
        <v>363</v>
      </c>
      <c r="AG72" s="4" t="s">
        <v>364</v>
      </c>
      <c r="AH72" s="4" t="s">
        <v>50</v>
      </c>
      <c r="AI72" s="4" t="s">
        <v>51</v>
      </c>
      <c r="AJ72" s="4" t="s">
        <v>200</v>
      </c>
      <c r="AK72" s="4" t="s">
        <v>92</v>
      </c>
      <c r="AL72" s="4" t="s">
        <v>365</v>
      </c>
      <c r="AM72" s="4" t="s">
        <v>36</v>
      </c>
      <c r="AN72" s="4" t="s">
        <v>37</v>
      </c>
      <c r="AO72" s="4" t="s">
        <v>38</v>
      </c>
      <c r="AP72" s="4">
        <v>42634.0</v>
      </c>
      <c r="AQ72" s="4">
        <v>2682450.0</v>
      </c>
      <c r="AR72" s="4">
        <v>6238200.0</v>
      </c>
      <c r="AS72" s="4">
        <v>3555750.0</v>
      </c>
      <c r="AT72" s="4">
        <v>2.0</v>
      </c>
      <c r="AU72" s="4">
        <v>1.24764E7</v>
      </c>
      <c r="AV72" s="4">
        <v>0.07</v>
      </c>
      <c r="AW72" s="4">
        <v>873348.0</v>
      </c>
      <c r="AX72" s="4">
        <v>1.1603052E7</v>
      </c>
      <c r="AY72" s="4">
        <v>5364900.0</v>
      </c>
      <c r="AZ72" s="4">
        <v>6238152.0</v>
      </c>
    </row>
    <row r="73" ht="15.75" customHeight="1">
      <c r="A73" s="3" t="s">
        <v>367</v>
      </c>
      <c r="B73" s="5">
        <v>42635.0</v>
      </c>
      <c r="C73" s="6">
        <f t="shared" si="1"/>
        <v>2016</v>
      </c>
      <c r="D73" s="7" t="s">
        <v>368</v>
      </c>
      <c r="E73" s="7" t="s">
        <v>369</v>
      </c>
      <c r="F73" s="7" t="s">
        <v>50</v>
      </c>
      <c r="G73" s="5" t="s">
        <v>91</v>
      </c>
      <c r="H73" s="7" t="s">
        <v>200</v>
      </c>
      <c r="I73" s="7" t="s">
        <v>104</v>
      </c>
      <c r="J73" s="7" t="s">
        <v>174</v>
      </c>
      <c r="K73" s="7" t="s">
        <v>36</v>
      </c>
      <c r="L73" s="7" t="s">
        <v>45</v>
      </c>
      <c r="M73" s="7" t="s">
        <v>38</v>
      </c>
      <c r="N73" s="5">
        <v>42637.0</v>
      </c>
      <c r="O73" s="8">
        <v>37800.0</v>
      </c>
      <c r="P73" s="8">
        <v>60000.0</v>
      </c>
      <c r="Q73" s="8">
        <f t="shared" si="2"/>
        <v>22200</v>
      </c>
      <c r="R73" s="8">
        <v>39.0</v>
      </c>
      <c r="S73" s="8">
        <f t="shared" si="3"/>
        <v>2340000</v>
      </c>
      <c r="T73" s="9">
        <v>0.08</v>
      </c>
      <c r="U73" s="8">
        <f t="shared" si="4"/>
        <v>187200</v>
      </c>
      <c r="V73" s="8">
        <f t="shared" si="5"/>
        <v>2152800</v>
      </c>
      <c r="W73" s="10">
        <f t="shared" si="6"/>
        <v>1474200</v>
      </c>
      <c r="X73" s="10">
        <f t="shared" si="7"/>
        <v>678600</v>
      </c>
      <c r="Y73" s="10"/>
      <c r="Z73" s="10"/>
      <c r="AA73" s="10"/>
      <c r="AB73" s="4" t="s">
        <v>370</v>
      </c>
      <c r="AC73" s="4" t="s">
        <v>367</v>
      </c>
      <c r="AD73" s="4">
        <v>42635.0</v>
      </c>
      <c r="AE73" s="4">
        <v>2016.0</v>
      </c>
      <c r="AF73" s="4" t="s">
        <v>368</v>
      </c>
      <c r="AG73" s="4" t="s">
        <v>369</v>
      </c>
      <c r="AH73" s="4" t="s">
        <v>50</v>
      </c>
      <c r="AI73" s="4" t="s">
        <v>91</v>
      </c>
      <c r="AJ73" s="4" t="s">
        <v>200</v>
      </c>
      <c r="AK73" s="4" t="s">
        <v>104</v>
      </c>
      <c r="AL73" s="4" t="s">
        <v>174</v>
      </c>
      <c r="AM73" s="4" t="s">
        <v>36</v>
      </c>
      <c r="AN73" s="4" t="s">
        <v>45</v>
      </c>
      <c r="AO73" s="4" t="s">
        <v>38</v>
      </c>
      <c r="AP73" s="4">
        <v>42637.0</v>
      </c>
      <c r="AQ73" s="4">
        <v>37800.0</v>
      </c>
      <c r="AR73" s="4">
        <v>60000.0</v>
      </c>
      <c r="AS73" s="4">
        <v>22200.0</v>
      </c>
      <c r="AT73" s="4">
        <v>39.0</v>
      </c>
      <c r="AU73" s="4">
        <v>2340000.0</v>
      </c>
      <c r="AV73" s="4">
        <v>0.08</v>
      </c>
      <c r="AW73" s="4">
        <v>187200.0</v>
      </c>
      <c r="AX73" s="4">
        <v>2152800.0</v>
      </c>
      <c r="AY73" s="4">
        <v>1474200.0</v>
      </c>
      <c r="AZ73" s="4">
        <v>678600.0</v>
      </c>
    </row>
    <row r="74" ht="15.75" customHeight="1">
      <c r="A74" s="3" t="s">
        <v>371</v>
      </c>
      <c r="B74" s="5">
        <v>42636.0</v>
      </c>
      <c r="C74" s="6">
        <f t="shared" si="1"/>
        <v>2016</v>
      </c>
      <c r="D74" s="7" t="s">
        <v>372</v>
      </c>
      <c r="E74" s="7" t="s">
        <v>369</v>
      </c>
      <c r="F74" s="7" t="s">
        <v>50</v>
      </c>
      <c r="G74" s="5" t="s">
        <v>68</v>
      </c>
      <c r="H74" s="7" t="s">
        <v>200</v>
      </c>
      <c r="I74" s="7" t="s">
        <v>74</v>
      </c>
      <c r="J74" s="7" t="s">
        <v>373</v>
      </c>
      <c r="K74" s="7" t="s">
        <v>36</v>
      </c>
      <c r="L74" s="7" t="s">
        <v>37</v>
      </c>
      <c r="M74" s="7" t="s">
        <v>38</v>
      </c>
      <c r="N74" s="5">
        <v>42638.0</v>
      </c>
      <c r="O74" s="8">
        <v>297450.0</v>
      </c>
      <c r="P74" s="8">
        <v>464700.0</v>
      </c>
      <c r="Q74" s="8">
        <f t="shared" si="2"/>
        <v>167250</v>
      </c>
      <c r="R74" s="8">
        <v>49.0</v>
      </c>
      <c r="S74" s="8">
        <f t="shared" si="3"/>
        <v>22770300</v>
      </c>
      <c r="T74" s="9">
        <v>0.09</v>
      </c>
      <c r="U74" s="8">
        <f t="shared" si="4"/>
        <v>2049327</v>
      </c>
      <c r="V74" s="8">
        <f t="shared" si="5"/>
        <v>20720973</v>
      </c>
      <c r="W74" s="10">
        <f t="shared" si="6"/>
        <v>14575050</v>
      </c>
      <c r="X74" s="10">
        <f t="shared" si="7"/>
        <v>6145923</v>
      </c>
      <c r="Y74" s="10"/>
      <c r="Z74" s="10"/>
      <c r="AA74" s="10"/>
      <c r="AB74" s="4" t="s">
        <v>374</v>
      </c>
      <c r="AC74" s="4" t="s">
        <v>371</v>
      </c>
      <c r="AD74" s="4">
        <v>42636.0</v>
      </c>
      <c r="AE74" s="4">
        <v>2016.0</v>
      </c>
      <c r="AF74" s="4" t="s">
        <v>372</v>
      </c>
      <c r="AG74" s="4" t="s">
        <v>369</v>
      </c>
      <c r="AH74" s="4" t="s">
        <v>50</v>
      </c>
      <c r="AI74" s="4" t="s">
        <v>68</v>
      </c>
      <c r="AJ74" s="4" t="s">
        <v>200</v>
      </c>
      <c r="AK74" s="4" t="s">
        <v>74</v>
      </c>
      <c r="AL74" s="4" t="s">
        <v>373</v>
      </c>
      <c r="AM74" s="4" t="s">
        <v>36</v>
      </c>
      <c r="AN74" s="4" t="s">
        <v>37</v>
      </c>
      <c r="AO74" s="4" t="s">
        <v>38</v>
      </c>
      <c r="AP74" s="4">
        <v>42638.0</v>
      </c>
      <c r="AQ74" s="4">
        <v>297450.0</v>
      </c>
      <c r="AR74" s="4">
        <v>464700.0</v>
      </c>
      <c r="AS74" s="4">
        <v>167250.0</v>
      </c>
      <c r="AT74" s="4">
        <v>49.0</v>
      </c>
      <c r="AU74" s="4">
        <v>2.27703E7</v>
      </c>
      <c r="AV74" s="4">
        <v>0.09</v>
      </c>
      <c r="AW74" s="4">
        <v>2049327.0</v>
      </c>
      <c r="AX74" s="4">
        <v>2.0720973E7</v>
      </c>
      <c r="AY74" s="4">
        <v>1.457505E7</v>
      </c>
      <c r="AZ74" s="4">
        <v>6145923.0</v>
      </c>
    </row>
    <row r="75" ht="15.75" customHeight="1">
      <c r="A75" s="3" t="s">
        <v>375</v>
      </c>
      <c r="B75" s="5">
        <v>42640.0</v>
      </c>
      <c r="C75" s="6">
        <f t="shared" si="1"/>
        <v>2016</v>
      </c>
      <c r="D75" s="7" t="s">
        <v>376</v>
      </c>
      <c r="E75" s="7" t="s">
        <v>49</v>
      </c>
      <c r="F75" s="7" t="s">
        <v>50</v>
      </c>
      <c r="G75" s="5" t="s">
        <v>91</v>
      </c>
      <c r="H75" s="7" t="s">
        <v>52</v>
      </c>
      <c r="I75" s="7" t="s">
        <v>104</v>
      </c>
      <c r="J75" s="7" t="s">
        <v>308</v>
      </c>
      <c r="K75" s="7" t="s">
        <v>61</v>
      </c>
      <c r="L75" s="7" t="s">
        <v>37</v>
      </c>
      <c r="M75" s="7" t="s">
        <v>38</v>
      </c>
      <c r="N75" s="5">
        <v>42642.0</v>
      </c>
      <c r="O75" s="8">
        <v>2347500.0</v>
      </c>
      <c r="P75" s="8">
        <v>4514550.0</v>
      </c>
      <c r="Q75" s="8">
        <f t="shared" si="2"/>
        <v>2167050</v>
      </c>
      <c r="R75" s="8">
        <v>5.0</v>
      </c>
      <c r="S75" s="8">
        <f t="shared" si="3"/>
        <v>22572750</v>
      </c>
      <c r="T75" s="9">
        <v>0.07</v>
      </c>
      <c r="U75" s="8">
        <f t="shared" si="4"/>
        <v>1580092.5</v>
      </c>
      <c r="V75" s="8">
        <f t="shared" si="5"/>
        <v>20992657.5</v>
      </c>
      <c r="W75" s="10">
        <f t="shared" si="6"/>
        <v>11737500</v>
      </c>
      <c r="X75" s="10">
        <f t="shared" si="7"/>
        <v>9255157.5</v>
      </c>
      <c r="Y75" s="10"/>
      <c r="Z75" s="10"/>
      <c r="AA75" s="10"/>
      <c r="AB75" s="4" t="s">
        <v>377</v>
      </c>
      <c r="AC75" s="4" t="s">
        <v>375</v>
      </c>
      <c r="AD75" s="4">
        <v>42640.0</v>
      </c>
      <c r="AE75" s="4">
        <v>2016.0</v>
      </c>
      <c r="AF75" s="4" t="s">
        <v>376</v>
      </c>
      <c r="AG75" s="4" t="s">
        <v>49</v>
      </c>
      <c r="AH75" s="4" t="s">
        <v>50</v>
      </c>
      <c r="AI75" s="4" t="s">
        <v>91</v>
      </c>
      <c r="AJ75" s="4" t="s">
        <v>52</v>
      </c>
      <c r="AK75" s="4" t="s">
        <v>104</v>
      </c>
      <c r="AL75" s="4" t="s">
        <v>308</v>
      </c>
      <c r="AM75" s="4" t="s">
        <v>61</v>
      </c>
      <c r="AN75" s="4" t="s">
        <v>37</v>
      </c>
      <c r="AO75" s="4" t="s">
        <v>38</v>
      </c>
      <c r="AP75" s="4">
        <v>42642.0</v>
      </c>
      <c r="AQ75" s="4">
        <v>2347500.0</v>
      </c>
      <c r="AR75" s="4">
        <v>4514550.0</v>
      </c>
      <c r="AS75" s="4">
        <v>2167050.0</v>
      </c>
      <c r="AT75" s="4">
        <v>5.0</v>
      </c>
      <c r="AU75" s="4">
        <v>2.257275E7</v>
      </c>
      <c r="AV75" s="4">
        <v>0.07</v>
      </c>
      <c r="AW75" s="4">
        <v>1580092.5</v>
      </c>
      <c r="AX75" s="4">
        <v>2.09926575E7</v>
      </c>
      <c r="AY75" s="4">
        <v>1.17375E7</v>
      </c>
      <c r="AZ75" s="4">
        <v>9255157.5</v>
      </c>
    </row>
    <row r="76" ht="15.75" customHeight="1">
      <c r="A76" s="3" t="s">
        <v>378</v>
      </c>
      <c r="B76" s="5">
        <v>42640.0</v>
      </c>
      <c r="C76" s="6">
        <f t="shared" si="1"/>
        <v>2016</v>
      </c>
      <c r="D76" s="7" t="s">
        <v>379</v>
      </c>
      <c r="E76" s="7" t="s">
        <v>173</v>
      </c>
      <c r="F76" s="7" t="s">
        <v>31</v>
      </c>
      <c r="G76" s="5" t="s">
        <v>68</v>
      </c>
      <c r="H76" s="7" t="s">
        <v>43</v>
      </c>
      <c r="I76" s="7" t="s">
        <v>34</v>
      </c>
      <c r="J76" s="7" t="s">
        <v>380</v>
      </c>
      <c r="K76" s="7" t="s">
        <v>36</v>
      </c>
      <c r="L76" s="7" t="s">
        <v>45</v>
      </c>
      <c r="M76" s="7" t="s">
        <v>55</v>
      </c>
      <c r="N76" s="5">
        <v>42642.0</v>
      </c>
      <c r="O76" s="8">
        <v>43500.0</v>
      </c>
      <c r="P76" s="8">
        <v>71400.0</v>
      </c>
      <c r="Q76" s="8">
        <f t="shared" si="2"/>
        <v>27900</v>
      </c>
      <c r="R76" s="8">
        <v>27.0</v>
      </c>
      <c r="S76" s="8">
        <f t="shared" si="3"/>
        <v>1927800</v>
      </c>
      <c r="T76" s="9">
        <v>0.07</v>
      </c>
      <c r="U76" s="8">
        <f t="shared" si="4"/>
        <v>134946</v>
      </c>
      <c r="V76" s="8">
        <f t="shared" si="5"/>
        <v>1792854</v>
      </c>
      <c r="W76" s="10">
        <f t="shared" si="6"/>
        <v>1174500</v>
      </c>
      <c r="X76" s="10">
        <f t="shared" si="7"/>
        <v>618354</v>
      </c>
      <c r="Y76" s="10"/>
      <c r="Z76" s="10"/>
      <c r="AA76" s="10"/>
      <c r="AB76" s="4" t="s">
        <v>381</v>
      </c>
      <c r="AC76" s="4" t="s">
        <v>378</v>
      </c>
      <c r="AD76" s="4">
        <v>42640.0</v>
      </c>
      <c r="AE76" s="4">
        <v>2016.0</v>
      </c>
      <c r="AF76" s="4" t="s">
        <v>379</v>
      </c>
      <c r="AG76" s="4" t="s">
        <v>173</v>
      </c>
      <c r="AH76" s="4" t="s">
        <v>31</v>
      </c>
      <c r="AI76" s="4" t="s">
        <v>68</v>
      </c>
      <c r="AJ76" s="4" t="s">
        <v>43</v>
      </c>
      <c r="AK76" s="4" t="s">
        <v>34</v>
      </c>
      <c r="AL76" s="4" t="s">
        <v>380</v>
      </c>
      <c r="AM76" s="4" t="s">
        <v>36</v>
      </c>
      <c r="AN76" s="4" t="s">
        <v>45</v>
      </c>
      <c r="AO76" s="4" t="s">
        <v>55</v>
      </c>
      <c r="AP76" s="4">
        <v>42642.0</v>
      </c>
      <c r="AQ76" s="4">
        <v>43500.0</v>
      </c>
      <c r="AR76" s="4">
        <v>71400.0</v>
      </c>
      <c r="AS76" s="4">
        <v>27900.0</v>
      </c>
      <c r="AT76" s="4">
        <v>27.0</v>
      </c>
      <c r="AU76" s="4">
        <v>1927800.0</v>
      </c>
      <c r="AV76" s="4">
        <v>0.07</v>
      </c>
      <c r="AW76" s="4">
        <v>134946.0</v>
      </c>
      <c r="AX76" s="4">
        <v>1792854.0</v>
      </c>
      <c r="AY76" s="4">
        <v>1174500.0</v>
      </c>
      <c r="AZ76" s="4">
        <v>618354.0</v>
      </c>
    </row>
    <row r="77" ht="15.75" customHeight="1">
      <c r="A77" s="3" t="s">
        <v>382</v>
      </c>
      <c r="B77" s="5">
        <v>42641.0</v>
      </c>
      <c r="C77" s="6">
        <f t="shared" si="1"/>
        <v>2016</v>
      </c>
      <c r="D77" s="7" t="s">
        <v>383</v>
      </c>
      <c r="E77" s="7" t="s">
        <v>384</v>
      </c>
      <c r="F77" s="7" t="s">
        <v>31</v>
      </c>
      <c r="G77" s="5" t="s">
        <v>51</v>
      </c>
      <c r="H77" s="7" t="s">
        <v>43</v>
      </c>
      <c r="I77" s="7" t="s">
        <v>74</v>
      </c>
      <c r="J77" s="7" t="s">
        <v>308</v>
      </c>
      <c r="K77" s="7" t="s">
        <v>61</v>
      </c>
      <c r="L77" s="7" t="s">
        <v>37</v>
      </c>
      <c r="M77" s="7" t="s">
        <v>38</v>
      </c>
      <c r="N77" s="5">
        <v>42641.0</v>
      </c>
      <c r="O77" s="8">
        <v>2347500.0</v>
      </c>
      <c r="P77" s="8">
        <v>4514550.0</v>
      </c>
      <c r="Q77" s="8">
        <f t="shared" si="2"/>
        <v>2167050</v>
      </c>
      <c r="R77" s="8">
        <v>1.0</v>
      </c>
      <c r="S77" s="8">
        <f t="shared" si="3"/>
        <v>4514550</v>
      </c>
      <c r="T77" s="9">
        <v>0.06</v>
      </c>
      <c r="U77" s="8">
        <f t="shared" si="4"/>
        <v>270873</v>
      </c>
      <c r="V77" s="8">
        <f t="shared" si="5"/>
        <v>4243677</v>
      </c>
      <c r="W77" s="10">
        <f t="shared" si="6"/>
        <v>2347500</v>
      </c>
      <c r="X77" s="10">
        <f t="shared" si="7"/>
        <v>1896177</v>
      </c>
      <c r="Y77" s="10"/>
      <c r="Z77" s="10"/>
      <c r="AA77" s="10"/>
      <c r="AB77" s="4" t="s">
        <v>385</v>
      </c>
      <c r="AC77" s="4" t="s">
        <v>382</v>
      </c>
      <c r="AD77" s="4">
        <v>42641.0</v>
      </c>
      <c r="AE77" s="4">
        <v>2016.0</v>
      </c>
      <c r="AF77" s="4" t="s">
        <v>383</v>
      </c>
      <c r="AG77" s="4" t="s">
        <v>384</v>
      </c>
      <c r="AH77" s="4" t="s">
        <v>31</v>
      </c>
      <c r="AI77" s="4" t="s">
        <v>51</v>
      </c>
      <c r="AJ77" s="4" t="s">
        <v>43</v>
      </c>
      <c r="AK77" s="4" t="s">
        <v>74</v>
      </c>
      <c r="AL77" s="4" t="s">
        <v>308</v>
      </c>
      <c r="AM77" s="4" t="s">
        <v>61</v>
      </c>
      <c r="AN77" s="4" t="s">
        <v>37</v>
      </c>
      <c r="AO77" s="4" t="s">
        <v>38</v>
      </c>
      <c r="AP77" s="4">
        <v>42641.0</v>
      </c>
      <c r="AQ77" s="4">
        <v>2347500.0</v>
      </c>
      <c r="AR77" s="4">
        <v>4514550.0</v>
      </c>
      <c r="AS77" s="4">
        <v>2167050.0</v>
      </c>
      <c r="AT77" s="4">
        <v>1.0</v>
      </c>
      <c r="AU77" s="4">
        <v>4514550.0</v>
      </c>
      <c r="AV77" s="4">
        <v>0.06</v>
      </c>
      <c r="AW77" s="4">
        <v>270873.0</v>
      </c>
      <c r="AX77" s="4">
        <v>4243677.0</v>
      </c>
      <c r="AY77" s="4">
        <v>2347500.0</v>
      </c>
      <c r="AZ77" s="4">
        <v>1896177.0</v>
      </c>
    </row>
    <row r="78" ht="15.75" customHeight="1">
      <c r="A78" s="3" t="s">
        <v>386</v>
      </c>
      <c r="B78" s="5">
        <v>42645.0</v>
      </c>
      <c r="C78" s="6">
        <f t="shared" si="1"/>
        <v>2016</v>
      </c>
      <c r="D78" s="7" t="s">
        <v>144</v>
      </c>
      <c r="E78" s="7" t="s">
        <v>145</v>
      </c>
      <c r="F78" s="7" t="s">
        <v>50</v>
      </c>
      <c r="G78" s="5" t="s">
        <v>91</v>
      </c>
      <c r="H78" s="7" t="s">
        <v>69</v>
      </c>
      <c r="I78" s="7" t="s">
        <v>104</v>
      </c>
      <c r="J78" s="7" t="s">
        <v>313</v>
      </c>
      <c r="K78" s="7" t="s">
        <v>36</v>
      </c>
      <c r="L78" s="7" t="s">
        <v>45</v>
      </c>
      <c r="M78" s="7" t="s">
        <v>38</v>
      </c>
      <c r="N78" s="5">
        <v>42646.0</v>
      </c>
      <c r="O78" s="8">
        <v>34350.0</v>
      </c>
      <c r="P78" s="8">
        <v>53700.0</v>
      </c>
      <c r="Q78" s="8">
        <f t="shared" si="2"/>
        <v>19350</v>
      </c>
      <c r="R78" s="8">
        <v>10.0</v>
      </c>
      <c r="S78" s="8">
        <f t="shared" si="3"/>
        <v>537000</v>
      </c>
      <c r="T78" s="9">
        <v>0.05</v>
      </c>
      <c r="U78" s="8">
        <f t="shared" si="4"/>
        <v>26850</v>
      </c>
      <c r="V78" s="8">
        <f t="shared" si="5"/>
        <v>510150</v>
      </c>
      <c r="W78" s="10">
        <f t="shared" si="6"/>
        <v>343500</v>
      </c>
      <c r="X78" s="10">
        <f t="shared" si="7"/>
        <v>166650</v>
      </c>
      <c r="Y78" s="10"/>
      <c r="Z78" s="10"/>
      <c r="AA78" s="10"/>
      <c r="AB78" s="4" t="s">
        <v>387</v>
      </c>
      <c r="AC78" s="4" t="s">
        <v>386</v>
      </c>
      <c r="AD78" s="4">
        <v>42645.0</v>
      </c>
      <c r="AE78" s="4">
        <v>2016.0</v>
      </c>
      <c r="AF78" s="4" t="s">
        <v>144</v>
      </c>
      <c r="AG78" s="4" t="s">
        <v>145</v>
      </c>
      <c r="AH78" s="4" t="s">
        <v>50</v>
      </c>
      <c r="AI78" s="4" t="s">
        <v>91</v>
      </c>
      <c r="AJ78" s="4" t="s">
        <v>69</v>
      </c>
      <c r="AK78" s="4" t="s">
        <v>104</v>
      </c>
      <c r="AL78" s="4" t="s">
        <v>313</v>
      </c>
      <c r="AM78" s="4" t="s">
        <v>36</v>
      </c>
      <c r="AN78" s="4" t="s">
        <v>45</v>
      </c>
      <c r="AO78" s="4" t="s">
        <v>38</v>
      </c>
      <c r="AP78" s="4">
        <v>42646.0</v>
      </c>
      <c r="AQ78" s="4">
        <v>34350.0</v>
      </c>
      <c r="AR78" s="4">
        <v>53700.0</v>
      </c>
      <c r="AS78" s="4">
        <v>19350.0</v>
      </c>
      <c r="AT78" s="4">
        <v>10.0</v>
      </c>
      <c r="AU78" s="4">
        <v>537000.0</v>
      </c>
      <c r="AV78" s="4">
        <v>0.05</v>
      </c>
      <c r="AW78" s="4">
        <v>26850.0</v>
      </c>
      <c r="AX78" s="4">
        <v>510150.0</v>
      </c>
      <c r="AY78" s="4">
        <v>343500.0</v>
      </c>
      <c r="AZ78" s="4">
        <v>166650.0</v>
      </c>
    </row>
    <row r="79" ht="15.75" customHeight="1">
      <c r="A79" s="3" t="s">
        <v>388</v>
      </c>
      <c r="B79" s="5">
        <v>42646.0</v>
      </c>
      <c r="C79" s="6">
        <f t="shared" si="1"/>
        <v>2016</v>
      </c>
      <c r="D79" s="7" t="s">
        <v>389</v>
      </c>
      <c r="E79" s="7" t="s">
        <v>268</v>
      </c>
      <c r="F79" s="7" t="s">
        <v>50</v>
      </c>
      <c r="G79" s="5" t="s">
        <v>51</v>
      </c>
      <c r="H79" s="7" t="s">
        <v>140</v>
      </c>
      <c r="I79" s="7" t="s">
        <v>104</v>
      </c>
      <c r="J79" s="7" t="s">
        <v>81</v>
      </c>
      <c r="K79" s="7" t="s">
        <v>36</v>
      </c>
      <c r="L79" s="7" t="s">
        <v>37</v>
      </c>
      <c r="M79" s="7" t="s">
        <v>38</v>
      </c>
      <c r="N79" s="5">
        <v>42647.0</v>
      </c>
      <c r="O79" s="8">
        <v>1490850.0</v>
      </c>
      <c r="P79" s="8">
        <v>2443950.0</v>
      </c>
      <c r="Q79" s="8">
        <f t="shared" si="2"/>
        <v>953100</v>
      </c>
      <c r="R79" s="8">
        <v>7.0</v>
      </c>
      <c r="S79" s="8">
        <f t="shared" si="3"/>
        <v>17107650</v>
      </c>
      <c r="T79" s="9">
        <v>0.03</v>
      </c>
      <c r="U79" s="8">
        <f t="shared" si="4"/>
        <v>513229.5</v>
      </c>
      <c r="V79" s="8">
        <f t="shared" si="5"/>
        <v>16594420.5</v>
      </c>
      <c r="W79" s="10">
        <f t="shared" si="6"/>
        <v>10435950</v>
      </c>
      <c r="X79" s="10">
        <f t="shared" si="7"/>
        <v>6158470.5</v>
      </c>
      <c r="Y79" s="10"/>
      <c r="Z79" s="10"/>
      <c r="AA79" s="10"/>
      <c r="AB79" s="4" t="s">
        <v>390</v>
      </c>
      <c r="AC79" s="4" t="s">
        <v>388</v>
      </c>
      <c r="AD79" s="4">
        <v>42646.0</v>
      </c>
      <c r="AE79" s="4">
        <v>2016.0</v>
      </c>
      <c r="AF79" s="4" t="s">
        <v>389</v>
      </c>
      <c r="AG79" s="4" t="s">
        <v>268</v>
      </c>
      <c r="AH79" s="4" t="s">
        <v>50</v>
      </c>
      <c r="AI79" s="4" t="s">
        <v>51</v>
      </c>
      <c r="AJ79" s="4" t="s">
        <v>140</v>
      </c>
      <c r="AK79" s="4" t="s">
        <v>104</v>
      </c>
      <c r="AL79" s="4" t="s">
        <v>81</v>
      </c>
      <c r="AM79" s="4" t="s">
        <v>36</v>
      </c>
      <c r="AN79" s="4" t="s">
        <v>37</v>
      </c>
      <c r="AO79" s="4" t="s">
        <v>38</v>
      </c>
      <c r="AP79" s="4">
        <v>42647.0</v>
      </c>
      <c r="AQ79" s="4">
        <v>1490850.0</v>
      </c>
      <c r="AR79" s="4">
        <v>2443950.0</v>
      </c>
      <c r="AS79" s="4">
        <v>953100.0</v>
      </c>
      <c r="AT79" s="4">
        <v>7.0</v>
      </c>
      <c r="AU79" s="4">
        <v>1.710765E7</v>
      </c>
      <c r="AV79" s="4">
        <v>0.03</v>
      </c>
      <c r="AW79" s="4">
        <v>513229.5</v>
      </c>
      <c r="AX79" s="4">
        <v>1.65944205E7</v>
      </c>
      <c r="AY79" s="4">
        <v>1.043595E7</v>
      </c>
      <c r="AZ79" s="4">
        <v>6158470.5</v>
      </c>
    </row>
    <row r="80" ht="15.75" customHeight="1">
      <c r="A80" s="3" t="s">
        <v>391</v>
      </c>
      <c r="B80" s="5">
        <v>42646.0</v>
      </c>
      <c r="C80" s="6">
        <f t="shared" si="1"/>
        <v>2016</v>
      </c>
      <c r="D80" s="7" t="s">
        <v>392</v>
      </c>
      <c r="E80" s="7" t="s">
        <v>393</v>
      </c>
      <c r="F80" s="7" t="s">
        <v>31</v>
      </c>
      <c r="G80" s="5" t="s">
        <v>91</v>
      </c>
      <c r="H80" s="7" t="s">
        <v>43</v>
      </c>
      <c r="I80" s="7" t="s">
        <v>34</v>
      </c>
      <c r="J80" s="7" t="s">
        <v>394</v>
      </c>
      <c r="K80" s="7" t="s">
        <v>36</v>
      </c>
      <c r="L80" s="7" t="s">
        <v>45</v>
      </c>
      <c r="M80" s="7" t="s">
        <v>55</v>
      </c>
      <c r="N80" s="5">
        <v>42648.0</v>
      </c>
      <c r="O80" s="8">
        <v>24000.0</v>
      </c>
      <c r="P80" s="8">
        <v>39300.0</v>
      </c>
      <c r="Q80" s="8">
        <f t="shared" si="2"/>
        <v>15300</v>
      </c>
      <c r="R80" s="8">
        <v>34.0</v>
      </c>
      <c r="S80" s="8">
        <f t="shared" si="3"/>
        <v>1336200</v>
      </c>
      <c r="T80" s="9">
        <v>0.08</v>
      </c>
      <c r="U80" s="8">
        <f t="shared" si="4"/>
        <v>106896</v>
      </c>
      <c r="V80" s="8">
        <f t="shared" si="5"/>
        <v>1229304</v>
      </c>
      <c r="W80" s="10">
        <f t="shared" si="6"/>
        <v>816000</v>
      </c>
      <c r="X80" s="10">
        <f t="shared" si="7"/>
        <v>413304</v>
      </c>
      <c r="Y80" s="10"/>
      <c r="Z80" s="10"/>
      <c r="AA80" s="10"/>
      <c r="AB80" s="4" t="s">
        <v>395</v>
      </c>
      <c r="AC80" s="4" t="s">
        <v>391</v>
      </c>
      <c r="AD80" s="4">
        <v>42646.0</v>
      </c>
      <c r="AE80" s="4">
        <v>2016.0</v>
      </c>
      <c r="AF80" s="4" t="s">
        <v>392</v>
      </c>
      <c r="AG80" s="4" t="s">
        <v>393</v>
      </c>
      <c r="AH80" s="4" t="s">
        <v>31</v>
      </c>
      <c r="AI80" s="4" t="s">
        <v>91</v>
      </c>
      <c r="AJ80" s="4" t="s">
        <v>43</v>
      </c>
      <c r="AK80" s="4" t="s">
        <v>34</v>
      </c>
      <c r="AL80" s="4" t="s">
        <v>394</v>
      </c>
      <c r="AM80" s="4" t="s">
        <v>36</v>
      </c>
      <c r="AN80" s="4" t="s">
        <v>45</v>
      </c>
      <c r="AO80" s="4" t="s">
        <v>55</v>
      </c>
      <c r="AP80" s="4">
        <v>42648.0</v>
      </c>
      <c r="AQ80" s="4">
        <v>24000.0</v>
      </c>
      <c r="AR80" s="4">
        <v>39300.0</v>
      </c>
      <c r="AS80" s="4">
        <v>15300.0</v>
      </c>
      <c r="AT80" s="4">
        <v>34.0</v>
      </c>
      <c r="AU80" s="4">
        <v>1336200.0</v>
      </c>
      <c r="AV80" s="4">
        <v>0.08</v>
      </c>
      <c r="AW80" s="4">
        <v>106896.0</v>
      </c>
      <c r="AX80" s="4">
        <v>1229304.0</v>
      </c>
      <c r="AY80" s="4">
        <v>816000.0</v>
      </c>
      <c r="AZ80" s="4">
        <v>413304.0</v>
      </c>
    </row>
    <row r="81" ht="15.75" customHeight="1">
      <c r="A81" s="3" t="s">
        <v>396</v>
      </c>
      <c r="B81" s="5">
        <v>42649.0</v>
      </c>
      <c r="C81" s="6">
        <f t="shared" si="1"/>
        <v>2016</v>
      </c>
      <c r="D81" s="7" t="s">
        <v>397</v>
      </c>
      <c r="E81" s="7" t="s">
        <v>398</v>
      </c>
      <c r="F81" s="7" t="s">
        <v>50</v>
      </c>
      <c r="G81" s="5" t="s">
        <v>51</v>
      </c>
      <c r="H81" s="7" t="s">
        <v>52</v>
      </c>
      <c r="I81" s="7" t="s">
        <v>34</v>
      </c>
      <c r="J81" s="7" t="s">
        <v>399</v>
      </c>
      <c r="K81" s="7" t="s">
        <v>36</v>
      </c>
      <c r="L81" s="7" t="s">
        <v>37</v>
      </c>
      <c r="M81" s="7" t="s">
        <v>38</v>
      </c>
      <c r="N81" s="5">
        <v>42650.0</v>
      </c>
      <c r="O81" s="8">
        <v>51000.0</v>
      </c>
      <c r="P81" s="8">
        <v>81000.0</v>
      </c>
      <c r="Q81" s="8">
        <f t="shared" si="2"/>
        <v>30000</v>
      </c>
      <c r="R81" s="8">
        <v>25.0</v>
      </c>
      <c r="S81" s="8">
        <f t="shared" si="3"/>
        <v>2025000</v>
      </c>
      <c r="T81" s="9">
        <v>0.09</v>
      </c>
      <c r="U81" s="8">
        <f t="shared" si="4"/>
        <v>182250</v>
      </c>
      <c r="V81" s="8">
        <f t="shared" si="5"/>
        <v>1842750</v>
      </c>
      <c r="W81" s="10">
        <f t="shared" si="6"/>
        <v>1275000</v>
      </c>
      <c r="X81" s="10">
        <f t="shared" si="7"/>
        <v>567750</v>
      </c>
      <c r="Y81" s="10"/>
      <c r="Z81" s="10"/>
      <c r="AA81" s="10"/>
      <c r="AB81" s="4" t="s">
        <v>400</v>
      </c>
      <c r="AC81" s="4" t="s">
        <v>396</v>
      </c>
      <c r="AD81" s="4">
        <v>42649.0</v>
      </c>
      <c r="AE81" s="4">
        <v>2016.0</v>
      </c>
      <c r="AF81" s="4" t="s">
        <v>397</v>
      </c>
      <c r="AG81" s="4" t="s">
        <v>398</v>
      </c>
      <c r="AH81" s="4" t="s">
        <v>50</v>
      </c>
      <c r="AI81" s="4" t="s">
        <v>51</v>
      </c>
      <c r="AJ81" s="4" t="s">
        <v>52</v>
      </c>
      <c r="AK81" s="4" t="s">
        <v>34</v>
      </c>
      <c r="AL81" s="4" t="s">
        <v>399</v>
      </c>
      <c r="AM81" s="4" t="s">
        <v>36</v>
      </c>
      <c r="AN81" s="4" t="s">
        <v>37</v>
      </c>
      <c r="AO81" s="4" t="s">
        <v>38</v>
      </c>
      <c r="AP81" s="4">
        <v>42650.0</v>
      </c>
      <c r="AQ81" s="4">
        <v>51000.0</v>
      </c>
      <c r="AR81" s="4">
        <v>81000.0</v>
      </c>
      <c r="AS81" s="4">
        <v>30000.0</v>
      </c>
      <c r="AT81" s="4">
        <v>25.0</v>
      </c>
      <c r="AU81" s="4">
        <v>2025000.0</v>
      </c>
      <c r="AV81" s="4">
        <v>0.09</v>
      </c>
      <c r="AW81" s="4">
        <v>182250.0</v>
      </c>
      <c r="AX81" s="4">
        <v>1842750.0</v>
      </c>
      <c r="AY81" s="4">
        <v>1275000.0</v>
      </c>
      <c r="AZ81" s="4">
        <v>567750.0</v>
      </c>
    </row>
    <row r="82" ht="15.75" customHeight="1">
      <c r="A82" s="3" t="s">
        <v>401</v>
      </c>
      <c r="B82" s="5">
        <v>42650.0</v>
      </c>
      <c r="C82" s="6">
        <f t="shared" si="1"/>
        <v>2016</v>
      </c>
      <c r="D82" s="7" t="s">
        <v>402</v>
      </c>
      <c r="E82" s="7" t="s">
        <v>403</v>
      </c>
      <c r="F82" s="7" t="s">
        <v>289</v>
      </c>
      <c r="G82" s="5" t="s">
        <v>32</v>
      </c>
      <c r="H82" s="7" t="s">
        <v>140</v>
      </c>
      <c r="I82" s="7" t="s">
        <v>34</v>
      </c>
      <c r="J82" s="7" t="s">
        <v>404</v>
      </c>
      <c r="K82" s="7" t="s">
        <v>36</v>
      </c>
      <c r="L82" s="7" t="s">
        <v>45</v>
      </c>
      <c r="M82" s="7" t="s">
        <v>38</v>
      </c>
      <c r="N82" s="5">
        <v>42651.0</v>
      </c>
      <c r="O82" s="8">
        <v>166650.0</v>
      </c>
      <c r="P82" s="8">
        <v>297600.0</v>
      </c>
      <c r="Q82" s="8">
        <f t="shared" si="2"/>
        <v>130950</v>
      </c>
      <c r="R82" s="8">
        <v>26.0</v>
      </c>
      <c r="S82" s="8">
        <f t="shared" si="3"/>
        <v>7737600</v>
      </c>
      <c r="T82" s="9">
        <v>0.07</v>
      </c>
      <c r="U82" s="8">
        <f t="shared" si="4"/>
        <v>541632</v>
      </c>
      <c r="V82" s="8">
        <f t="shared" si="5"/>
        <v>7195968</v>
      </c>
      <c r="W82" s="10">
        <f t="shared" si="6"/>
        <v>4332900</v>
      </c>
      <c r="X82" s="10">
        <f t="shared" si="7"/>
        <v>2863068</v>
      </c>
      <c r="Y82" s="10"/>
      <c r="Z82" s="10"/>
      <c r="AA82" s="10"/>
      <c r="AB82" s="4" t="s">
        <v>405</v>
      </c>
      <c r="AC82" s="4" t="s">
        <v>401</v>
      </c>
      <c r="AD82" s="4">
        <v>42650.0</v>
      </c>
      <c r="AE82" s="4">
        <v>2016.0</v>
      </c>
      <c r="AF82" s="4" t="s">
        <v>402</v>
      </c>
      <c r="AG82" s="4" t="s">
        <v>403</v>
      </c>
      <c r="AH82" s="4" t="s">
        <v>289</v>
      </c>
      <c r="AI82" s="4" t="s">
        <v>32</v>
      </c>
      <c r="AJ82" s="4" t="s">
        <v>140</v>
      </c>
      <c r="AK82" s="4" t="s">
        <v>34</v>
      </c>
      <c r="AL82" s="4" t="s">
        <v>404</v>
      </c>
      <c r="AM82" s="4" t="s">
        <v>36</v>
      </c>
      <c r="AN82" s="4" t="s">
        <v>45</v>
      </c>
      <c r="AO82" s="4" t="s">
        <v>38</v>
      </c>
      <c r="AP82" s="4">
        <v>42651.0</v>
      </c>
      <c r="AQ82" s="4">
        <v>166650.0</v>
      </c>
      <c r="AR82" s="4">
        <v>297600.0</v>
      </c>
      <c r="AS82" s="4">
        <v>130950.0</v>
      </c>
      <c r="AT82" s="4">
        <v>26.0</v>
      </c>
      <c r="AU82" s="4">
        <v>7737600.0</v>
      </c>
      <c r="AV82" s="4">
        <v>0.07</v>
      </c>
      <c r="AW82" s="4">
        <v>541632.0</v>
      </c>
      <c r="AX82" s="4">
        <v>7195968.0</v>
      </c>
      <c r="AY82" s="4">
        <v>4332900.0</v>
      </c>
      <c r="AZ82" s="4">
        <v>2863068.0</v>
      </c>
    </row>
    <row r="83" ht="15.75" customHeight="1">
      <c r="A83" s="3" t="s">
        <v>406</v>
      </c>
      <c r="B83" s="5">
        <v>42651.0</v>
      </c>
      <c r="C83" s="6">
        <f t="shared" si="1"/>
        <v>2016</v>
      </c>
      <c r="D83" s="7" t="s">
        <v>407</v>
      </c>
      <c r="E83" s="7" t="s">
        <v>408</v>
      </c>
      <c r="F83" s="7" t="s">
        <v>289</v>
      </c>
      <c r="G83" s="5" t="s">
        <v>51</v>
      </c>
      <c r="H83" s="7" t="s">
        <v>98</v>
      </c>
      <c r="I83" s="7" t="s">
        <v>53</v>
      </c>
      <c r="J83" s="7" t="s">
        <v>146</v>
      </c>
      <c r="K83" s="7" t="s">
        <v>36</v>
      </c>
      <c r="L83" s="7" t="s">
        <v>45</v>
      </c>
      <c r="M83" s="7" t="s">
        <v>38</v>
      </c>
      <c r="N83" s="5">
        <v>42652.0</v>
      </c>
      <c r="O83" s="8">
        <v>27300.0</v>
      </c>
      <c r="P83" s="8">
        <v>44700.0</v>
      </c>
      <c r="Q83" s="8">
        <f t="shared" si="2"/>
        <v>17400</v>
      </c>
      <c r="R83" s="8">
        <v>3.0</v>
      </c>
      <c r="S83" s="8">
        <f t="shared" si="3"/>
        <v>134100</v>
      </c>
      <c r="T83" s="9">
        <v>0.09</v>
      </c>
      <c r="U83" s="8">
        <f t="shared" si="4"/>
        <v>12069</v>
      </c>
      <c r="V83" s="8">
        <f t="shared" si="5"/>
        <v>122031</v>
      </c>
      <c r="W83" s="10">
        <f t="shared" si="6"/>
        <v>81900</v>
      </c>
      <c r="X83" s="10">
        <f t="shared" si="7"/>
        <v>40131</v>
      </c>
      <c r="Y83" s="10"/>
      <c r="Z83" s="10"/>
      <c r="AA83" s="10"/>
      <c r="AB83" s="4" t="s">
        <v>409</v>
      </c>
      <c r="AC83" s="4" t="s">
        <v>406</v>
      </c>
      <c r="AD83" s="4">
        <v>42651.0</v>
      </c>
      <c r="AE83" s="4">
        <v>2016.0</v>
      </c>
      <c r="AF83" s="4" t="s">
        <v>407</v>
      </c>
      <c r="AG83" s="4" t="s">
        <v>408</v>
      </c>
      <c r="AH83" s="4" t="s">
        <v>289</v>
      </c>
      <c r="AI83" s="4" t="s">
        <v>51</v>
      </c>
      <c r="AJ83" s="4" t="s">
        <v>98</v>
      </c>
      <c r="AK83" s="4" t="s">
        <v>53</v>
      </c>
      <c r="AL83" s="4" t="s">
        <v>146</v>
      </c>
      <c r="AM83" s="4" t="s">
        <v>36</v>
      </c>
      <c r="AN83" s="4" t="s">
        <v>45</v>
      </c>
      <c r="AO83" s="4" t="s">
        <v>38</v>
      </c>
      <c r="AP83" s="4">
        <v>42652.0</v>
      </c>
      <c r="AQ83" s="4">
        <v>27300.0</v>
      </c>
      <c r="AR83" s="4">
        <v>44700.0</v>
      </c>
      <c r="AS83" s="4">
        <v>17400.0</v>
      </c>
      <c r="AT83" s="4">
        <v>3.0</v>
      </c>
      <c r="AU83" s="4">
        <v>134100.0</v>
      </c>
      <c r="AV83" s="4">
        <v>0.09</v>
      </c>
      <c r="AW83" s="4">
        <v>12069.0</v>
      </c>
      <c r="AX83" s="4">
        <v>122031.0</v>
      </c>
      <c r="AY83" s="4">
        <v>81900.0</v>
      </c>
      <c r="AZ83" s="4">
        <v>40131.0</v>
      </c>
    </row>
    <row r="84" ht="15.75" customHeight="1">
      <c r="A84" s="3" t="s">
        <v>410</v>
      </c>
      <c r="B84" s="5">
        <v>42654.0</v>
      </c>
      <c r="C84" s="6">
        <f t="shared" si="1"/>
        <v>2016</v>
      </c>
      <c r="D84" s="7" t="s">
        <v>411</v>
      </c>
      <c r="E84" s="7" t="s">
        <v>103</v>
      </c>
      <c r="F84" s="7" t="s">
        <v>31</v>
      </c>
      <c r="G84" s="5" t="s">
        <v>32</v>
      </c>
      <c r="H84" s="7" t="s">
        <v>33</v>
      </c>
      <c r="I84" s="7" t="s">
        <v>104</v>
      </c>
      <c r="J84" s="7" t="s">
        <v>412</v>
      </c>
      <c r="K84" s="7" t="s">
        <v>36</v>
      </c>
      <c r="L84" s="7" t="s">
        <v>37</v>
      </c>
      <c r="M84" s="7" t="s">
        <v>38</v>
      </c>
      <c r="N84" s="5">
        <v>42656.0</v>
      </c>
      <c r="O84" s="8">
        <v>19950.0</v>
      </c>
      <c r="P84" s="8">
        <v>31200.0</v>
      </c>
      <c r="Q84" s="8">
        <f t="shared" si="2"/>
        <v>11250</v>
      </c>
      <c r="R84" s="8">
        <v>44.0</v>
      </c>
      <c r="S84" s="8">
        <f t="shared" si="3"/>
        <v>1372800</v>
      </c>
      <c r="T84" s="9">
        <v>0.04</v>
      </c>
      <c r="U84" s="8">
        <f t="shared" si="4"/>
        <v>54912</v>
      </c>
      <c r="V84" s="8">
        <f t="shared" si="5"/>
        <v>1317888</v>
      </c>
      <c r="W84" s="10">
        <f t="shared" si="6"/>
        <v>877800</v>
      </c>
      <c r="X84" s="10">
        <f t="shared" si="7"/>
        <v>440088</v>
      </c>
      <c r="Y84" s="10"/>
      <c r="Z84" s="10"/>
      <c r="AA84" s="10"/>
      <c r="AB84" s="4" t="s">
        <v>413</v>
      </c>
      <c r="AC84" s="4" t="s">
        <v>410</v>
      </c>
      <c r="AD84" s="4">
        <v>42654.0</v>
      </c>
      <c r="AE84" s="4">
        <v>2016.0</v>
      </c>
      <c r="AF84" s="4" t="s">
        <v>411</v>
      </c>
      <c r="AG84" s="4" t="s">
        <v>103</v>
      </c>
      <c r="AH84" s="4" t="s">
        <v>31</v>
      </c>
      <c r="AI84" s="4" t="s">
        <v>32</v>
      </c>
      <c r="AJ84" s="4" t="s">
        <v>33</v>
      </c>
      <c r="AK84" s="4" t="s">
        <v>104</v>
      </c>
      <c r="AL84" s="4" t="s">
        <v>412</v>
      </c>
      <c r="AM84" s="4" t="s">
        <v>36</v>
      </c>
      <c r="AN84" s="4" t="s">
        <v>37</v>
      </c>
      <c r="AO84" s="4" t="s">
        <v>38</v>
      </c>
      <c r="AP84" s="4">
        <v>42656.0</v>
      </c>
      <c r="AQ84" s="4">
        <v>19950.0</v>
      </c>
      <c r="AR84" s="4">
        <v>31200.0</v>
      </c>
      <c r="AS84" s="4">
        <v>11250.0</v>
      </c>
      <c r="AT84" s="4">
        <v>44.0</v>
      </c>
      <c r="AU84" s="4">
        <v>1372800.0</v>
      </c>
      <c r="AV84" s="4">
        <v>0.04</v>
      </c>
      <c r="AW84" s="4">
        <v>54912.0</v>
      </c>
      <c r="AX84" s="4">
        <v>1317888.0</v>
      </c>
      <c r="AY84" s="4">
        <v>877800.0</v>
      </c>
      <c r="AZ84" s="4">
        <v>440088.0</v>
      </c>
    </row>
    <row r="85" ht="15.75" customHeight="1">
      <c r="A85" s="3" t="s">
        <v>414</v>
      </c>
      <c r="B85" s="5">
        <v>42654.0</v>
      </c>
      <c r="C85" s="6">
        <f t="shared" si="1"/>
        <v>2016</v>
      </c>
      <c r="D85" s="7" t="s">
        <v>415</v>
      </c>
      <c r="E85" s="7" t="s">
        <v>416</v>
      </c>
      <c r="F85" s="7" t="s">
        <v>50</v>
      </c>
      <c r="G85" s="5" t="s">
        <v>91</v>
      </c>
      <c r="H85" s="7" t="s">
        <v>52</v>
      </c>
      <c r="I85" s="7" t="s">
        <v>92</v>
      </c>
      <c r="J85" s="7" t="s">
        <v>417</v>
      </c>
      <c r="K85" s="7" t="s">
        <v>61</v>
      </c>
      <c r="L85" s="7" t="s">
        <v>244</v>
      </c>
      <c r="M85" s="7" t="s">
        <v>38</v>
      </c>
      <c r="N85" s="5">
        <v>42656.0</v>
      </c>
      <c r="O85" s="8">
        <v>118800.0</v>
      </c>
      <c r="P85" s="8">
        <v>194850.0</v>
      </c>
      <c r="Q85" s="8">
        <f t="shared" si="2"/>
        <v>76050</v>
      </c>
      <c r="R85" s="8">
        <v>49.0</v>
      </c>
      <c r="S85" s="8">
        <f t="shared" si="3"/>
        <v>9547650</v>
      </c>
      <c r="T85" s="9">
        <v>0.07</v>
      </c>
      <c r="U85" s="8">
        <f t="shared" si="4"/>
        <v>668335.5</v>
      </c>
      <c r="V85" s="8">
        <f t="shared" si="5"/>
        <v>8879314.5</v>
      </c>
      <c r="W85" s="10">
        <f t="shared" si="6"/>
        <v>5821200</v>
      </c>
      <c r="X85" s="10">
        <f t="shared" si="7"/>
        <v>3058114.5</v>
      </c>
      <c r="Y85" s="10"/>
      <c r="Z85" s="10"/>
      <c r="AA85" s="10"/>
      <c r="AB85" s="4" t="s">
        <v>418</v>
      </c>
      <c r="AC85" s="4" t="s">
        <v>414</v>
      </c>
      <c r="AD85" s="4">
        <v>42654.0</v>
      </c>
      <c r="AE85" s="4">
        <v>2016.0</v>
      </c>
      <c r="AF85" s="4" t="s">
        <v>415</v>
      </c>
      <c r="AG85" s="4" t="s">
        <v>416</v>
      </c>
      <c r="AH85" s="4" t="s">
        <v>50</v>
      </c>
      <c r="AI85" s="4" t="s">
        <v>91</v>
      </c>
      <c r="AJ85" s="4" t="s">
        <v>52</v>
      </c>
      <c r="AK85" s="4" t="s">
        <v>92</v>
      </c>
      <c r="AL85" s="4" t="s">
        <v>417</v>
      </c>
      <c r="AM85" s="4" t="s">
        <v>61</v>
      </c>
      <c r="AN85" s="4" t="s">
        <v>244</v>
      </c>
      <c r="AO85" s="4" t="s">
        <v>38</v>
      </c>
      <c r="AP85" s="4">
        <v>42656.0</v>
      </c>
      <c r="AQ85" s="4">
        <v>118800.0</v>
      </c>
      <c r="AR85" s="4">
        <v>194850.0</v>
      </c>
      <c r="AS85" s="4">
        <v>76050.0</v>
      </c>
      <c r="AT85" s="4">
        <v>49.0</v>
      </c>
      <c r="AU85" s="4">
        <v>9547650.0</v>
      </c>
      <c r="AV85" s="4">
        <v>0.07</v>
      </c>
      <c r="AW85" s="4">
        <v>668335.5</v>
      </c>
      <c r="AX85" s="4">
        <v>8879314.5</v>
      </c>
      <c r="AY85" s="4">
        <v>5821200.0</v>
      </c>
      <c r="AZ85" s="4">
        <v>3058114.5</v>
      </c>
    </row>
    <row r="86" ht="15.75" customHeight="1">
      <c r="A86" s="3" t="s">
        <v>419</v>
      </c>
      <c r="B86" s="5">
        <v>42655.0</v>
      </c>
      <c r="C86" s="6">
        <f t="shared" si="1"/>
        <v>2016</v>
      </c>
      <c r="D86" s="7" t="s">
        <v>420</v>
      </c>
      <c r="E86" s="7" t="s">
        <v>199</v>
      </c>
      <c r="F86" s="7" t="s">
        <v>50</v>
      </c>
      <c r="G86" s="5" t="s">
        <v>91</v>
      </c>
      <c r="H86" s="7" t="s">
        <v>200</v>
      </c>
      <c r="I86" s="7" t="s">
        <v>74</v>
      </c>
      <c r="J86" s="7" t="s">
        <v>190</v>
      </c>
      <c r="K86" s="7" t="s">
        <v>61</v>
      </c>
      <c r="L86" s="7" t="s">
        <v>37</v>
      </c>
      <c r="M86" s="7" t="s">
        <v>38</v>
      </c>
      <c r="N86" s="5">
        <v>42659.0</v>
      </c>
      <c r="O86" s="8">
        <v>95850.0</v>
      </c>
      <c r="P86" s="8">
        <v>299700.0</v>
      </c>
      <c r="Q86" s="8">
        <f t="shared" si="2"/>
        <v>203850</v>
      </c>
      <c r="R86" s="8">
        <v>19.0</v>
      </c>
      <c r="S86" s="8">
        <f t="shared" si="3"/>
        <v>5694300</v>
      </c>
      <c r="T86" s="9">
        <v>0.08</v>
      </c>
      <c r="U86" s="8">
        <f t="shared" si="4"/>
        <v>455544</v>
      </c>
      <c r="V86" s="8">
        <f t="shared" si="5"/>
        <v>5238756</v>
      </c>
      <c r="W86" s="10">
        <f t="shared" si="6"/>
        <v>1821150</v>
      </c>
      <c r="X86" s="10">
        <f t="shared" si="7"/>
        <v>3417606</v>
      </c>
      <c r="Y86" s="10"/>
      <c r="Z86" s="10"/>
      <c r="AA86" s="10"/>
      <c r="AB86" s="4" t="s">
        <v>421</v>
      </c>
      <c r="AC86" s="4" t="s">
        <v>419</v>
      </c>
      <c r="AD86" s="4">
        <v>42655.0</v>
      </c>
      <c r="AE86" s="4">
        <v>2016.0</v>
      </c>
      <c r="AF86" s="4" t="s">
        <v>420</v>
      </c>
      <c r="AG86" s="4" t="s">
        <v>199</v>
      </c>
      <c r="AH86" s="4" t="s">
        <v>50</v>
      </c>
      <c r="AI86" s="4" t="s">
        <v>91</v>
      </c>
      <c r="AJ86" s="4" t="s">
        <v>200</v>
      </c>
      <c r="AK86" s="4" t="s">
        <v>74</v>
      </c>
      <c r="AL86" s="4" t="s">
        <v>190</v>
      </c>
      <c r="AM86" s="4" t="s">
        <v>61</v>
      </c>
      <c r="AN86" s="4" t="s">
        <v>37</v>
      </c>
      <c r="AO86" s="4" t="s">
        <v>38</v>
      </c>
      <c r="AP86" s="4">
        <v>42659.0</v>
      </c>
      <c r="AQ86" s="4">
        <v>95850.0</v>
      </c>
      <c r="AR86" s="4">
        <v>299700.0</v>
      </c>
      <c r="AS86" s="4">
        <v>203850.0</v>
      </c>
      <c r="AT86" s="4">
        <v>19.0</v>
      </c>
      <c r="AU86" s="4">
        <v>5694300.0</v>
      </c>
      <c r="AV86" s="4">
        <v>0.08</v>
      </c>
      <c r="AW86" s="4">
        <v>455544.0</v>
      </c>
      <c r="AX86" s="4">
        <v>5238756.0</v>
      </c>
      <c r="AY86" s="4">
        <v>1821150.0</v>
      </c>
      <c r="AZ86" s="4">
        <v>3417606.0</v>
      </c>
    </row>
    <row r="87" ht="15.75" customHeight="1">
      <c r="A87" s="3" t="s">
        <v>422</v>
      </c>
      <c r="B87" s="5">
        <v>42657.0</v>
      </c>
      <c r="C87" s="6">
        <f t="shared" si="1"/>
        <v>2016</v>
      </c>
      <c r="D87" s="7" t="s">
        <v>423</v>
      </c>
      <c r="E87" s="7" t="s">
        <v>424</v>
      </c>
      <c r="F87" s="7" t="s">
        <v>50</v>
      </c>
      <c r="G87" s="5" t="s">
        <v>68</v>
      </c>
      <c r="H87" s="7" t="s">
        <v>80</v>
      </c>
      <c r="I87" s="7" t="s">
        <v>34</v>
      </c>
      <c r="J87" s="7" t="s">
        <v>229</v>
      </c>
      <c r="K87" s="7" t="s">
        <v>61</v>
      </c>
      <c r="L87" s="7" t="s">
        <v>127</v>
      </c>
      <c r="M87" s="7" t="s">
        <v>55</v>
      </c>
      <c r="N87" s="5">
        <v>42658.0</v>
      </c>
      <c r="O87" s="8">
        <v>28050.0</v>
      </c>
      <c r="P87" s="8">
        <v>121799.99999999999</v>
      </c>
      <c r="Q87" s="8">
        <f t="shared" si="2"/>
        <v>93750</v>
      </c>
      <c r="R87" s="8">
        <v>32.0</v>
      </c>
      <c r="S87" s="8">
        <f t="shared" si="3"/>
        <v>3897600</v>
      </c>
      <c r="T87" s="9">
        <v>0.08</v>
      </c>
      <c r="U87" s="8">
        <f t="shared" si="4"/>
        <v>311808</v>
      </c>
      <c r="V87" s="8">
        <f t="shared" si="5"/>
        <v>3585792</v>
      </c>
      <c r="W87" s="10">
        <f t="shared" si="6"/>
        <v>897600</v>
      </c>
      <c r="X87" s="10">
        <f t="shared" si="7"/>
        <v>2688192</v>
      </c>
      <c r="Y87" s="10"/>
      <c r="Z87" s="10"/>
      <c r="AA87" s="10"/>
      <c r="AB87" s="4" t="s">
        <v>425</v>
      </c>
      <c r="AC87" s="4" t="s">
        <v>422</v>
      </c>
      <c r="AD87" s="4">
        <v>42657.0</v>
      </c>
      <c r="AE87" s="4">
        <v>2016.0</v>
      </c>
      <c r="AF87" s="4" t="s">
        <v>423</v>
      </c>
      <c r="AG87" s="4" t="s">
        <v>424</v>
      </c>
      <c r="AH87" s="4" t="s">
        <v>50</v>
      </c>
      <c r="AI87" s="4" t="s">
        <v>68</v>
      </c>
      <c r="AJ87" s="4" t="s">
        <v>80</v>
      </c>
      <c r="AK87" s="4" t="s">
        <v>34</v>
      </c>
      <c r="AL87" s="4" t="s">
        <v>229</v>
      </c>
      <c r="AM87" s="4" t="s">
        <v>61</v>
      </c>
      <c r="AN87" s="4" t="s">
        <v>127</v>
      </c>
      <c r="AO87" s="4" t="s">
        <v>55</v>
      </c>
      <c r="AP87" s="4">
        <v>42658.0</v>
      </c>
      <c r="AQ87" s="4">
        <v>28050.0</v>
      </c>
      <c r="AR87" s="4">
        <v>121800.0</v>
      </c>
      <c r="AS87" s="4">
        <v>93750.0</v>
      </c>
      <c r="AT87" s="4">
        <v>32.0</v>
      </c>
      <c r="AU87" s="4">
        <v>3897600.0</v>
      </c>
      <c r="AV87" s="4">
        <v>0.08</v>
      </c>
      <c r="AW87" s="4">
        <v>311808.0</v>
      </c>
      <c r="AX87" s="4">
        <v>3585792.0</v>
      </c>
      <c r="AY87" s="4">
        <v>897600.0</v>
      </c>
      <c r="AZ87" s="4">
        <v>2688192.0</v>
      </c>
    </row>
    <row r="88" ht="15.75" customHeight="1">
      <c r="A88" s="3" t="s">
        <v>426</v>
      </c>
      <c r="B88" s="5">
        <v>42658.0</v>
      </c>
      <c r="C88" s="6">
        <f t="shared" si="1"/>
        <v>2016</v>
      </c>
      <c r="D88" s="7" t="s">
        <v>427</v>
      </c>
      <c r="E88" s="7" t="s">
        <v>183</v>
      </c>
      <c r="F88" s="7" t="s">
        <v>31</v>
      </c>
      <c r="G88" s="5" t="s">
        <v>32</v>
      </c>
      <c r="H88" s="7" t="s">
        <v>43</v>
      </c>
      <c r="I88" s="7" t="s">
        <v>34</v>
      </c>
      <c r="J88" s="7" t="s">
        <v>428</v>
      </c>
      <c r="K88" s="7" t="s">
        <v>36</v>
      </c>
      <c r="L88" s="7" t="s">
        <v>37</v>
      </c>
      <c r="M88" s="7" t="s">
        <v>38</v>
      </c>
      <c r="N88" s="5">
        <v>42660.0</v>
      </c>
      <c r="O88" s="8">
        <v>29700.0</v>
      </c>
      <c r="P88" s="8">
        <v>47250.0</v>
      </c>
      <c r="Q88" s="8">
        <f t="shared" si="2"/>
        <v>17550</v>
      </c>
      <c r="R88" s="8">
        <v>23.0</v>
      </c>
      <c r="S88" s="8">
        <f t="shared" si="3"/>
        <v>1086750</v>
      </c>
      <c r="T88" s="9">
        <v>0.01</v>
      </c>
      <c r="U88" s="8">
        <f t="shared" si="4"/>
        <v>10867.5</v>
      </c>
      <c r="V88" s="8">
        <f t="shared" si="5"/>
        <v>1075882.5</v>
      </c>
      <c r="W88" s="10">
        <f t="shared" si="6"/>
        <v>683100</v>
      </c>
      <c r="X88" s="10">
        <f t="shared" si="7"/>
        <v>392782.5</v>
      </c>
      <c r="Y88" s="10"/>
      <c r="Z88" s="10"/>
      <c r="AA88" s="10"/>
      <c r="AB88" s="4" t="s">
        <v>429</v>
      </c>
      <c r="AC88" s="4" t="s">
        <v>426</v>
      </c>
      <c r="AD88" s="4">
        <v>42658.0</v>
      </c>
      <c r="AE88" s="4">
        <v>2016.0</v>
      </c>
      <c r="AF88" s="4" t="s">
        <v>427</v>
      </c>
      <c r="AG88" s="4" t="s">
        <v>183</v>
      </c>
      <c r="AH88" s="4" t="s">
        <v>31</v>
      </c>
      <c r="AI88" s="4" t="s">
        <v>32</v>
      </c>
      <c r="AJ88" s="4" t="s">
        <v>43</v>
      </c>
      <c r="AK88" s="4" t="s">
        <v>34</v>
      </c>
      <c r="AL88" s="4" t="s">
        <v>428</v>
      </c>
      <c r="AM88" s="4" t="s">
        <v>36</v>
      </c>
      <c r="AN88" s="4" t="s">
        <v>37</v>
      </c>
      <c r="AO88" s="4" t="s">
        <v>38</v>
      </c>
      <c r="AP88" s="4">
        <v>42660.0</v>
      </c>
      <c r="AQ88" s="4">
        <v>29700.0</v>
      </c>
      <c r="AR88" s="4">
        <v>47250.0</v>
      </c>
      <c r="AS88" s="4">
        <v>17550.0</v>
      </c>
      <c r="AT88" s="4">
        <v>23.0</v>
      </c>
      <c r="AU88" s="4">
        <v>1086750.0</v>
      </c>
      <c r="AV88" s="4">
        <v>0.01</v>
      </c>
      <c r="AW88" s="4">
        <v>10867.5</v>
      </c>
      <c r="AX88" s="4">
        <v>1075882.5</v>
      </c>
      <c r="AY88" s="4">
        <v>683100.0</v>
      </c>
      <c r="AZ88" s="4">
        <v>392782.5</v>
      </c>
    </row>
    <row r="89" ht="15.75" customHeight="1">
      <c r="A89" s="3" t="s">
        <v>430</v>
      </c>
      <c r="B89" s="5">
        <v>42658.0</v>
      </c>
      <c r="C89" s="6">
        <f t="shared" si="1"/>
        <v>2016</v>
      </c>
      <c r="D89" s="7" t="s">
        <v>431</v>
      </c>
      <c r="E89" s="7" t="s">
        <v>432</v>
      </c>
      <c r="F89" s="7" t="s">
        <v>50</v>
      </c>
      <c r="G89" s="5" t="s">
        <v>51</v>
      </c>
      <c r="H89" s="7" t="s">
        <v>140</v>
      </c>
      <c r="I89" s="7" t="s">
        <v>92</v>
      </c>
      <c r="J89" s="7" t="s">
        <v>433</v>
      </c>
      <c r="K89" s="7" t="s">
        <v>36</v>
      </c>
      <c r="L89" s="7" t="s">
        <v>37</v>
      </c>
      <c r="M89" s="7" t="s">
        <v>38</v>
      </c>
      <c r="N89" s="5">
        <v>42660.0</v>
      </c>
      <c r="O89" s="8">
        <v>252750.00000000003</v>
      </c>
      <c r="P89" s="8">
        <v>407700.0</v>
      </c>
      <c r="Q89" s="8">
        <f t="shared" si="2"/>
        <v>154950</v>
      </c>
      <c r="R89" s="8">
        <v>34.0</v>
      </c>
      <c r="S89" s="8">
        <f t="shared" si="3"/>
        <v>13861800</v>
      </c>
      <c r="T89" s="9">
        <v>0.1</v>
      </c>
      <c r="U89" s="8">
        <f t="shared" si="4"/>
        <v>1386180</v>
      </c>
      <c r="V89" s="8">
        <f t="shared" si="5"/>
        <v>12475620</v>
      </c>
      <c r="W89" s="10">
        <f t="shared" si="6"/>
        <v>8593500</v>
      </c>
      <c r="X89" s="10">
        <f t="shared" si="7"/>
        <v>3882120</v>
      </c>
      <c r="Y89" s="10"/>
      <c r="Z89" s="10"/>
      <c r="AA89" s="10"/>
      <c r="AB89" s="4" t="s">
        <v>434</v>
      </c>
      <c r="AC89" s="4" t="s">
        <v>430</v>
      </c>
      <c r="AD89" s="4">
        <v>42658.0</v>
      </c>
      <c r="AE89" s="4">
        <v>2016.0</v>
      </c>
      <c r="AF89" s="4" t="s">
        <v>431</v>
      </c>
      <c r="AG89" s="4" t="s">
        <v>432</v>
      </c>
      <c r="AH89" s="4" t="s">
        <v>50</v>
      </c>
      <c r="AI89" s="4" t="s">
        <v>51</v>
      </c>
      <c r="AJ89" s="4" t="s">
        <v>140</v>
      </c>
      <c r="AK89" s="4" t="s">
        <v>92</v>
      </c>
      <c r="AL89" s="4" t="s">
        <v>433</v>
      </c>
      <c r="AM89" s="4" t="s">
        <v>36</v>
      </c>
      <c r="AN89" s="4" t="s">
        <v>37</v>
      </c>
      <c r="AO89" s="4" t="s">
        <v>38</v>
      </c>
      <c r="AP89" s="4">
        <v>42660.0</v>
      </c>
      <c r="AQ89" s="4">
        <v>252750.0</v>
      </c>
      <c r="AR89" s="4">
        <v>407700.0</v>
      </c>
      <c r="AS89" s="4">
        <v>154950.0</v>
      </c>
      <c r="AT89" s="4">
        <v>34.0</v>
      </c>
      <c r="AU89" s="4">
        <v>1.38618E7</v>
      </c>
      <c r="AV89" s="4">
        <v>0.1</v>
      </c>
      <c r="AW89" s="4">
        <v>1386180.0</v>
      </c>
      <c r="AX89" s="4">
        <v>1.247562E7</v>
      </c>
      <c r="AY89" s="4">
        <v>8593500.0</v>
      </c>
      <c r="AZ89" s="4">
        <v>3882120.0</v>
      </c>
    </row>
    <row r="90" ht="15.75" customHeight="1">
      <c r="A90" s="3" t="s">
        <v>435</v>
      </c>
      <c r="B90" s="5">
        <v>42659.0</v>
      </c>
      <c r="C90" s="6">
        <f t="shared" si="1"/>
        <v>2016</v>
      </c>
      <c r="D90" s="7" t="s">
        <v>436</v>
      </c>
      <c r="E90" s="7" t="s">
        <v>393</v>
      </c>
      <c r="F90" s="7" t="s">
        <v>31</v>
      </c>
      <c r="G90" s="5" t="s">
        <v>91</v>
      </c>
      <c r="H90" s="7" t="s">
        <v>43</v>
      </c>
      <c r="I90" s="7" t="s">
        <v>53</v>
      </c>
      <c r="J90" s="7" t="s">
        <v>394</v>
      </c>
      <c r="K90" s="7" t="s">
        <v>36</v>
      </c>
      <c r="L90" s="7" t="s">
        <v>45</v>
      </c>
      <c r="M90" s="7" t="s">
        <v>38</v>
      </c>
      <c r="N90" s="5">
        <v>42660.0</v>
      </c>
      <c r="O90" s="8">
        <v>24000.0</v>
      </c>
      <c r="P90" s="8">
        <v>39300.0</v>
      </c>
      <c r="Q90" s="8">
        <f t="shared" si="2"/>
        <v>15300</v>
      </c>
      <c r="R90" s="8">
        <v>21.0</v>
      </c>
      <c r="S90" s="8">
        <f t="shared" si="3"/>
        <v>825300</v>
      </c>
      <c r="T90" s="9">
        <v>0.05</v>
      </c>
      <c r="U90" s="8">
        <f t="shared" si="4"/>
        <v>41265</v>
      </c>
      <c r="V90" s="8">
        <f t="shared" si="5"/>
        <v>784035</v>
      </c>
      <c r="W90" s="10">
        <f t="shared" si="6"/>
        <v>504000</v>
      </c>
      <c r="X90" s="10">
        <f t="shared" si="7"/>
        <v>280035</v>
      </c>
      <c r="Y90" s="10"/>
      <c r="Z90" s="10"/>
      <c r="AA90" s="10"/>
      <c r="AB90" s="4" t="s">
        <v>437</v>
      </c>
      <c r="AC90" s="4" t="s">
        <v>435</v>
      </c>
      <c r="AD90" s="4">
        <v>42659.0</v>
      </c>
      <c r="AE90" s="4">
        <v>2016.0</v>
      </c>
      <c r="AF90" s="4" t="s">
        <v>436</v>
      </c>
      <c r="AG90" s="4" t="s">
        <v>393</v>
      </c>
      <c r="AH90" s="4" t="s">
        <v>31</v>
      </c>
      <c r="AI90" s="4" t="s">
        <v>91</v>
      </c>
      <c r="AJ90" s="4" t="s">
        <v>43</v>
      </c>
      <c r="AK90" s="4" t="s">
        <v>53</v>
      </c>
      <c r="AL90" s="4" t="s">
        <v>394</v>
      </c>
      <c r="AM90" s="4" t="s">
        <v>36</v>
      </c>
      <c r="AN90" s="4" t="s">
        <v>45</v>
      </c>
      <c r="AO90" s="4" t="s">
        <v>38</v>
      </c>
      <c r="AP90" s="4">
        <v>42660.0</v>
      </c>
      <c r="AQ90" s="4">
        <v>24000.0</v>
      </c>
      <c r="AR90" s="4">
        <v>39300.0</v>
      </c>
      <c r="AS90" s="4">
        <v>15300.0</v>
      </c>
      <c r="AT90" s="4">
        <v>21.0</v>
      </c>
      <c r="AU90" s="4">
        <v>825300.0</v>
      </c>
      <c r="AV90" s="4">
        <v>0.05</v>
      </c>
      <c r="AW90" s="4">
        <v>41265.0</v>
      </c>
      <c r="AX90" s="4">
        <v>784035.0</v>
      </c>
      <c r="AY90" s="4">
        <v>504000.0</v>
      </c>
      <c r="AZ90" s="4">
        <v>280035.0</v>
      </c>
    </row>
    <row r="91" ht="15.75" customHeight="1">
      <c r="A91" s="3" t="s">
        <v>438</v>
      </c>
      <c r="B91" s="5">
        <v>42660.0</v>
      </c>
      <c r="C91" s="6">
        <f t="shared" si="1"/>
        <v>2016</v>
      </c>
      <c r="D91" s="7" t="s">
        <v>439</v>
      </c>
      <c r="E91" s="7" t="s">
        <v>440</v>
      </c>
      <c r="F91" s="7" t="s">
        <v>31</v>
      </c>
      <c r="G91" s="5" t="s">
        <v>51</v>
      </c>
      <c r="H91" s="7" t="s">
        <v>43</v>
      </c>
      <c r="I91" s="7" t="s">
        <v>92</v>
      </c>
      <c r="J91" s="7" t="s">
        <v>243</v>
      </c>
      <c r="K91" s="7" t="s">
        <v>61</v>
      </c>
      <c r="L91" s="7" t="s">
        <v>244</v>
      </c>
      <c r="M91" s="7" t="s">
        <v>38</v>
      </c>
      <c r="N91" s="5">
        <v>42662.0</v>
      </c>
      <c r="O91" s="8">
        <v>132300.0</v>
      </c>
      <c r="P91" s="8">
        <v>314850.0</v>
      </c>
      <c r="Q91" s="8">
        <f t="shared" si="2"/>
        <v>182550</v>
      </c>
      <c r="R91" s="8">
        <v>41.0</v>
      </c>
      <c r="S91" s="8">
        <f t="shared" si="3"/>
        <v>12908850</v>
      </c>
      <c r="T91" s="9">
        <v>0.02</v>
      </c>
      <c r="U91" s="8">
        <f t="shared" si="4"/>
        <v>258177</v>
      </c>
      <c r="V91" s="8">
        <f t="shared" si="5"/>
        <v>12650673</v>
      </c>
      <c r="W91" s="10">
        <f t="shared" si="6"/>
        <v>5424300</v>
      </c>
      <c r="X91" s="10">
        <f t="shared" si="7"/>
        <v>7226373</v>
      </c>
      <c r="Y91" s="10"/>
      <c r="Z91" s="10"/>
      <c r="AA91" s="10"/>
      <c r="AB91" s="4" t="s">
        <v>441</v>
      </c>
      <c r="AC91" s="4" t="s">
        <v>438</v>
      </c>
      <c r="AD91" s="4">
        <v>42660.0</v>
      </c>
      <c r="AE91" s="4">
        <v>2016.0</v>
      </c>
      <c r="AF91" s="4" t="s">
        <v>439</v>
      </c>
      <c r="AG91" s="4" t="s">
        <v>440</v>
      </c>
      <c r="AH91" s="4" t="s">
        <v>31</v>
      </c>
      <c r="AI91" s="4" t="s">
        <v>51</v>
      </c>
      <c r="AJ91" s="4" t="s">
        <v>43</v>
      </c>
      <c r="AK91" s="4" t="s">
        <v>92</v>
      </c>
      <c r="AL91" s="4" t="s">
        <v>243</v>
      </c>
      <c r="AM91" s="4" t="s">
        <v>61</v>
      </c>
      <c r="AN91" s="4" t="s">
        <v>244</v>
      </c>
      <c r="AO91" s="4" t="s">
        <v>38</v>
      </c>
      <c r="AP91" s="4">
        <v>42662.0</v>
      </c>
      <c r="AQ91" s="4">
        <v>132300.0</v>
      </c>
      <c r="AR91" s="4">
        <v>314850.0</v>
      </c>
      <c r="AS91" s="4">
        <v>182550.0</v>
      </c>
      <c r="AT91" s="4">
        <v>41.0</v>
      </c>
      <c r="AU91" s="4">
        <v>1.290885E7</v>
      </c>
      <c r="AV91" s="4">
        <v>0.02</v>
      </c>
      <c r="AW91" s="4">
        <v>258177.0</v>
      </c>
      <c r="AX91" s="4">
        <v>1.2650673E7</v>
      </c>
      <c r="AY91" s="4">
        <v>5424300.0</v>
      </c>
      <c r="AZ91" s="4">
        <v>7226373.0</v>
      </c>
    </row>
    <row r="92" ht="15.75" customHeight="1">
      <c r="A92" s="3" t="s">
        <v>442</v>
      </c>
      <c r="B92" s="5">
        <v>42660.0</v>
      </c>
      <c r="C92" s="6">
        <f t="shared" si="1"/>
        <v>2016</v>
      </c>
      <c r="D92" s="7" t="s">
        <v>439</v>
      </c>
      <c r="E92" s="7" t="s">
        <v>440</v>
      </c>
      <c r="F92" s="7" t="s">
        <v>31</v>
      </c>
      <c r="G92" s="5" t="s">
        <v>51</v>
      </c>
      <c r="H92" s="7" t="s">
        <v>43</v>
      </c>
      <c r="I92" s="7" t="s">
        <v>92</v>
      </c>
      <c r="J92" s="7" t="s">
        <v>399</v>
      </c>
      <c r="K92" s="7" t="s">
        <v>36</v>
      </c>
      <c r="L92" s="7" t="s">
        <v>37</v>
      </c>
      <c r="M92" s="7" t="s">
        <v>55</v>
      </c>
      <c r="N92" s="5">
        <v>42662.0</v>
      </c>
      <c r="O92" s="8">
        <v>51000.0</v>
      </c>
      <c r="P92" s="8">
        <v>81000.0</v>
      </c>
      <c r="Q92" s="8">
        <f t="shared" si="2"/>
        <v>30000</v>
      </c>
      <c r="R92" s="8">
        <v>26.0</v>
      </c>
      <c r="S92" s="8">
        <f t="shared" si="3"/>
        <v>2106000</v>
      </c>
      <c r="T92" s="9">
        <v>0.05</v>
      </c>
      <c r="U92" s="8">
        <f t="shared" si="4"/>
        <v>105300</v>
      </c>
      <c r="V92" s="8">
        <f t="shared" si="5"/>
        <v>2000700</v>
      </c>
      <c r="W92" s="10">
        <f t="shared" si="6"/>
        <v>1326000</v>
      </c>
      <c r="X92" s="10">
        <f t="shared" si="7"/>
        <v>674700</v>
      </c>
      <c r="Y92" s="10"/>
      <c r="Z92" s="10"/>
      <c r="AA92" s="10"/>
      <c r="AB92" s="4" t="s">
        <v>443</v>
      </c>
      <c r="AC92" s="4" t="s">
        <v>442</v>
      </c>
      <c r="AD92" s="4">
        <v>42660.0</v>
      </c>
      <c r="AE92" s="4">
        <v>2016.0</v>
      </c>
      <c r="AF92" s="4" t="s">
        <v>439</v>
      </c>
      <c r="AG92" s="4" t="s">
        <v>440</v>
      </c>
      <c r="AH92" s="4" t="s">
        <v>31</v>
      </c>
      <c r="AI92" s="4" t="s">
        <v>51</v>
      </c>
      <c r="AJ92" s="4" t="s">
        <v>43</v>
      </c>
      <c r="AK92" s="4" t="s">
        <v>92</v>
      </c>
      <c r="AL92" s="4" t="s">
        <v>399</v>
      </c>
      <c r="AM92" s="4" t="s">
        <v>36</v>
      </c>
      <c r="AN92" s="4" t="s">
        <v>37</v>
      </c>
      <c r="AO92" s="4" t="s">
        <v>55</v>
      </c>
      <c r="AP92" s="4">
        <v>42662.0</v>
      </c>
      <c r="AQ92" s="4">
        <v>51000.0</v>
      </c>
      <c r="AR92" s="4">
        <v>81000.0</v>
      </c>
      <c r="AS92" s="4">
        <v>30000.0</v>
      </c>
      <c r="AT92" s="4">
        <v>26.0</v>
      </c>
      <c r="AU92" s="4">
        <v>2106000.0</v>
      </c>
      <c r="AV92" s="4">
        <v>0.05</v>
      </c>
      <c r="AW92" s="4">
        <v>105300.0</v>
      </c>
      <c r="AX92" s="4">
        <v>2000700.0</v>
      </c>
      <c r="AY92" s="4">
        <v>1326000.0</v>
      </c>
      <c r="AZ92" s="4">
        <v>674700.0</v>
      </c>
    </row>
    <row r="93" ht="15.75" customHeight="1">
      <c r="A93" s="3" t="s">
        <v>444</v>
      </c>
      <c r="B93" s="5">
        <v>42661.0</v>
      </c>
      <c r="C93" s="6">
        <f t="shared" si="1"/>
        <v>2016</v>
      </c>
      <c r="D93" s="7" t="s">
        <v>144</v>
      </c>
      <c r="E93" s="7" t="s">
        <v>145</v>
      </c>
      <c r="F93" s="7" t="s">
        <v>50</v>
      </c>
      <c r="G93" s="5" t="s">
        <v>91</v>
      </c>
      <c r="H93" s="7" t="s">
        <v>69</v>
      </c>
      <c r="I93" s="7" t="s">
        <v>104</v>
      </c>
      <c r="J93" s="7" t="s">
        <v>445</v>
      </c>
      <c r="K93" s="7" t="s">
        <v>36</v>
      </c>
      <c r="L93" s="7" t="s">
        <v>37</v>
      </c>
      <c r="M93" s="7" t="s">
        <v>38</v>
      </c>
      <c r="N93" s="5">
        <v>42661.0</v>
      </c>
      <c r="O93" s="8">
        <v>323400.0</v>
      </c>
      <c r="P93" s="8">
        <v>539100.0</v>
      </c>
      <c r="Q93" s="8">
        <f t="shared" si="2"/>
        <v>215700</v>
      </c>
      <c r="R93" s="8">
        <v>28.0</v>
      </c>
      <c r="S93" s="8">
        <f t="shared" si="3"/>
        <v>15094800</v>
      </c>
      <c r="T93" s="9">
        <v>0.01</v>
      </c>
      <c r="U93" s="8">
        <f t="shared" si="4"/>
        <v>150948</v>
      </c>
      <c r="V93" s="8">
        <f t="shared" si="5"/>
        <v>14943852</v>
      </c>
      <c r="W93" s="10">
        <f t="shared" si="6"/>
        <v>9055200</v>
      </c>
      <c r="X93" s="10">
        <f t="shared" si="7"/>
        <v>5888652</v>
      </c>
      <c r="Y93" s="10"/>
      <c r="Z93" s="10"/>
      <c r="AA93" s="10"/>
      <c r="AB93" s="4" t="s">
        <v>446</v>
      </c>
      <c r="AC93" s="4" t="s">
        <v>444</v>
      </c>
      <c r="AD93" s="4">
        <v>42661.0</v>
      </c>
      <c r="AE93" s="4">
        <v>2016.0</v>
      </c>
      <c r="AF93" s="4" t="s">
        <v>144</v>
      </c>
      <c r="AG93" s="4" t="s">
        <v>145</v>
      </c>
      <c r="AH93" s="4" t="s">
        <v>50</v>
      </c>
      <c r="AI93" s="4" t="s">
        <v>91</v>
      </c>
      <c r="AJ93" s="4" t="s">
        <v>69</v>
      </c>
      <c r="AK93" s="4" t="s">
        <v>104</v>
      </c>
      <c r="AL93" s="4" t="s">
        <v>445</v>
      </c>
      <c r="AM93" s="4" t="s">
        <v>36</v>
      </c>
      <c r="AN93" s="4" t="s">
        <v>37</v>
      </c>
      <c r="AO93" s="4" t="s">
        <v>38</v>
      </c>
      <c r="AP93" s="4">
        <v>42661.0</v>
      </c>
      <c r="AQ93" s="4">
        <v>323400.0</v>
      </c>
      <c r="AR93" s="4">
        <v>539100.0</v>
      </c>
      <c r="AS93" s="4">
        <v>215700.0</v>
      </c>
      <c r="AT93" s="4">
        <v>28.0</v>
      </c>
      <c r="AU93" s="4">
        <v>1.50948E7</v>
      </c>
      <c r="AV93" s="4">
        <v>0.01</v>
      </c>
      <c r="AW93" s="4">
        <v>150948.0</v>
      </c>
      <c r="AX93" s="4">
        <v>1.4943852E7</v>
      </c>
      <c r="AY93" s="4">
        <v>9055200.0</v>
      </c>
      <c r="AZ93" s="4">
        <v>5888652.0</v>
      </c>
    </row>
    <row r="94" ht="15.75" customHeight="1">
      <c r="A94" s="3" t="s">
        <v>447</v>
      </c>
      <c r="B94" s="5">
        <v>42665.0</v>
      </c>
      <c r="C94" s="6">
        <f t="shared" si="1"/>
        <v>2016</v>
      </c>
      <c r="D94" s="7" t="s">
        <v>448</v>
      </c>
      <c r="E94" s="7" t="s">
        <v>164</v>
      </c>
      <c r="F94" s="7" t="s">
        <v>50</v>
      </c>
      <c r="G94" s="5" t="s">
        <v>51</v>
      </c>
      <c r="H94" s="7" t="s">
        <v>69</v>
      </c>
      <c r="I94" s="7" t="s">
        <v>53</v>
      </c>
      <c r="J94" s="7" t="s">
        <v>449</v>
      </c>
      <c r="K94" s="7" t="s">
        <v>36</v>
      </c>
      <c r="L94" s="7" t="s">
        <v>37</v>
      </c>
      <c r="M94" s="7" t="s">
        <v>38</v>
      </c>
      <c r="N94" s="5">
        <v>42665.0</v>
      </c>
      <c r="O94" s="8">
        <v>41100.0</v>
      </c>
      <c r="P94" s="8">
        <v>67350.0</v>
      </c>
      <c r="Q94" s="8">
        <f t="shared" si="2"/>
        <v>26250</v>
      </c>
      <c r="R94" s="8">
        <v>11.0</v>
      </c>
      <c r="S94" s="8">
        <f t="shared" si="3"/>
        <v>740850</v>
      </c>
      <c r="T94" s="9">
        <v>0.08</v>
      </c>
      <c r="U94" s="8">
        <f t="shared" si="4"/>
        <v>59268</v>
      </c>
      <c r="V94" s="8">
        <f t="shared" si="5"/>
        <v>681582</v>
      </c>
      <c r="W94" s="10">
        <f t="shared" si="6"/>
        <v>452100</v>
      </c>
      <c r="X94" s="10">
        <f t="shared" si="7"/>
        <v>229482</v>
      </c>
      <c r="Y94" s="10"/>
      <c r="Z94" s="10"/>
      <c r="AA94" s="10"/>
      <c r="AB94" s="4" t="s">
        <v>450</v>
      </c>
      <c r="AC94" s="4" t="s">
        <v>447</v>
      </c>
      <c r="AD94" s="4">
        <v>42665.0</v>
      </c>
      <c r="AE94" s="4">
        <v>2016.0</v>
      </c>
      <c r="AF94" s="4" t="s">
        <v>448</v>
      </c>
      <c r="AG94" s="4" t="s">
        <v>164</v>
      </c>
      <c r="AH94" s="4" t="s">
        <v>50</v>
      </c>
      <c r="AI94" s="4" t="s">
        <v>51</v>
      </c>
      <c r="AJ94" s="4" t="s">
        <v>69</v>
      </c>
      <c r="AK94" s="4" t="s">
        <v>53</v>
      </c>
      <c r="AL94" s="4" t="s">
        <v>449</v>
      </c>
      <c r="AM94" s="4" t="s">
        <v>36</v>
      </c>
      <c r="AN94" s="4" t="s">
        <v>37</v>
      </c>
      <c r="AO94" s="4" t="s">
        <v>38</v>
      </c>
      <c r="AP94" s="4">
        <v>42665.0</v>
      </c>
      <c r="AQ94" s="4">
        <v>41100.0</v>
      </c>
      <c r="AR94" s="4">
        <v>67350.0</v>
      </c>
      <c r="AS94" s="4">
        <v>26250.0</v>
      </c>
      <c r="AT94" s="4">
        <v>11.0</v>
      </c>
      <c r="AU94" s="4">
        <v>740850.0</v>
      </c>
      <c r="AV94" s="4">
        <v>0.08</v>
      </c>
      <c r="AW94" s="4">
        <v>59268.0</v>
      </c>
      <c r="AX94" s="4">
        <v>681582.0</v>
      </c>
      <c r="AY94" s="4">
        <v>452100.0</v>
      </c>
      <c r="AZ94" s="4">
        <v>229482.0</v>
      </c>
    </row>
    <row r="95" ht="15.75" customHeight="1">
      <c r="A95" s="3" t="s">
        <v>451</v>
      </c>
      <c r="B95" s="5">
        <v>42665.0</v>
      </c>
      <c r="C95" s="6">
        <f t="shared" si="1"/>
        <v>2016</v>
      </c>
      <c r="D95" s="7" t="s">
        <v>168</v>
      </c>
      <c r="E95" s="7" t="s">
        <v>169</v>
      </c>
      <c r="F95" s="7" t="s">
        <v>31</v>
      </c>
      <c r="G95" s="5" t="s">
        <v>51</v>
      </c>
      <c r="H95" s="7" t="s">
        <v>43</v>
      </c>
      <c r="I95" s="7" t="s">
        <v>92</v>
      </c>
      <c r="J95" s="7" t="s">
        <v>452</v>
      </c>
      <c r="K95" s="7" t="s">
        <v>36</v>
      </c>
      <c r="L95" s="7" t="s">
        <v>45</v>
      </c>
      <c r="M95" s="7" t="s">
        <v>38</v>
      </c>
      <c r="N95" s="5">
        <v>42668.0</v>
      </c>
      <c r="O95" s="8">
        <v>65550.0</v>
      </c>
      <c r="P95" s="8">
        <v>136650.0</v>
      </c>
      <c r="Q95" s="8">
        <f t="shared" si="2"/>
        <v>71100</v>
      </c>
      <c r="R95" s="8">
        <v>6.0</v>
      </c>
      <c r="S95" s="8">
        <f t="shared" si="3"/>
        <v>819900</v>
      </c>
      <c r="T95" s="9">
        <v>0.04</v>
      </c>
      <c r="U95" s="8">
        <f t="shared" si="4"/>
        <v>32796</v>
      </c>
      <c r="V95" s="8">
        <f t="shared" si="5"/>
        <v>787104</v>
      </c>
      <c r="W95" s="10">
        <f t="shared" si="6"/>
        <v>393300</v>
      </c>
      <c r="X95" s="10">
        <f t="shared" si="7"/>
        <v>393804</v>
      </c>
      <c r="Y95" s="10"/>
      <c r="Z95" s="10"/>
      <c r="AA95" s="10"/>
      <c r="AB95" s="4" t="s">
        <v>453</v>
      </c>
      <c r="AC95" s="4" t="s">
        <v>451</v>
      </c>
      <c r="AD95" s="4">
        <v>42665.0</v>
      </c>
      <c r="AE95" s="4">
        <v>2016.0</v>
      </c>
      <c r="AF95" s="4" t="s">
        <v>168</v>
      </c>
      <c r="AG95" s="4" t="s">
        <v>169</v>
      </c>
      <c r="AH95" s="4" t="s">
        <v>31</v>
      </c>
      <c r="AI95" s="4" t="s">
        <v>51</v>
      </c>
      <c r="AJ95" s="4" t="s">
        <v>43</v>
      </c>
      <c r="AK95" s="4" t="s">
        <v>92</v>
      </c>
      <c r="AL95" s="4" t="s">
        <v>452</v>
      </c>
      <c r="AM95" s="4" t="s">
        <v>36</v>
      </c>
      <c r="AN95" s="4" t="s">
        <v>45</v>
      </c>
      <c r="AO95" s="4" t="s">
        <v>38</v>
      </c>
      <c r="AP95" s="4">
        <v>42668.0</v>
      </c>
      <c r="AQ95" s="4">
        <v>65550.0</v>
      </c>
      <c r="AR95" s="4">
        <v>136650.0</v>
      </c>
      <c r="AS95" s="4">
        <v>71100.0</v>
      </c>
      <c r="AT95" s="4">
        <v>6.0</v>
      </c>
      <c r="AU95" s="4">
        <v>819900.0</v>
      </c>
      <c r="AV95" s="4">
        <v>0.04</v>
      </c>
      <c r="AW95" s="4">
        <v>32796.0</v>
      </c>
      <c r="AX95" s="4">
        <v>787104.0</v>
      </c>
      <c r="AY95" s="4">
        <v>393300.0</v>
      </c>
      <c r="AZ95" s="4">
        <v>393804.0</v>
      </c>
    </row>
    <row r="96" ht="15.75" customHeight="1">
      <c r="A96" s="3" t="s">
        <v>454</v>
      </c>
      <c r="B96" s="5">
        <v>42670.0</v>
      </c>
      <c r="C96" s="6">
        <f t="shared" si="1"/>
        <v>2016</v>
      </c>
      <c r="D96" s="7" t="s">
        <v>455</v>
      </c>
      <c r="E96" s="7" t="s">
        <v>456</v>
      </c>
      <c r="F96" s="7" t="s">
        <v>50</v>
      </c>
      <c r="G96" s="5" t="s">
        <v>68</v>
      </c>
      <c r="H96" s="7" t="s">
        <v>200</v>
      </c>
      <c r="I96" s="7" t="s">
        <v>53</v>
      </c>
      <c r="J96" s="7" t="s">
        <v>457</v>
      </c>
      <c r="K96" s="7" t="s">
        <v>36</v>
      </c>
      <c r="L96" s="7" t="s">
        <v>45</v>
      </c>
      <c r="M96" s="7" t="s">
        <v>38</v>
      </c>
      <c r="N96" s="5">
        <v>42671.0</v>
      </c>
      <c r="O96" s="8">
        <v>58200.0</v>
      </c>
      <c r="P96" s="8">
        <v>97050.0</v>
      </c>
      <c r="Q96" s="8">
        <f t="shared" si="2"/>
        <v>38850</v>
      </c>
      <c r="R96" s="8">
        <v>20.0</v>
      </c>
      <c r="S96" s="8">
        <f t="shared" si="3"/>
        <v>1941000</v>
      </c>
      <c r="T96" s="9">
        <v>0.02</v>
      </c>
      <c r="U96" s="8">
        <f t="shared" si="4"/>
        <v>38820</v>
      </c>
      <c r="V96" s="8">
        <f t="shared" si="5"/>
        <v>1902180</v>
      </c>
      <c r="W96" s="10">
        <f t="shared" si="6"/>
        <v>1164000</v>
      </c>
      <c r="X96" s="10">
        <f t="shared" si="7"/>
        <v>738180</v>
      </c>
      <c r="Y96" s="10"/>
      <c r="Z96" s="10"/>
      <c r="AA96" s="10"/>
      <c r="AB96" s="4" t="s">
        <v>458</v>
      </c>
      <c r="AC96" s="4" t="s">
        <v>454</v>
      </c>
      <c r="AD96" s="4">
        <v>42670.0</v>
      </c>
      <c r="AE96" s="4">
        <v>2016.0</v>
      </c>
      <c r="AF96" s="4" t="s">
        <v>455</v>
      </c>
      <c r="AG96" s="4" t="s">
        <v>456</v>
      </c>
      <c r="AH96" s="4" t="s">
        <v>50</v>
      </c>
      <c r="AI96" s="4" t="s">
        <v>68</v>
      </c>
      <c r="AJ96" s="4" t="s">
        <v>200</v>
      </c>
      <c r="AK96" s="4" t="s">
        <v>53</v>
      </c>
      <c r="AL96" s="4" t="s">
        <v>459</v>
      </c>
      <c r="AM96" s="4" t="s">
        <v>460</v>
      </c>
      <c r="AN96" s="4" t="s">
        <v>36</v>
      </c>
      <c r="AO96" s="4" t="s">
        <v>45</v>
      </c>
      <c r="AP96" s="4" t="s">
        <v>38</v>
      </c>
      <c r="AQ96" s="4">
        <v>42671.0</v>
      </c>
      <c r="AR96" s="4">
        <v>58200.0</v>
      </c>
      <c r="AS96" s="4">
        <v>97050.0</v>
      </c>
      <c r="AT96" s="4">
        <v>38850.0</v>
      </c>
      <c r="AU96" s="4">
        <v>20.0</v>
      </c>
      <c r="AV96" s="4">
        <v>1941000.0</v>
      </c>
      <c r="AW96" s="4">
        <v>0.02</v>
      </c>
      <c r="AX96" s="4">
        <v>38820.0</v>
      </c>
      <c r="AY96" s="4">
        <v>1902180.0</v>
      </c>
      <c r="AZ96" s="4">
        <v>1164000.0</v>
      </c>
      <c r="BA96" s="4">
        <v>738180.0</v>
      </c>
    </row>
    <row r="97" ht="15.75" customHeight="1">
      <c r="A97" s="3" t="s">
        <v>461</v>
      </c>
      <c r="B97" s="5">
        <v>42670.0</v>
      </c>
      <c r="C97" s="6">
        <f t="shared" si="1"/>
        <v>2016</v>
      </c>
      <c r="D97" s="7" t="s">
        <v>455</v>
      </c>
      <c r="E97" s="7" t="s">
        <v>456</v>
      </c>
      <c r="F97" s="7" t="s">
        <v>50</v>
      </c>
      <c r="G97" s="5" t="s">
        <v>68</v>
      </c>
      <c r="H97" s="7" t="s">
        <v>200</v>
      </c>
      <c r="I97" s="7" t="s">
        <v>53</v>
      </c>
      <c r="J97" s="7" t="s">
        <v>462</v>
      </c>
      <c r="K97" s="7" t="s">
        <v>36</v>
      </c>
      <c r="L97" s="7" t="s">
        <v>45</v>
      </c>
      <c r="M97" s="7" t="s">
        <v>38</v>
      </c>
      <c r="N97" s="5">
        <v>42672.0</v>
      </c>
      <c r="O97" s="8">
        <v>19650.0</v>
      </c>
      <c r="P97" s="8">
        <v>42600.0</v>
      </c>
      <c r="Q97" s="8">
        <f t="shared" si="2"/>
        <v>22950</v>
      </c>
      <c r="R97" s="8">
        <v>39.0</v>
      </c>
      <c r="S97" s="8">
        <f t="shared" si="3"/>
        <v>1661400</v>
      </c>
      <c r="T97" s="9">
        <v>0.07</v>
      </c>
      <c r="U97" s="8">
        <f t="shared" si="4"/>
        <v>116298</v>
      </c>
      <c r="V97" s="8">
        <f t="shared" si="5"/>
        <v>1545102</v>
      </c>
      <c r="W97" s="10">
        <f t="shared" si="6"/>
        <v>766350</v>
      </c>
      <c r="X97" s="10">
        <f t="shared" si="7"/>
        <v>778752</v>
      </c>
      <c r="Y97" s="10"/>
      <c r="Z97" s="10"/>
      <c r="AA97" s="10"/>
      <c r="AB97" s="4" t="s">
        <v>463</v>
      </c>
      <c r="AC97" s="4" t="s">
        <v>461</v>
      </c>
      <c r="AD97" s="4">
        <v>42670.0</v>
      </c>
      <c r="AE97" s="4">
        <v>2016.0</v>
      </c>
      <c r="AF97" s="4" t="s">
        <v>455</v>
      </c>
      <c r="AG97" s="4" t="s">
        <v>456</v>
      </c>
      <c r="AH97" s="4" t="s">
        <v>50</v>
      </c>
      <c r="AI97" s="4" t="s">
        <v>68</v>
      </c>
      <c r="AJ97" s="4" t="s">
        <v>200</v>
      </c>
      <c r="AK97" s="4" t="s">
        <v>53</v>
      </c>
      <c r="AL97" s="4" t="s">
        <v>462</v>
      </c>
      <c r="AM97" s="4" t="s">
        <v>36</v>
      </c>
      <c r="AN97" s="4" t="s">
        <v>45</v>
      </c>
      <c r="AO97" s="4" t="s">
        <v>38</v>
      </c>
      <c r="AP97" s="4">
        <v>42672.0</v>
      </c>
      <c r="AQ97" s="4">
        <v>19650.0</v>
      </c>
      <c r="AR97" s="4">
        <v>42600.0</v>
      </c>
      <c r="AS97" s="4">
        <v>22950.0</v>
      </c>
      <c r="AT97" s="4">
        <v>39.0</v>
      </c>
      <c r="AU97" s="4">
        <v>1661400.0</v>
      </c>
      <c r="AV97" s="4">
        <v>0.07</v>
      </c>
      <c r="AW97" s="4">
        <v>116298.0</v>
      </c>
      <c r="AX97" s="4">
        <v>1545102.0</v>
      </c>
      <c r="AY97" s="4">
        <v>766350.0</v>
      </c>
      <c r="AZ97" s="4">
        <v>778752.0</v>
      </c>
    </row>
    <row r="98" ht="15.75" customHeight="1">
      <c r="A98" s="3" t="s">
        <v>464</v>
      </c>
      <c r="B98" s="5">
        <v>42671.0</v>
      </c>
      <c r="C98" s="6">
        <f t="shared" si="1"/>
        <v>2016</v>
      </c>
      <c r="D98" s="7" t="s">
        <v>465</v>
      </c>
      <c r="E98" s="7" t="s">
        <v>466</v>
      </c>
      <c r="F98" s="7" t="s">
        <v>50</v>
      </c>
      <c r="G98" s="5" t="s">
        <v>32</v>
      </c>
      <c r="H98" s="7" t="s">
        <v>110</v>
      </c>
      <c r="I98" s="7" t="s">
        <v>53</v>
      </c>
      <c r="J98" s="7" t="s">
        <v>467</v>
      </c>
      <c r="K98" s="7" t="s">
        <v>36</v>
      </c>
      <c r="L98" s="7" t="s">
        <v>45</v>
      </c>
      <c r="M98" s="7" t="s">
        <v>38</v>
      </c>
      <c r="N98" s="5">
        <v>42672.0</v>
      </c>
      <c r="O98" s="8">
        <v>3600.0</v>
      </c>
      <c r="P98" s="8">
        <v>18900.0</v>
      </c>
      <c r="Q98" s="8">
        <f t="shared" si="2"/>
        <v>15300</v>
      </c>
      <c r="R98" s="8">
        <v>10.0</v>
      </c>
      <c r="S98" s="8">
        <f t="shared" si="3"/>
        <v>189000</v>
      </c>
      <c r="T98" s="9">
        <v>0.1</v>
      </c>
      <c r="U98" s="8">
        <f t="shared" si="4"/>
        <v>18900</v>
      </c>
      <c r="V98" s="8">
        <f t="shared" si="5"/>
        <v>170100</v>
      </c>
      <c r="W98" s="10">
        <f t="shared" si="6"/>
        <v>36000</v>
      </c>
      <c r="X98" s="10">
        <f t="shared" si="7"/>
        <v>134100</v>
      </c>
      <c r="Y98" s="10"/>
      <c r="Z98" s="10"/>
      <c r="AA98" s="10"/>
      <c r="AB98" s="4" t="s">
        <v>468</v>
      </c>
      <c r="AC98" s="4" t="s">
        <v>464</v>
      </c>
      <c r="AD98" s="4">
        <v>42671.0</v>
      </c>
      <c r="AE98" s="4">
        <v>2016.0</v>
      </c>
      <c r="AF98" s="4" t="s">
        <v>465</v>
      </c>
      <c r="AG98" s="4" t="s">
        <v>466</v>
      </c>
      <c r="AH98" s="4" t="s">
        <v>50</v>
      </c>
      <c r="AI98" s="4" t="s">
        <v>32</v>
      </c>
      <c r="AJ98" s="4" t="s">
        <v>110</v>
      </c>
      <c r="AK98" s="4" t="s">
        <v>53</v>
      </c>
      <c r="AL98" s="4" t="s">
        <v>467</v>
      </c>
      <c r="AM98" s="4" t="s">
        <v>36</v>
      </c>
      <c r="AN98" s="4" t="s">
        <v>45</v>
      </c>
      <c r="AO98" s="4" t="s">
        <v>38</v>
      </c>
      <c r="AP98" s="4">
        <v>42672.0</v>
      </c>
      <c r="AQ98" s="4">
        <v>3600.0</v>
      </c>
      <c r="AR98" s="4">
        <v>18900.0</v>
      </c>
      <c r="AS98" s="4">
        <v>15300.0</v>
      </c>
      <c r="AT98" s="4">
        <v>10.0</v>
      </c>
      <c r="AU98" s="4">
        <v>189000.0</v>
      </c>
      <c r="AV98" s="4">
        <v>0.1</v>
      </c>
      <c r="AW98" s="4">
        <v>18900.0</v>
      </c>
      <c r="AX98" s="4">
        <v>170100.0</v>
      </c>
      <c r="AY98" s="4">
        <v>36000.0</v>
      </c>
      <c r="AZ98" s="4">
        <v>134100.0</v>
      </c>
    </row>
    <row r="99" ht="15.75" customHeight="1">
      <c r="A99" s="3" t="s">
        <v>469</v>
      </c>
      <c r="B99" s="5">
        <v>42671.0</v>
      </c>
      <c r="C99" s="6">
        <f t="shared" si="1"/>
        <v>2016</v>
      </c>
      <c r="D99" s="7" t="s">
        <v>182</v>
      </c>
      <c r="E99" s="7" t="s">
        <v>183</v>
      </c>
      <c r="F99" s="7" t="s">
        <v>31</v>
      </c>
      <c r="G99" s="5" t="s">
        <v>51</v>
      </c>
      <c r="H99" s="7" t="s">
        <v>43</v>
      </c>
      <c r="I99" s="7" t="s">
        <v>34</v>
      </c>
      <c r="J99" s="7" t="s">
        <v>380</v>
      </c>
      <c r="K99" s="7" t="s">
        <v>36</v>
      </c>
      <c r="L99" s="7" t="s">
        <v>45</v>
      </c>
      <c r="M99" s="7" t="s">
        <v>38</v>
      </c>
      <c r="N99" s="5">
        <v>42671.0</v>
      </c>
      <c r="O99" s="8">
        <v>43500.0</v>
      </c>
      <c r="P99" s="8">
        <v>71400.0</v>
      </c>
      <c r="Q99" s="8">
        <f t="shared" si="2"/>
        <v>27900</v>
      </c>
      <c r="R99" s="8">
        <v>13.0</v>
      </c>
      <c r="S99" s="8">
        <f t="shared" si="3"/>
        <v>928200</v>
      </c>
      <c r="T99" s="9">
        <v>0.07</v>
      </c>
      <c r="U99" s="8">
        <f t="shared" si="4"/>
        <v>64974</v>
      </c>
      <c r="V99" s="8">
        <f t="shared" si="5"/>
        <v>863226</v>
      </c>
      <c r="W99" s="10">
        <f t="shared" si="6"/>
        <v>565500</v>
      </c>
      <c r="X99" s="10">
        <f t="shared" si="7"/>
        <v>297726</v>
      </c>
      <c r="Y99" s="10"/>
      <c r="Z99" s="10"/>
      <c r="AA99" s="10"/>
      <c r="AB99" s="4" t="s">
        <v>470</v>
      </c>
      <c r="AC99" s="4" t="s">
        <v>469</v>
      </c>
      <c r="AD99" s="4">
        <v>42671.0</v>
      </c>
      <c r="AE99" s="4">
        <v>2016.0</v>
      </c>
      <c r="AF99" s="4" t="s">
        <v>182</v>
      </c>
      <c r="AG99" s="4" t="s">
        <v>183</v>
      </c>
      <c r="AH99" s="4" t="s">
        <v>31</v>
      </c>
      <c r="AI99" s="4" t="s">
        <v>51</v>
      </c>
      <c r="AJ99" s="4" t="s">
        <v>43</v>
      </c>
      <c r="AK99" s="4" t="s">
        <v>34</v>
      </c>
      <c r="AL99" s="4" t="s">
        <v>380</v>
      </c>
      <c r="AM99" s="4" t="s">
        <v>36</v>
      </c>
      <c r="AN99" s="4" t="s">
        <v>45</v>
      </c>
      <c r="AO99" s="4" t="s">
        <v>38</v>
      </c>
      <c r="AP99" s="4">
        <v>42671.0</v>
      </c>
      <c r="AQ99" s="4">
        <v>43500.0</v>
      </c>
      <c r="AR99" s="4">
        <v>71400.0</v>
      </c>
      <c r="AS99" s="4">
        <v>27900.0</v>
      </c>
      <c r="AT99" s="4">
        <v>13.0</v>
      </c>
      <c r="AU99" s="4">
        <v>928200.0</v>
      </c>
      <c r="AV99" s="4">
        <v>0.07</v>
      </c>
      <c r="AW99" s="4">
        <v>64974.0</v>
      </c>
      <c r="AX99" s="4">
        <v>863226.0</v>
      </c>
      <c r="AY99" s="4">
        <v>565500.0</v>
      </c>
      <c r="AZ99" s="4">
        <v>297726.0</v>
      </c>
    </row>
    <row r="100" ht="15.75" customHeight="1">
      <c r="A100" s="3" t="s">
        <v>471</v>
      </c>
      <c r="B100" s="5">
        <v>42672.0</v>
      </c>
      <c r="C100" s="6">
        <f t="shared" si="1"/>
        <v>2016</v>
      </c>
      <c r="D100" s="7" t="s">
        <v>472</v>
      </c>
      <c r="E100" s="7" t="s">
        <v>194</v>
      </c>
      <c r="F100" s="7" t="s">
        <v>31</v>
      </c>
      <c r="G100" s="5" t="s">
        <v>68</v>
      </c>
      <c r="H100" s="7" t="s">
        <v>33</v>
      </c>
      <c r="I100" s="7" t="s">
        <v>74</v>
      </c>
      <c r="J100" s="7" t="s">
        <v>473</v>
      </c>
      <c r="K100" s="7" t="s">
        <v>61</v>
      </c>
      <c r="L100" s="7" t="s">
        <v>37</v>
      </c>
      <c r="M100" s="7" t="s">
        <v>55</v>
      </c>
      <c r="N100" s="5">
        <v>42672.0</v>
      </c>
      <c r="O100" s="8">
        <v>817800.0</v>
      </c>
      <c r="P100" s="8">
        <v>1514550.0</v>
      </c>
      <c r="Q100" s="8">
        <f t="shared" si="2"/>
        <v>696750</v>
      </c>
      <c r="R100" s="8">
        <v>35.0</v>
      </c>
      <c r="S100" s="8">
        <f t="shared" si="3"/>
        <v>53009250</v>
      </c>
      <c r="T100" s="9">
        <v>0.05</v>
      </c>
      <c r="U100" s="8">
        <f t="shared" si="4"/>
        <v>2650462.5</v>
      </c>
      <c r="V100" s="8">
        <f t="shared" si="5"/>
        <v>50358787.5</v>
      </c>
      <c r="W100" s="10">
        <f t="shared" si="6"/>
        <v>28623000</v>
      </c>
      <c r="X100" s="10">
        <f t="shared" si="7"/>
        <v>21735787.5</v>
      </c>
      <c r="Y100" s="10"/>
      <c r="Z100" s="10"/>
      <c r="AA100" s="10"/>
      <c r="AB100" s="4" t="s">
        <v>474</v>
      </c>
      <c r="AC100" s="4" t="s">
        <v>471</v>
      </c>
      <c r="AD100" s="4">
        <v>42672.0</v>
      </c>
      <c r="AE100" s="4">
        <v>2016.0</v>
      </c>
      <c r="AF100" s="4" t="s">
        <v>472</v>
      </c>
      <c r="AG100" s="4" t="s">
        <v>194</v>
      </c>
      <c r="AH100" s="4" t="s">
        <v>31</v>
      </c>
      <c r="AI100" s="4" t="s">
        <v>68</v>
      </c>
      <c r="AJ100" s="4" t="s">
        <v>33</v>
      </c>
      <c r="AK100" s="4" t="s">
        <v>74</v>
      </c>
      <c r="AL100" s="4" t="s">
        <v>473</v>
      </c>
      <c r="AM100" s="4" t="s">
        <v>61</v>
      </c>
      <c r="AN100" s="4" t="s">
        <v>37</v>
      </c>
      <c r="AO100" s="4" t="s">
        <v>55</v>
      </c>
      <c r="AP100" s="4">
        <v>42672.0</v>
      </c>
      <c r="AQ100" s="4">
        <v>817800.0</v>
      </c>
      <c r="AR100" s="4">
        <v>1514550.0</v>
      </c>
      <c r="AS100" s="4">
        <v>696750.0</v>
      </c>
      <c r="AT100" s="4">
        <v>35.0</v>
      </c>
      <c r="AU100" s="4">
        <v>5.300925E7</v>
      </c>
      <c r="AV100" s="4">
        <v>0.05</v>
      </c>
      <c r="AW100" s="4">
        <v>2650462.5</v>
      </c>
      <c r="AX100" s="4">
        <v>5.03587875E7</v>
      </c>
      <c r="AY100" s="4">
        <v>2.8623E7</v>
      </c>
      <c r="AZ100" s="4">
        <v>2.17357875E7</v>
      </c>
    </row>
    <row r="101" ht="15.75" customHeight="1">
      <c r="A101" s="3" t="s">
        <v>475</v>
      </c>
      <c r="B101" s="5">
        <v>42673.0</v>
      </c>
      <c r="C101" s="6">
        <f t="shared" si="1"/>
        <v>2016</v>
      </c>
      <c r="D101" s="7" t="s">
        <v>476</v>
      </c>
      <c r="E101" s="7" t="s">
        <v>477</v>
      </c>
      <c r="F101" s="7" t="s">
        <v>31</v>
      </c>
      <c r="G101" s="5" t="s">
        <v>32</v>
      </c>
      <c r="H101" s="7" t="s">
        <v>33</v>
      </c>
      <c r="I101" s="7" t="s">
        <v>53</v>
      </c>
      <c r="J101" s="7" t="s">
        <v>126</v>
      </c>
      <c r="K101" s="7" t="s">
        <v>36</v>
      </c>
      <c r="L101" s="7" t="s">
        <v>127</v>
      </c>
      <c r="M101" s="7" t="s">
        <v>55</v>
      </c>
      <c r="N101" s="5">
        <v>42675.0</v>
      </c>
      <c r="O101" s="8">
        <v>51300.0</v>
      </c>
      <c r="P101" s="8">
        <v>125100.0</v>
      </c>
      <c r="Q101" s="8">
        <f t="shared" si="2"/>
        <v>73800</v>
      </c>
      <c r="R101" s="8">
        <v>15.0</v>
      </c>
      <c r="S101" s="8">
        <f t="shared" si="3"/>
        <v>1876500</v>
      </c>
      <c r="T101" s="9">
        <v>0.0</v>
      </c>
      <c r="U101" s="8">
        <f t="shared" si="4"/>
        <v>0</v>
      </c>
      <c r="V101" s="8">
        <f t="shared" si="5"/>
        <v>1876500</v>
      </c>
      <c r="W101" s="10">
        <f t="shared" si="6"/>
        <v>769500</v>
      </c>
      <c r="X101" s="10">
        <f t="shared" si="7"/>
        <v>1107000</v>
      </c>
      <c r="Y101" s="10"/>
      <c r="Z101" s="10"/>
      <c r="AA101" s="10"/>
      <c r="AB101" s="4" t="s">
        <v>478</v>
      </c>
      <c r="AC101" s="4" t="s">
        <v>475</v>
      </c>
      <c r="AD101" s="4">
        <v>42673.0</v>
      </c>
      <c r="AE101" s="4">
        <v>2016.0</v>
      </c>
      <c r="AF101" s="4" t="s">
        <v>476</v>
      </c>
      <c r="AG101" s="4" t="s">
        <v>477</v>
      </c>
      <c r="AH101" s="4" t="s">
        <v>31</v>
      </c>
      <c r="AI101" s="4" t="s">
        <v>32</v>
      </c>
      <c r="AJ101" s="4" t="s">
        <v>33</v>
      </c>
      <c r="AK101" s="4" t="s">
        <v>53</v>
      </c>
      <c r="AL101" s="4" t="s">
        <v>126</v>
      </c>
      <c r="AM101" s="4" t="s">
        <v>36</v>
      </c>
      <c r="AN101" s="4" t="s">
        <v>127</v>
      </c>
      <c r="AO101" s="4" t="s">
        <v>55</v>
      </c>
      <c r="AP101" s="4">
        <v>42675.0</v>
      </c>
      <c r="AQ101" s="4">
        <v>51300.0</v>
      </c>
      <c r="AR101" s="4">
        <v>125100.0</v>
      </c>
      <c r="AS101" s="4">
        <v>73800.0</v>
      </c>
      <c r="AT101" s="4">
        <v>15.0</v>
      </c>
      <c r="AU101" s="4">
        <v>1876500.0</v>
      </c>
      <c r="AV101" s="4">
        <v>0.0</v>
      </c>
      <c r="AW101" s="4">
        <v>0.0</v>
      </c>
      <c r="AX101" s="4">
        <v>1876500.0</v>
      </c>
      <c r="AY101" s="4">
        <v>769500.0</v>
      </c>
      <c r="AZ101" s="4">
        <v>1107000.0</v>
      </c>
    </row>
    <row r="102" ht="15.75" customHeight="1">
      <c r="A102" s="3" t="s">
        <v>479</v>
      </c>
      <c r="B102" s="5">
        <v>42675.0</v>
      </c>
      <c r="C102" s="6">
        <f t="shared" si="1"/>
        <v>2016</v>
      </c>
      <c r="D102" s="7" t="s">
        <v>392</v>
      </c>
      <c r="E102" s="7" t="s">
        <v>393</v>
      </c>
      <c r="F102" s="7" t="s">
        <v>31</v>
      </c>
      <c r="G102" s="5" t="s">
        <v>91</v>
      </c>
      <c r="H102" s="7" t="s">
        <v>43</v>
      </c>
      <c r="I102" s="7" t="s">
        <v>53</v>
      </c>
      <c r="J102" s="7" t="s">
        <v>99</v>
      </c>
      <c r="K102" s="7" t="s">
        <v>36</v>
      </c>
      <c r="L102" s="7" t="s">
        <v>37</v>
      </c>
      <c r="M102" s="7" t="s">
        <v>55</v>
      </c>
      <c r="N102" s="5">
        <v>42677.0</v>
      </c>
      <c r="O102" s="8">
        <v>79950.0</v>
      </c>
      <c r="P102" s="8">
        <v>129000.0</v>
      </c>
      <c r="Q102" s="8">
        <f t="shared" si="2"/>
        <v>49050</v>
      </c>
      <c r="R102" s="8">
        <v>23.0</v>
      </c>
      <c r="S102" s="8">
        <f t="shared" si="3"/>
        <v>2967000</v>
      </c>
      <c r="T102" s="9">
        <v>0.02</v>
      </c>
      <c r="U102" s="8">
        <f t="shared" si="4"/>
        <v>59340</v>
      </c>
      <c r="V102" s="8">
        <f t="shared" si="5"/>
        <v>2907660</v>
      </c>
      <c r="W102" s="10">
        <f t="shared" si="6"/>
        <v>1838850</v>
      </c>
      <c r="X102" s="10">
        <f t="shared" si="7"/>
        <v>1068810</v>
      </c>
      <c r="Y102" s="10"/>
      <c r="Z102" s="10"/>
      <c r="AA102" s="10"/>
      <c r="AB102" s="4" t="s">
        <v>480</v>
      </c>
      <c r="AC102" s="4" t="s">
        <v>479</v>
      </c>
      <c r="AD102" s="4">
        <v>42675.0</v>
      </c>
      <c r="AE102" s="4">
        <v>2016.0</v>
      </c>
      <c r="AF102" s="4" t="s">
        <v>392</v>
      </c>
      <c r="AG102" s="4" t="s">
        <v>393</v>
      </c>
      <c r="AH102" s="4" t="s">
        <v>31</v>
      </c>
      <c r="AI102" s="4" t="s">
        <v>91</v>
      </c>
      <c r="AJ102" s="4" t="s">
        <v>43</v>
      </c>
      <c r="AK102" s="4" t="s">
        <v>53</v>
      </c>
      <c r="AL102" s="4" t="s">
        <v>99</v>
      </c>
      <c r="AM102" s="4" t="s">
        <v>36</v>
      </c>
      <c r="AN102" s="4" t="s">
        <v>37</v>
      </c>
      <c r="AO102" s="4" t="s">
        <v>55</v>
      </c>
      <c r="AP102" s="4">
        <v>42677.0</v>
      </c>
      <c r="AQ102" s="4">
        <v>79950.0</v>
      </c>
      <c r="AR102" s="4">
        <v>129000.0</v>
      </c>
      <c r="AS102" s="4">
        <v>49050.0</v>
      </c>
      <c r="AT102" s="4">
        <v>23.0</v>
      </c>
      <c r="AU102" s="4">
        <v>2967000.0</v>
      </c>
      <c r="AV102" s="4">
        <v>0.02</v>
      </c>
      <c r="AW102" s="4">
        <v>59340.0</v>
      </c>
      <c r="AX102" s="4">
        <v>2907660.0</v>
      </c>
      <c r="AY102" s="4">
        <v>1838850.0</v>
      </c>
      <c r="AZ102" s="4">
        <v>1068810.0</v>
      </c>
    </row>
    <row r="103" ht="15.75" customHeight="1">
      <c r="A103" s="3" t="s">
        <v>481</v>
      </c>
      <c r="B103" s="5">
        <v>42676.0</v>
      </c>
      <c r="C103" s="6">
        <f t="shared" si="1"/>
        <v>2016</v>
      </c>
      <c r="D103" s="7" t="s">
        <v>482</v>
      </c>
      <c r="E103" s="7" t="s">
        <v>483</v>
      </c>
      <c r="F103" s="7" t="s">
        <v>50</v>
      </c>
      <c r="G103" s="5" t="s">
        <v>51</v>
      </c>
      <c r="H103" s="7" t="s">
        <v>125</v>
      </c>
      <c r="I103" s="7" t="s">
        <v>34</v>
      </c>
      <c r="J103" s="7" t="s">
        <v>484</v>
      </c>
      <c r="K103" s="7" t="s">
        <v>61</v>
      </c>
      <c r="L103" s="7" t="s">
        <v>62</v>
      </c>
      <c r="M103" s="7" t="s">
        <v>63</v>
      </c>
      <c r="N103" s="5">
        <v>42678.0</v>
      </c>
      <c r="O103" s="8">
        <v>4184850.0</v>
      </c>
      <c r="P103" s="8">
        <v>6749850.0</v>
      </c>
      <c r="Q103" s="8">
        <f t="shared" si="2"/>
        <v>2565000</v>
      </c>
      <c r="R103" s="8">
        <v>12.0</v>
      </c>
      <c r="S103" s="8">
        <f t="shared" si="3"/>
        <v>80998200</v>
      </c>
      <c r="T103" s="9">
        <v>0.06</v>
      </c>
      <c r="U103" s="8">
        <f t="shared" si="4"/>
        <v>4859892</v>
      </c>
      <c r="V103" s="8">
        <f t="shared" si="5"/>
        <v>76138308</v>
      </c>
      <c r="W103" s="10">
        <f t="shared" si="6"/>
        <v>50218200</v>
      </c>
      <c r="X103" s="10">
        <f t="shared" si="7"/>
        <v>25920108</v>
      </c>
      <c r="Y103" s="10"/>
      <c r="Z103" s="10"/>
      <c r="AA103" s="10"/>
      <c r="AB103" s="4" t="s">
        <v>485</v>
      </c>
      <c r="AC103" s="4" t="s">
        <v>481</v>
      </c>
      <c r="AD103" s="4">
        <v>42676.0</v>
      </c>
      <c r="AE103" s="4">
        <v>2016.0</v>
      </c>
      <c r="AF103" s="4" t="s">
        <v>482</v>
      </c>
      <c r="AG103" s="4" t="s">
        <v>483</v>
      </c>
      <c r="AH103" s="4" t="s">
        <v>50</v>
      </c>
      <c r="AI103" s="4" t="s">
        <v>51</v>
      </c>
      <c r="AJ103" s="4" t="s">
        <v>125</v>
      </c>
      <c r="AK103" s="4" t="s">
        <v>34</v>
      </c>
      <c r="AL103" s="4" t="s">
        <v>484</v>
      </c>
      <c r="AM103" s="4" t="s">
        <v>61</v>
      </c>
      <c r="AN103" s="4" t="s">
        <v>62</v>
      </c>
      <c r="AO103" s="4" t="s">
        <v>63</v>
      </c>
      <c r="AP103" s="4">
        <v>42678.0</v>
      </c>
      <c r="AQ103" s="4">
        <v>4184850.0</v>
      </c>
      <c r="AR103" s="4">
        <v>6749850.0</v>
      </c>
      <c r="AS103" s="4">
        <v>2565000.0</v>
      </c>
      <c r="AT103" s="4">
        <v>12.0</v>
      </c>
      <c r="AU103" s="4">
        <v>8.09982E7</v>
      </c>
      <c r="AV103" s="4">
        <v>0.06</v>
      </c>
      <c r="AW103" s="4">
        <v>4859892.0</v>
      </c>
      <c r="AX103" s="4">
        <v>7.6138308E7</v>
      </c>
      <c r="AY103" s="4">
        <v>5.02182E7</v>
      </c>
      <c r="AZ103" s="4">
        <v>2.5920108E7</v>
      </c>
    </row>
    <row r="104" ht="15.75" customHeight="1">
      <c r="A104" s="3" t="s">
        <v>486</v>
      </c>
      <c r="B104" s="5">
        <v>42677.0</v>
      </c>
      <c r="C104" s="6">
        <f t="shared" si="1"/>
        <v>2016</v>
      </c>
      <c r="D104" s="7" t="s">
        <v>487</v>
      </c>
      <c r="E104" s="7" t="s">
        <v>164</v>
      </c>
      <c r="F104" s="7" t="s">
        <v>50</v>
      </c>
      <c r="G104" s="5" t="s">
        <v>51</v>
      </c>
      <c r="H104" s="7" t="s">
        <v>69</v>
      </c>
      <c r="I104" s="7" t="s">
        <v>34</v>
      </c>
      <c r="J104" s="7" t="s">
        <v>412</v>
      </c>
      <c r="K104" s="7" t="s">
        <v>36</v>
      </c>
      <c r="L104" s="7" t="s">
        <v>37</v>
      </c>
      <c r="M104" s="7" t="s">
        <v>55</v>
      </c>
      <c r="N104" s="5">
        <v>42678.0</v>
      </c>
      <c r="O104" s="8">
        <v>19950.0</v>
      </c>
      <c r="P104" s="8">
        <v>31200.0</v>
      </c>
      <c r="Q104" s="8">
        <f t="shared" si="2"/>
        <v>11250</v>
      </c>
      <c r="R104" s="8">
        <v>11.0</v>
      </c>
      <c r="S104" s="8">
        <f t="shared" si="3"/>
        <v>343200</v>
      </c>
      <c r="T104" s="9">
        <v>0.01</v>
      </c>
      <c r="U104" s="8">
        <f t="shared" si="4"/>
        <v>3432</v>
      </c>
      <c r="V104" s="8">
        <f t="shared" si="5"/>
        <v>339768</v>
      </c>
      <c r="W104" s="10">
        <f t="shared" si="6"/>
        <v>219450</v>
      </c>
      <c r="X104" s="10">
        <f t="shared" si="7"/>
        <v>120318</v>
      </c>
      <c r="Y104" s="10"/>
      <c r="Z104" s="10"/>
      <c r="AA104" s="10"/>
      <c r="AB104" s="4" t="s">
        <v>488</v>
      </c>
      <c r="AC104" s="4" t="s">
        <v>486</v>
      </c>
      <c r="AD104" s="4">
        <v>42677.0</v>
      </c>
      <c r="AE104" s="4">
        <v>2016.0</v>
      </c>
      <c r="AF104" s="4" t="s">
        <v>487</v>
      </c>
      <c r="AG104" s="4" t="s">
        <v>164</v>
      </c>
      <c r="AH104" s="4" t="s">
        <v>50</v>
      </c>
      <c r="AI104" s="4" t="s">
        <v>51</v>
      </c>
      <c r="AJ104" s="4" t="s">
        <v>69</v>
      </c>
      <c r="AK104" s="4" t="s">
        <v>34</v>
      </c>
      <c r="AL104" s="4" t="s">
        <v>412</v>
      </c>
      <c r="AM104" s="4" t="s">
        <v>36</v>
      </c>
      <c r="AN104" s="4" t="s">
        <v>37</v>
      </c>
      <c r="AO104" s="4" t="s">
        <v>55</v>
      </c>
      <c r="AP104" s="4">
        <v>42678.0</v>
      </c>
      <c r="AQ104" s="4">
        <v>19950.0</v>
      </c>
      <c r="AR104" s="4">
        <v>31200.0</v>
      </c>
      <c r="AS104" s="4">
        <v>11250.0</v>
      </c>
      <c r="AT104" s="4">
        <v>11.0</v>
      </c>
      <c r="AU104" s="4">
        <v>343200.0</v>
      </c>
      <c r="AV104" s="4">
        <v>0.01</v>
      </c>
      <c r="AW104" s="4">
        <v>3432.0</v>
      </c>
      <c r="AX104" s="4">
        <v>339768.0</v>
      </c>
      <c r="AY104" s="4">
        <v>219450.0</v>
      </c>
      <c r="AZ104" s="4">
        <v>120318.0</v>
      </c>
    </row>
    <row r="105" ht="15.75" customHeight="1">
      <c r="A105" s="3" t="s">
        <v>489</v>
      </c>
      <c r="B105" s="5">
        <v>42677.0</v>
      </c>
      <c r="C105" s="6">
        <f t="shared" si="1"/>
        <v>2016</v>
      </c>
      <c r="D105" s="7" t="s">
        <v>155</v>
      </c>
      <c r="E105" s="7" t="s">
        <v>156</v>
      </c>
      <c r="F105" s="7" t="s">
        <v>50</v>
      </c>
      <c r="G105" s="5" t="s">
        <v>51</v>
      </c>
      <c r="H105" s="7" t="s">
        <v>110</v>
      </c>
      <c r="I105" s="7" t="s">
        <v>74</v>
      </c>
      <c r="J105" s="7" t="s">
        <v>490</v>
      </c>
      <c r="K105" s="7" t="s">
        <v>61</v>
      </c>
      <c r="L105" s="7" t="s">
        <v>37</v>
      </c>
      <c r="M105" s="7" t="s">
        <v>38</v>
      </c>
      <c r="N105" s="5">
        <v>42681.0</v>
      </c>
      <c r="O105" s="8">
        <v>97650.0</v>
      </c>
      <c r="P105" s="8">
        <v>464700.0</v>
      </c>
      <c r="Q105" s="8">
        <f t="shared" si="2"/>
        <v>367050</v>
      </c>
      <c r="R105" s="8">
        <v>29.0</v>
      </c>
      <c r="S105" s="8">
        <f t="shared" si="3"/>
        <v>13476300</v>
      </c>
      <c r="T105" s="9">
        <v>0.03</v>
      </c>
      <c r="U105" s="8">
        <f t="shared" si="4"/>
        <v>404289</v>
      </c>
      <c r="V105" s="8">
        <f t="shared" si="5"/>
        <v>13072011</v>
      </c>
      <c r="W105" s="10">
        <f t="shared" si="6"/>
        <v>2831850</v>
      </c>
      <c r="X105" s="10">
        <f t="shared" si="7"/>
        <v>10240161</v>
      </c>
      <c r="Y105" s="10"/>
      <c r="Z105" s="10"/>
      <c r="AA105" s="10"/>
      <c r="AB105" s="4" t="s">
        <v>491</v>
      </c>
      <c r="AC105" s="4" t="s">
        <v>489</v>
      </c>
      <c r="AD105" s="4">
        <v>42677.0</v>
      </c>
      <c r="AE105" s="4">
        <v>2016.0</v>
      </c>
      <c r="AF105" s="4" t="s">
        <v>155</v>
      </c>
      <c r="AG105" s="4" t="s">
        <v>156</v>
      </c>
      <c r="AH105" s="4" t="s">
        <v>50</v>
      </c>
      <c r="AI105" s="4" t="s">
        <v>51</v>
      </c>
      <c r="AJ105" s="4" t="s">
        <v>110</v>
      </c>
      <c r="AK105" s="4" t="s">
        <v>74</v>
      </c>
      <c r="AL105" s="4" t="s">
        <v>490</v>
      </c>
      <c r="AM105" s="4" t="s">
        <v>61</v>
      </c>
      <c r="AN105" s="4" t="s">
        <v>37</v>
      </c>
      <c r="AO105" s="4" t="s">
        <v>38</v>
      </c>
      <c r="AP105" s="4">
        <v>42681.0</v>
      </c>
      <c r="AQ105" s="4">
        <v>97650.0</v>
      </c>
      <c r="AR105" s="4">
        <v>464700.0</v>
      </c>
      <c r="AS105" s="4">
        <v>367050.0</v>
      </c>
      <c r="AT105" s="4">
        <v>29.0</v>
      </c>
      <c r="AU105" s="4">
        <v>1.34763E7</v>
      </c>
      <c r="AV105" s="4">
        <v>0.03</v>
      </c>
      <c r="AW105" s="4">
        <v>404289.0</v>
      </c>
      <c r="AX105" s="4">
        <v>1.3072011E7</v>
      </c>
      <c r="AY105" s="4">
        <v>2831850.0</v>
      </c>
      <c r="AZ105" s="4">
        <v>1.0240161E7</v>
      </c>
    </row>
    <row r="106" ht="15.75" customHeight="1">
      <c r="A106" s="3" t="s">
        <v>492</v>
      </c>
      <c r="B106" s="5">
        <v>42678.0</v>
      </c>
      <c r="C106" s="6">
        <f t="shared" si="1"/>
        <v>2016</v>
      </c>
      <c r="D106" s="7" t="s">
        <v>118</v>
      </c>
      <c r="E106" s="7" t="s">
        <v>119</v>
      </c>
      <c r="F106" s="7" t="s">
        <v>31</v>
      </c>
      <c r="G106" s="5" t="s">
        <v>51</v>
      </c>
      <c r="H106" s="7" t="s">
        <v>33</v>
      </c>
      <c r="I106" s="7" t="s">
        <v>92</v>
      </c>
      <c r="J106" s="7" t="s">
        <v>493</v>
      </c>
      <c r="K106" s="7" t="s">
        <v>36</v>
      </c>
      <c r="L106" s="7" t="s">
        <v>45</v>
      </c>
      <c r="M106" s="7" t="s">
        <v>38</v>
      </c>
      <c r="N106" s="5">
        <v>42680.0</v>
      </c>
      <c r="O106" s="8">
        <v>44700.0</v>
      </c>
      <c r="P106" s="8">
        <v>87600.0</v>
      </c>
      <c r="Q106" s="8">
        <f t="shared" si="2"/>
        <v>42900</v>
      </c>
      <c r="R106" s="8">
        <v>11.0</v>
      </c>
      <c r="S106" s="8">
        <f t="shared" si="3"/>
        <v>963600</v>
      </c>
      <c r="T106" s="9">
        <v>0.01</v>
      </c>
      <c r="U106" s="8">
        <f t="shared" si="4"/>
        <v>9636</v>
      </c>
      <c r="V106" s="8">
        <f t="shared" si="5"/>
        <v>953964</v>
      </c>
      <c r="W106" s="10">
        <f t="shared" si="6"/>
        <v>491700</v>
      </c>
      <c r="X106" s="10">
        <f t="shared" si="7"/>
        <v>462264</v>
      </c>
      <c r="Y106" s="10"/>
      <c r="Z106" s="10"/>
      <c r="AA106" s="10"/>
      <c r="AB106" s="4" t="s">
        <v>494</v>
      </c>
      <c r="AC106" s="4" t="s">
        <v>492</v>
      </c>
      <c r="AD106" s="4">
        <v>42678.0</v>
      </c>
      <c r="AE106" s="4">
        <v>2016.0</v>
      </c>
      <c r="AF106" s="4" t="s">
        <v>118</v>
      </c>
      <c r="AG106" s="4" t="s">
        <v>119</v>
      </c>
      <c r="AH106" s="4" t="s">
        <v>31</v>
      </c>
      <c r="AI106" s="4" t="s">
        <v>51</v>
      </c>
      <c r="AJ106" s="4" t="s">
        <v>33</v>
      </c>
      <c r="AK106" s="4" t="s">
        <v>92</v>
      </c>
      <c r="AL106" s="4" t="s">
        <v>493</v>
      </c>
      <c r="AM106" s="4" t="s">
        <v>36</v>
      </c>
      <c r="AN106" s="4" t="s">
        <v>45</v>
      </c>
      <c r="AO106" s="4" t="s">
        <v>38</v>
      </c>
      <c r="AP106" s="4">
        <v>42680.0</v>
      </c>
      <c r="AQ106" s="4">
        <v>44700.0</v>
      </c>
      <c r="AR106" s="4">
        <v>87600.0</v>
      </c>
      <c r="AS106" s="4">
        <v>42900.0</v>
      </c>
      <c r="AT106" s="4">
        <v>11.0</v>
      </c>
      <c r="AU106" s="4">
        <v>963600.0</v>
      </c>
      <c r="AV106" s="4">
        <v>0.01</v>
      </c>
      <c r="AW106" s="4">
        <v>9636.0</v>
      </c>
      <c r="AX106" s="4">
        <v>953964.0</v>
      </c>
      <c r="AY106" s="4">
        <v>491700.0</v>
      </c>
      <c r="AZ106" s="4">
        <v>462264.0</v>
      </c>
    </row>
    <row r="107" ht="15.75" customHeight="1">
      <c r="A107" s="3" t="s">
        <v>495</v>
      </c>
      <c r="B107" s="5">
        <v>42679.0</v>
      </c>
      <c r="C107" s="6">
        <f t="shared" si="1"/>
        <v>2016</v>
      </c>
      <c r="D107" s="7" t="s">
        <v>496</v>
      </c>
      <c r="E107" s="7" t="s">
        <v>263</v>
      </c>
      <c r="F107" s="7" t="s">
        <v>50</v>
      </c>
      <c r="G107" s="5" t="s">
        <v>32</v>
      </c>
      <c r="H107" s="7" t="s">
        <v>140</v>
      </c>
      <c r="I107" s="7" t="s">
        <v>53</v>
      </c>
      <c r="J107" s="7" t="s">
        <v>497</v>
      </c>
      <c r="K107" s="7" t="s">
        <v>36</v>
      </c>
      <c r="L107" s="7" t="s">
        <v>37</v>
      </c>
      <c r="M107" s="7" t="s">
        <v>38</v>
      </c>
      <c r="N107" s="5">
        <v>42681.0</v>
      </c>
      <c r="O107" s="8">
        <v>54750.0</v>
      </c>
      <c r="P107" s="8">
        <v>89700.0</v>
      </c>
      <c r="Q107" s="8">
        <f t="shared" si="2"/>
        <v>34950</v>
      </c>
      <c r="R107" s="8">
        <v>14.0</v>
      </c>
      <c r="S107" s="8">
        <f t="shared" si="3"/>
        <v>1255800</v>
      </c>
      <c r="T107" s="9">
        <v>0.09</v>
      </c>
      <c r="U107" s="8">
        <f t="shared" si="4"/>
        <v>113022</v>
      </c>
      <c r="V107" s="8">
        <f t="shared" si="5"/>
        <v>1142778</v>
      </c>
      <c r="W107" s="10">
        <f t="shared" si="6"/>
        <v>766500</v>
      </c>
      <c r="X107" s="10">
        <f t="shared" si="7"/>
        <v>376278</v>
      </c>
      <c r="Y107" s="10"/>
      <c r="Z107" s="10"/>
      <c r="AA107" s="10"/>
      <c r="AB107" s="4" t="s">
        <v>498</v>
      </c>
      <c r="AC107" s="4" t="s">
        <v>495</v>
      </c>
      <c r="AD107" s="4">
        <v>42679.0</v>
      </c>
      <c r="AE107" s="4">
        <v>2016.0</v>
      </c>
      <c r="AF107" s="4" t="s">
        <v>496</v>
      </c>
      <c r="AG107" s="4" t="s">
        <v>263</v>
      </c>
      <c r="AH107" s="4" t="s">
        <v>50</v>
      </c>
      <c r="AI107" s="4" t="s">
        <v>32</v>
      </c>
      <c r="AJ107" s="4" t="s">
        <v>140</v>
      </c>
      <c r="AK107" s="4" t="s">
        <v>53</v>
      </c>
      <c r="AL107" s="4" t="s">
        <v>497</v>
      </c>
      <c r="AM107" s="4" t="s">
        <v>36</v>
      </c>
      <c r="AN107" s="4" t="s">
        <v>37</v>
      </c>
      <c r="AO107" s="4" t="s">
        <v>38</v>
      </c>
      <c r="AP107" s="4">
        <v>42681.0</v>
      </c>
      <c r="AQ107" s="4">
        <v>54750.0</v>
      </c>
      <c r="AR107" s="4">
        <v>89700.0</v>
      </c>
      <c r="AS107" s="4">
        <v>34950.0</v>
      </c>
      <c r="AT107" s="4">
        <v>14.0</v>
      </c>
      <c r="AU107" s="4">
        <v>1255800.0</v>
      </c>
      <c r="AV107" s="4">
        <v>0.09</v>
      </c>
      <c r="AW107" s="4">
        <v>113022.0</v>
      </c>
      <c r="AX107" s="4">
        <v>1142778.0</v>
      </c>
      <c r="AY107" s="4">
        <v>766500.0</v>
      </c>
      <c r="AZ107" s="4">
        <v>376278.0</v>
      </c>
    </row>
    <row r="108" ht="15.75" customHeight="1">
      <c r="A108" s="3" t="s">
        <v>499</v>
      </c>
      <c r="B108" s="5">
        <v>42681.0</v>
      </c>
      <c r="C108" s="6">
        <f t="shared" si="1"/>
        <v>2016</v>
      </c>
      <c r="D108" s="7" t="s">
        <v>500</v>
      </c>
      <c r="E108" s="7" t="s">
        <v>501</v>
      </c>
      <c r="F108" s="7" t="s">
        <v>289</v>
      </c>
      <c r="G108" s="5" t="s">
        <v>68</v>
      </c>
      <c r="H108" s="7" t="s">
        <v>80</v>
      </c>
      <c r="I108" s="7" t="s">
        <v>74</v>
      </c>
      <c r="J108" s="7" t="s">
        <v>502</v>
      </c>
      <c r="K108" s="7" t="s">
        <v>36</v>
      </c>
      <c r="L108" s="7" t="s">
        <v>37</v>
      </c>
      <c r="M108" s="7" t="s">
        <v>38</v>
      </c>
      <c r="N108" s="5">
        <v>42686.0</v>
      </c>
      <c r="O108" s="8">
        <v>66900.0</v>
      </c>
      <c r="P108" s="8">
        <v>163350.0</v>
      </c>
      <c r="Q108" s="8">
        <f t="shared" si="2"/>
        <v>96450</v>
      </c>
      <c r="R108" s="8">
        <v>37.0</v>
      </c>
      <c r="S108" s="8">
        <f t="shared" si="3"/>
        <v>6043950</v>
      </c>
      <c r="T108" s="9">
        <v>0.06</v>
      </c>
      <c r="U108" s="8">
        <f t="shared" si="4"/>
        <v>362637</v>
      </c>
      <c r="V108" s="8">
        <f t="shared" si="5"/>
        <v>5681313</v>
      </c>
      <c r="W108" s="10">
        <f t="shared" si="6"/>
        <v>2475300</v>
      </c>
      <c r="X108" s="10">
        <f t="shared" si="7"/>
        <v>3206013</v>
      </c>
      <c r="Y108" s="10"/>
      <c r="Z108" s="10"/>
      <c r="AA108" s="10"/>
      <c r="AB108" s="4" t="s">
        <v>503</v>
      </c>
      <c r="AC108" s="4" t="s">
        <v>499</v>
      </c>
      <c r="AD108" s="4">
        <v>42681.0</v>
      </c>
      <c r="AE108" s="4">
        <v>2016.0</v>
      </c>
      <c r="AF108" s="4" t="s">
        <v>500</v>
      </c>
      <c r="AG108" s="4" t="s">
        <v>501</v>
      </c>
      <c r="AH108" s="4" t="s">
        <v>289</v>
      </c>
      <c r="AI108" s="4" t="s">
        <v>68</v>
      </c>
      <c r="AJ108" s="4" t="s">
        <v>80</v>
      </c>
      <c r="AK108" s="4" t="s">
        <v>74</v>
      </c>
      <c r="AL108" s="4" t="s">
        <v>502</v>
      </c>
      <c r="AM108" s="4" t="s">
        <v>36</v>
      </c>
      <c r="AN108" s="4" t="s">
        <v>37</v>
      </c>
      <c r="AO108" s="4" t="s">
        <v>38</v>
      </c>
      <c r="AP108" s="4">
        <v>42686.0</v>
      </c>
      <c r="AQ108" s="4">
        <v>66900.0</v>
      </c>
      <c r="AR108" s="4">
        <v>163350.0</v>
      </c>
      <c r="AS108" s="4">
        <v>96450.0</v>
      </c>
      <c r="AT108" s="4">
        <v>37.0</v>
      </c>
      <c r="AU108" s="4">
        <v>6043950.0</v>
      </c>
      <c r="AV108" s="4">
        <v>0.06</v>
      </c>
      <c r="AW108" s="4">
        <v>362637.0</v>
      </c>
      <c r="AX108" s="4">
        <v>5681313.0</v>
      </c>
      <c r="AY108" s="4">
        <v>2475300.0</v>
      </c>
      <c r="AZ108" s="4">
        <v>3206013.0</v>
      </c>
    </row>
    <row r="109" ht="15.75" customHeight="1">
      <c r="A109" s="3" t="s">
        <v>504</v>
      </c>
      <c r="B109" s="5">
        <v>42681.0</v>
      </c>
      <c r="C109" s="6">
        <f t="shared" si="1"/>
        <v>2016</v>
      </c>
      <c r="D109" s="7" t="s">
        <v>505</v>
      </c>
      <c r="E109" s="7" t="s">
        <v>393</v>
      </c>
      <c r="F109" s="7" t="s">
        <v>31</v>
      </c>
      <c r="G109" s="5" t="s">
        <v>51</v>
      </c>
      <c r="H109" s="7" t="s">
        <v>43</v>
      </c>
      <c r="I109" s="7" t="s">
        <v>74</v>
      </c>
      <c r="J109" s="7" t="s">
        <v>490</v>
      </c>
      <c r="K109" s="7" t="s">
        <v>61</v>
      </c>
      <c r="L109" s="7" t="s">
        <v>37</v>
      </c>
      <c r="M109" s="7" t="s">
        <v>38</v>
      </c>
      <c r="N109" s="5">
        <v>42683.0</v>
      </c>
      <c r="O109" s="8">
        <v>97650.0</v>
      </c>
      <c r="P109" s="8">
        <v>464700.0</v>
      </c>
      <c r="Q109" s="8">
        <f t="shared" si="2"/>
        <v>367050</v>
      </c>
      <c r="R109" s="8">
        <v>8.0</v>
      </c>
      <c r="S109" s="8">
        <f t="shared" si="3"/>
        <v>3717600</v>
      </c>
      <c r="T109" s="9">
        <v>0.01</v>
      </c>
      <c r="U109" s="8">
        <f t="shared" si="4"/>
        <v>37176</v>
      </c>
      <c r="V109" s="8">
        <f t="shared" si="5"/>
        <v>3680424</v>
      </c>
      <c r="W109" s="10">
        <f t="shared" si="6"/>
        <v>781200</v>
      </c>
      <c r="X109" s="10">
        <f t="shared" si="7"/>
        <v>2899224</v>
      </c>
      <c r="Y109" s="10"/>
      <c r="Z109" s="10"/>
      <c r="AA109" s="10"/>
      <c r="AB109" s="4" t="s">
        <v>506</v>
      </c>
      <c r="AC109" s="4" t="s">
        <v>504</v>
      </c>
      <c r="AD109" s="4">
        <v>42681.0</v>
      </c>
      <c r="AE109" s="4">
        <v>2016.0</v>
      </c>
      <c r="AF109" s="4" t="s">
        <v>505</v>
      </c>
      <c r="AG109" s="4" t="s">
        <v>393</v>
      </c>
      <c r="AH109" s="4" t="s">
        <v>31</v>
      </c>
      <c r="AI109" s="4" t="s">
        <v>51</v>
      </c>
      <c r="AJ109" s="4" t="s">
        <v>43</v>
      </c>
      <c r="AK109" s="4" t="s">
        <v>74</v>
      </c>
      <c r="AL109" s="4" t="s">
        <v>490</v>
      </c>
      <c r="AM109" s="4" t="s">
        <v>61</v>
      </c>
      <c r="AN109" s="4" t="s">
        <v>37</v>
      </c>
      <c r="AO109" s="4" t="s">
        <v>38</v>
      </c>
      <c r="AP109" s="4">
        <v>42683.0</v>
      </c>
      <c r="AQ109" s="4">
        <v>97650.0</v>
      </c>
      <c r="AR109" s="4">
        <v>464700.0</v>
      </c>
      <c r="AS109" s="4">
        <v>367050.0</v>
      </c>
      <c r="AT109" s="4">
        <v>8.0</v>
      </c>
      <c r="AU109" s="4">
        <v>3717600.0</v>
      </c>
      <c r="AV109" s="4">
        <v>0.01</v>
      </c>
      <c r="AW109" s="4">
        <v>37176.0</v>
      </c>
      <c r="AX109" s="4">
        <v>3680424.0</v>
      </c>
      <c r="AY109" s="4">
        <v>781200.0</v>
      </c>
      <c r="AZ109" s="4">
        <v>2899224.0</v>
      </c>
    </row>
    <row r="110" ht="15.75" customHeight="1">
      <c r="A110" s="3" t="s">
        <v>507</v>
      </c>
      <c r="B110" s="5">
        <v>42682.0</v>
      </c>
      <c r="C110" s="6">
        <f t="shared" si="1"/>
        <v>2016</v>
      </c>
      <c r="D110" s="7" t="s">
        <v>508</v>
      </c>
      <c r="E110" s="7" t="s">
        <v>509</v>
      </c>
      <c r="F110" s="7" t="s">
        <v>31</v>
      </c>
      <c r="G110" s="5" t="s">
        <v>91</v>
      </c>
      <c r="H110" s="7" t="s">
        <v>33</v>
      </c>
      <c r="I110" s="7" t="s">
        <v>74</v>
      </c>
      <c r="J110" s="7" t="s">
        <v>195</v>
      </c>
      <c r="K110" s="7" t="s">
        <v>61</v>
      </c>
      <c r="L110" s="7" t="s">
        <v>37</v>
      </c>
      <c r="M110" s="7" t="s">
        <v>38</v>
      </c>
      <c r="N110" s="5">
        <v>42684.0</v>
      </c>
      <c r="O110" s="8">
        <v>594600.0</v>
      </c>
      <c r="P110" s="8">
        <v>2287200.0</v>
      </c>
      <c r="Q110" s="8">
        <f t="shared" si="2"/>
        <v>1692600</v>
      </c>
      <c r="R110" s="8">
        <v>31.0</v>
      </c>
      <c r="S110" s="8">
        <f t="shared" si="3"/>
        <v>70903200</v>
      </c>
      <c r="T110" s="9">
        <v>0.07</v>
      </c>
      <c r="U110" s="8">
        <f t="shared" si="4"/>
        <v>4963224</v>
      </c>
      <c r="V110" s="8">
        <f t="shared" si="5"/>
        <v>65939976</v>
      </c>
      <c r="W110" s="10">
        <f t="shared" si="6"/>
        <v>18432600</v>
      </c>
      <c r="X110" s="10">
        <f t="shared" si="7"/>
        <v>47507376</v>
      </c>
      <c r="Y110" s="10"/>
      <c r="Z110" s="10"/>
      <c r="AA110" s="10"/>
      <c r="AB110" s="4" t="s">
        <v>510</v>
      </c>
      <c r="AC110" s="4" t="s">
        <v>507</v>
      </c>
      <c r="AD110" s="4">
        <v>42682.0</v>
      </c>
      <c r="AE110" s="4">
        <v>2016.0</v>
      </c>
      <c r="AF110" s="4" t="s">
        <v>508</v>
      </c>
      <c r="AG110" s="4" t="s">
        <v>509</v>
      </c>
      <c r="AH110" s="4" t="s">
        <v>31</v>
      </c>
      <c r="AI110" s="4" t="s">
        <v>91</v>
      </c>
      <c r="AJ110" s="4" t="s">
        <v>33</v>
      </c>
      <c r="AK110" s="4" t="s">
        <v>74</v>
      </c>
      <c r="AL110" s="4" t="s">
        <v>195</v>
      </c>
      <c r="AM110" s="4" t="s">
        <v>61</v>
      </c>
      <c r="AN110" s="4" t="s">
        <v>37</v>
      </c>
      <c r="AO110" s="4" t="s">
        <v>38</v>
      </c>
      <c r="AP110" s="4">
        <v>42684.0</v>
      </c>
      <c r="AQ110" s="4">
        <v>594600.0</v>
      </c>
      <c r="AR110" s="4">
        <v>2287200.0</v>
      </c>
      <c r="AS110" s="4">
        <v>1692600.0</v>
      </c>
      <c r="AT110" s="4">
        <v>31.0</v>
      </c>
      <c r="AU110" s="4">
        <v>7.09032E7</v>
      </c>
      <c r="AV110" s="4">
        <v>0.07</v>
      </c>
      <c r="AW110" s="4">
        <v>4963224.0</v>
      </c>
      <c r="AX110" s="4">
        <v>6.5939976E7</v>
      </c>
      <c r="AY110" s="4">
        <v>1.84326E7</v>
      </c>
      <c r="AZ110" s="4">
        <v>4.7507376E7</v>
      </c>
    </row>
    <row r="111" ht="15.75" customHeight="1">
      <c r="A111" s="3" t="s">
        <v>511</v>
      </c>
      <c r="B111" s="5">
        <v>42683.0</v>
      </c>
      <c r="C111" s="6">
        <f t="shared" si="1"/>
        <v>2016</v>
      </c>
      <c r="D111" s="7" t="s">
        <v>287</v>
      </c>
      <c r="E111" s="7" t="s">
        <v>288</v>
      </c>
      <c r="F111" s="7" t="s">
        <v>289</v>
      </c>
      <c r="G111" s="5" t="s">
        <v>51</v>
      </c>
      <c r="H111" s="7" t="s">
        <v>140</v>
      </c>
      <c r="I111" s="7" t="s">
        <v>92</v>
      </c>
      <c r="J111" s="7" t="s">
        <v>512</v>
      </c>
      <c r="K111" s="7" t="s">
        <v>36</v>
      </c>
      <c r="L111" s="7" t="s">
        <v>45</v>
      </c>
      <c r="M111" s="7" t="s">
        <v>38</v>
      </c>
      <c r="N111" s="5">
        <v>42685.0</v>
      </c>
      <c r="O111" s="8">
        <v>29250.0</v>
      </c>
      <c r="P111" s="8">
        <v>59700.0</v>
      </c>
      <c r="Q111" s="8">
        <f t="shared" si="2"/>
        <v>30450</v>
      </c>
      <c r="R111" s="8">
        <v>30.0</v>
      </c>
      <c r="S111" s="8">
        <f t="shared" si="3"/>
        <v>1791000</v>
      </c>
      <c r="T111" s="9">
        <v>0.1</v>
      </c>
      <c r="U111" s="8">
        <f t="shared" si="4"/>
        <v>179100</v>
      </c>
      <c r="V111" s="8">
        <f t="shared" si="5"/>
        <v>1611900</v>
      </c>
      <c r="W111" s="10">
        <f t="shared" si="6"/>
        <v>877500</v>
      </c>
      <c r="X111" s="10">
        <f t="shared" si="7"/>
        <v>734400</v>
      </c>
      <c r="Y111" s="10"/>
      <c r="Z111" s="10"/>
      <c r="AA111" s="10"/>
      <c r="AB111" s="4" t="s">
        <v>513</v>
      </c>
      <c r="AC111" s="4" t="s">
        <v>511</v>
      </c>
      <c r="AD111" s="4">
        <v>42683.0</v>
      </c>
      <c r="AE111" s="4">
        <v>2016.0</v>
      </c>
      <c r="AF111" s="4" t="s">
        <v>287</v>
      </c>
      <c r="AG111" s="4" t="s">
        <v>288</v>
      </c>
      <c r="AH111" s="4" t="s">
        <v>289</v>
      </c>
      <c r="AI111" s="4" t="s">
        <v>51</v>
      </c>
      <c r="AJ111" s="4" t="s">
        <v>140</v>
      </c>
      <c r="AK111" s="4" t="s">
        <v>92</v>
      </c>
      <c r="AL111" s="4" t="s">
        <v>512</v>
      </c>
      <c r="AM111" s="4" t="s">
        <v>36</v>
      </c>
      <c r="AN111" s="4" t="s">
        <v>45</v>
      </c>
      <c r="AO111" s="4" t="s">
        <v>38</v>
      </c>
      <c r="AP111" s="4">
        <v>42685.0</v>
      </c>
      <c r="AQ111" s="4">
        <v>29250.0</v>
      </c>
      <c r="AR111" s="4">
        <v>59700.0</v>
      </c>
      <c r="AS111" s="4">
        <v>30450.0</v>
      </c>
      <c r="AT111" s="4">
        <v>30.0</v>
      </c>
      <c r="AU111" s="4">
        <v>1791000.0</v>
      </c>
      <c r="AV111" s="4">
        <v>0.1</v>
      </c>
      <c r="AW111" s="4">
        <v>179100.0</v>
      </c>
      <c r="AX111" s="4">
        <v>1611900.0</v>
      </c>
      <c r="AY111" s="4">
        <v>877500.0</v>
      </c>
      <c r="AZ111" s="4">
        <v>734400.0</v>
      </c>
    </row>
    <row r="112" ht="15.75" customHeight="1">
      <c r="A112" s="3" t="s">
        <v>514</v>
      </c>
      <c r="B112" s="5">
        <v>42684.0</v>
      </c>
      <c r="C112" s="6">
        <f t="shared" si="1"/>
        <v>2016</v>
      </c>
      <c r="D112" s="7" t="s">
        <v>515</v>
      </c>
      <c r="E112" s="7" t="s">
        <v>384</v>
      </c>
      <c r="F112" s="7" t="s">
        <v>31</v>
      </c>
      <c r="G112" s="5" t="s">
        <v>91</v>
      </c>
      <c r="H112" s="7" t="s">
        <v>43</v>
      </c>
      <c r="I112" s="7" t="s">
        <v>92</v>
      </c>
      <c r="J112" s="7" t="s">
        <v>516</v>
      </c>
      <c r="K112" s="7" t="s">
        <v>36</v>
      </c>
      <c r="L112" s="7" t="s">
        <v>37</v>
      </c>
      <c r="M112" s="7" t="s">
        <v>38</v>
      </c>
      <c r="N112" s="5">
        <v>42685.0</v>
      </c>
      <c r="O112" s="8">
        <v>29100.0</v>
      </c>
      <c r="P112" s="8">
        <v>46200.0</v>
      </c>
      <c r="Q112" s="8">
        <f t="shared" si="2"/>
        <v>17100</v>
      </c>
      <c r="R112" s="8">
        <v>38.0</v>
      </c>
      <c r="S112" s="8">
        <f t="shared" si="3"/>
        <v>1755600</v>
      </c>
      <c r="T112" s="9">
        <v>0.04</v>
      </c>
      <c r="U112" s="8">
        <f t="shared" si="4"/>
        <v>70224</v>
      </c>
      <c r="V112" s="8">
        <f t="shared" si="5"/>
        <v>1685376</v>
      </c>
      <c r="W112" s="10">
        <f t="shared" si="6"/>
        <v>1105800</v>
      </c>
      <c r="X112" s="10">
        <f t="shared" si="7"/>
        <v>579576</v>
      </c>
      <c r="Y112" s="10"/>
      <c r="Z112" s="10"/>
      <c r="AA112" s="10"/>
      <c r="AB112" s="4" t="s">
        <v>517</v>
      </c>
      <c r="AC112" s="4" t="s">
        <v>514</v>
      </c>
      <c r="AD112" s="4">
        <v>42684.0</v>
      </c>
      <c r="AE112" s="4">
        <v>2016.0</v>
      </c>
      <c r="AF112" s="4" t="s">
        <v>515</v>
      </c>
      <c r="AG112" s="4" t="s">
        <v>384</v>
      </c>
      <c r="AH112" s="4" t="s">
        <v>31</v>
      </c>
      <c r="AI112" s="4" t="s">
        <v>91</v>
      </c>
      <c r="AJ112" s="4" t="s">
        <v>43</v>
      </c>
      <c r="AK112" s="4" t="s">
        <v>92</v>
      </c>
      <c r="AL112" s="4" t="s">
        <v>516</v>
      </c>
      <c r="AM112" s="4" t="s">
        <v>36</v>
      </c>
      <c r="AN112" s="4" t="s">
        <v>37</v>
      </c>
      <c r="AO112" s="4" t="s">
        <v>38</v>
      </c>
      <c r="AP112" s="4">
        <v>42685.0</v>
      </c>
      <c r="AQ112" s="4">
        <v>29100.0</v>
      </c>
      <c r="AR112" s="4">
        <v>46200.0</v>
      </c>
      <c r="AS112" s="4">
        <v>17100.0</v>
      </c>
      <c r="AT112" s="4">
        <v>38.0</v>
      </c>
      <c r="AU112" s="4">
        <v>1755600.0</v>
      </c>
      <c r="AV112" s="4">
        <v>0.04</v>
      </c>
      <c r="AW112" s="4">
        <v>70224.0</v>
      </c>
      <c r="AX112" s="4">
        <v>1685376.0</v>
      </c>
      <c r="AY112" s="4">
        <v>1105800.0</v>
      </c>
      <c r="AZ112" s="4">
        <v>579576.0</v>
      </c>
    </row>
    <row r="113" ht="15.75" customHeight="1">
      <c r="A113" s="3" t="s">
        <v>518</v>
      </c>
      <c r="B113" s="5">
        <v>42685.0</v>
      </c>
      <c r="C113" s="6">
        <f t="shared" si="1"/>
        <v>2016</v>
      </c>
      <c r="D113" s="7" t="s">
        <v>519</v>
      </c>
      <c r="E113" s="7" t="s">
        <v>520</v>
      </c>
      <c r="F113" s="7" t="s">
        <v>50</v>
      </c>
      <c r="G113" s="5" t="s">
        <v>51</v>
      </c>
      <c r="H113" s="7" t="s">
        <v>69</v>
      </c>
      <c r="I113" s="7" t="s">
        <v>92</v>
      </c>
      <c r="J113" s="7" t="s">
        <v>521</v>
      </c>
      <c r="K113" s="7" t="s">
        <v>61</v>
      </c>
      <c r="L113" s="7" t="s">
        <v>62</v>
      </c>
      <c r="M113" s="7" t="s">
        <v>63</v>
      </c>
      <c r="N113" s="5">
        <v>42686.0</v>
      </c>
      <c r="O113" s="8">
        <v>1151850.0</v>
      </c>
      <c r="P113" s="8">
        <v>1799850.0</v>
      </c>
      <c r="Q113" s="8">
        <f t="shared" si="2"/>
        <v>648000</v>
      </c>
      <c r="R113" s="8">
        <v>24.0</v>
      </c>
      <c r="S113" s="8">
        <f t="shared" si="3"/>
        <v>43196400</v>
      </c>
      <c r="T113" s="9">
        <v>0.02</v>
      </c>
      <c r="U113" s="8">
        <f t="shared" si="4"/>
        <v>863928</v>
      </c>
      <c r="V113" s="8">
        <f t="shared" si="5"/>
        <v>42332472</v>
      </c>
      <c r="W113" s="10">
        <f t="shared" si="6"/>
        <v>27644400</v>
      </c>
      <c r="X113" s="10">
        <f t="shared" si="7"/>
        <v>14688072</v>
      </c>
      <c r="Y113" s="10"/>
      <c r="Z113" s="10"/>
      <c r="AA113" s="10"/>
      <c r="AB113" s="4" t="s">
        <v>522</v>
      </c>
      <c r="AC113" s="4" t="s">
        <v>518</v>
      </c>
      <c r="AD113" s="4">
        <v>42685.0</v>
      </c>
      <c r="AE113" s="4">
        <v>2016.0</v>
      </c>
      <c r="AF113" s="4" t="s">
        <v>519</v>
      </c>
      <c r="AG113" s="4" t="s">
        <v>520</v>
      </c>
      <c r="AH113" s="4" t="s">
        <v>50</v>
      </c>
      <c r="AI113" s="4" t="s">
        <v>51</v>
      </c>
      <c r="AJ113" s="4" t="s">
        <v>69</v>
      </c>
      <c r="AK113" s="4" t="s">
        <v>92</v>
      </c>
      <c r="AL113" s="4" t="s">
        <v>521</v>
      </c>
      <c r="AM113" s="4" t="s">
        <v>61</v>
      </c>
      <c r="AN113" s="4" t="s">
        <v>62</v>
      </c>
      <c r="AO113" s="4" t="s">
        <v>63</v>
      </c>
      <c r="AP113" s="4">
        <v>42686.0</v>
      </c>
      <c r="AQ113" s="4">
        <v>1151850.0</v>
      </c>
      <c r="AR113" s="4">
        <v>1799850.0</v>
      </c>
      <c r="AS113" s="4">
        <v>648000.0</v>
      </c>
      <c r="AT113" s="4">
        <v>24.0</v>
      </c>
      <c r="AU113" s="4">
        <v>4.31964E7</v>
      </c>
      <c r="AV113" s="4">
        <v>0.02</v>
      </c>
      <c r="AW113" s="4">
        <v>863928.0</v>
      </c>
      <c r="AX113" s="4">
        <v>4.2332472E7</v>
      </c>
      <c r="AY113" s="4">
        <v>2.76444E7</v>
      </c>
      <c r="AZ113" s="4">
        <v>1.4688072E7</v>
      </c>
    </row>
    <row r="114" ht="15.75" customHeight="1">
      <c r="A114" s="3" t="s">
        <v>523</v>
      </c>
      <c r="B114" s="5">
        <v>42686.0</v>
      </c>
      <c r="C114" s="6">
        <f t="shared" si="1"/>
        <v>2016</v>
      </c>
      <c r="D114" s="7" t="s">
        <v>524</v>
      </c>
      <c r="E114" s="7" t="s">
        <v>525</v>
      </c>
      <c r="F114" s="7" t="s">
        <v>50</v>
      </c>
      <c r="G114" s="5" t="s">
        <v>68</v>
      </c>
      <c r="H114" s="7" t="s">
        <v>360</v>
      </c>
      <c r="I114" s="7" t="s">
        <v>104</v>
      </c>
      <c r="J114" s="7" t="s">
        <v>526</v>
      </c>
      <c r="K114" s="7" t="s">
        <v>36</v>
      </c>
      <c r="L114" s="7" t="s">
        <v>37</v>
      </c>
      <c r="M114" s="7" t="s">
        <v>38</v>
      </c>
      <c r="N114" s="5">
        <v>42687.0</v>
      </c>
      <c r="O114" s="8">
        <v>27600.0</v>
      </c>
      <c r="P114" s="8">
        <v>43200.0</v>
      </c>
      <c r="Q114" s="8">
        <f t="shared" si="2"/>
        <v>15600</v>
      </c>
      <c r="R114" s="8">
        <v>11.0</v>
      </c>
      <c r="S114" s="8">
        <f t="shared" si="3"/>
        <v>475200</v>
      </c>
      <c r="T114" s="9">
        <v>0.09</v>
      </c>
      <c r="U114" s="8">
        <f t="shared" si="4"/>
        <v>42768</v>
      </c>
      <c r="V114" s="8">
        <f t="shared" si="5"/>
        <v>432432</v>
      </c>
      <c r="W114" s="10">
        <f t="shared" si="6"/>
        <v>303600</v>
      </c>
      <c r="X114" s="10">
        <f t="shared" si="7"/>
        <v>128832</v>
      </c>
      <c r="Y114" s="10"/>
      <c r="Z114" s="10"/>
      <c r="AA114" s="10"/>
      <c r="AB114" s="4" t="s">
        <v>527</v>
      </c>
      <c r="AC114" s="4" t="s">
        <v>523</v>
      </c>
      <c r="AD114" s="4">
        <v>42686.0</v>
      </c>
      <c r="AE114" s="4">
        <v>2016.0</v>
      </c>
      <c r="AF114" s="4" t="s">
        <v>524</v>
      </c>
      <c r="AG114" s="4" t="s">
        <v>525</v>
      </c>
      <c r="AH114" s="4" t="s">
        <v>50</v>
      </c>
      <c r="AI114" s="4" t="s">
        <v>68</v>
      </c>
      <c r="AJ114" s="4" t="s">
        <v>360</v>
      </c>
      <c r="AK114" s="4" t="s">
        <v>104</v>
      </c>
      <c r="AL114" s="4" t="s">
        <v>526</v>
      </c>
      <c r="AM114" s="4" t="s">
        <v>36</v>
      </c>
      <c r="AN114" s="4" t="s">
        <v>37</v>
      </c>
      <c r="AO114" s="4" t="s">
        <v>38</v>
      </c>
      <c r="AP114" s="4">
        <v>42687.0</v>
      </c>
      <c r="AQ114" s="4">
        <v>27600.0</v>
      </c>
      <c r="AR114" s="4">
        <v>43200.0</v>
      </c>
      <c r="AS114" s="4">
        <v>15600.0</v>
      </c>
      <c r="AT114" s="4">
        <v>11.0</v>
      </c>
      <c r="AU114" s="4">
        <v>475200.0</v>
      </c>
      <c r="AV114" s="4">
        <v>0.09</v>
      </c>
      <c r="AW114" s="4">
        <v>42768.0</v>
      </c>
      <c r="AX114" s="4">
        <v>432432.0</v>
      </c>
      <c r="AY114" s="4">
        <v>303600.0</v>
      </c>
      <c r="AZ114" s="4">
        <v>128832.0</v>
      </c>
    </row>
    <row r="115" ht="15.75" customHeight="1">
      <c r="A115" s="3" t="s">
        <v>528</v>
      </c>
      <c r="B115" s="5">
        <v>42686.0</v>
      </c>
      <c r="C115" s="6">
        <f t="shared" si="1"/>
        <v>2016</v>
      </c>
      <c r="D115" s="7" t="s">
        <v>524</v>
      </c>
      <c r="E115" s="7" t="s">
        <v>529</v>
      </c>
      <c r="F115" s="7" t="s">
        <v>50</v>
      </c>
      <c r="G115" s="5" t="s">
        <v>68</v>
      </c>
      <c r="H115" s="7" t="s">
        <v>360</v>
      </c>
      <c r="I115" s="7" t="s">
        <v>104</v>
      </c>
      <c r="J115" s="7" t="s">
        <v>190</v>
      </c>
      <c r="K115" s="7" t="s">
        <v>61</v>
      </c>
      <c r="L115" s="7" t="s">
        <v>37</v>
      </c>
      <c r="M115" s="7" t="s">
        <v>38</v>
      </c>
      <c r="N115" s="5">
        <v>42688.0</v>
      </c>
      <c r="O115" s="8">
        <v>95850.0</v>
      </c>
      <c r="P115" s="8">
        <v>299700.0</v>
      </c>
      <c r="Q115" s="8">
        <f t="shared" si="2"/>
        <v>203850</v>
      </c>
      <c r="R115" s="8">
        <v>43.0</v>
      </c>
      <c r="S115" s="8">
        <f t="shared" si="3"/>
        <v>12887100</v>
      </c>
      <c r="T115" s="9">
        <v>0.1</v>
      </c>
      <c r="U115" s="8">
        <f t="shared" si="4"/>
        <v>1288710</v>
      </c>
      <c r="V115" s="8">
        <f t="shared" si="5"/>
        <v>11598390</v>
      </c>
      <c r="W115" s="10">
        <f t="shared" si="6"/>
        <v>4121550</v>
      </c>
      <c r="X115" s="10">
        <f t="shared" si="7"/>
        <v>7476840</v>
      </c>
      <c r="Y115" s="10"/>
      <c r="Z115" s="10"/>
      <c r="AA115" s="10"/>
      <c r="AB115" s="4" t="s">
        <v>530</v>
      </c>
      <c r="AC115" s="4" t="s">
        <v>528</v>
      </c>
      <c r="AD115" s="4">
        <v>42686.0</v>
      </c>
      <c r="AE115" s="4">
        <v>2016.0</v>
      </c>
      <c r="AF115" s="4" t="s">
        <v>524</v>
      </c>
      <c r="AG115" s="4" t="s">
        <v>529</v>
      </c>
      <c r="AH115" s="4" t="s">
        <v>50</v>
      </c>
      <c r="AI115" s="4" t="s">
        <v>68</v>
      </c>
      <c r="AJ115" s="4" t="s">
        <v>360</v>
      </c>
      <c r="AK115" s="4" t="s">
        <v>104</v>
      </c>
      <c r="AL115" s="4" t="s">
        <v>190</v>
      </c>
      <c r="AM115" s="4" t="s">
        <v>61</v>
      </c>
      <c r="AN115" s="4" t="s">
        <v>37</v>
      </c>
      <c r="AO115" s="4" t="s">
        <v>38</v>
      </c>
      <c r="AP115" s="4">
        <v>42688.0</v>
      </c>
      <c r="AQ115" s="4">
        <v>95850.0</v>
      </c>
      <c r="AR115" s="4">
        <v>299700.0</v>
      </c>
      <c r="AS115" s="4">
        <v>203850.0</v>
      </c>
      <c r="AT115" s="4">
        <v>43.0</v>
      </c>
      <c r="AU115" s="4">
        <v>1.28871E7</v>
      </c>
      <c r="AV115" s="4">
        <v>0.1</v>
      </c>
      <c r="AW115" s="4">
        <v>1288710.0</v>
      </c>
      <c r="AX115" s="4">
        <v>1.159839E7</v>
      </c>
      <c r="AY115" s="4">
        <v>4121550.0</v>
      </c>
      <c r="AZ115" s="4">
        <v>7476840.0</v>
      </c>
    </row>
    <row r="116" ht="15.75" customHeight="1">
      <c r="A116" s="3" t="s">
        <v>531</v>
      </c>
      <c r="B116" s="5">
        <v>42688.0</v>
      </c>
      <c r="C116" s="6">
        <f t="shared" si="1"/>
        <v>2016</v>
      </c>
      <c r="D116" s="7" t="s">
        <v>532</v>
      </c>
      <c r="E116" s="7" t="s">
        <v>216</v>
      </c>
      <c r="F116" s="7" t="s">
        <v>50</v>
      </c>
      <c r="G116" s="5" t="s">
        <v>51</v>
      </c>
      <c r="H116" s="7" t="s">
        <v>151</v>
      </c>
      <c r="I116" s="7" t="s">
        <v>92</v>
      </c>
      <c r="J116" s="7" t="s">
        <v>533</v>
      </c>
      <c r="K116" s="7" t="s">
        <v>36</v>
      </c>
      <c r="L116" s="7" t="s">
        <v>45</v>
      </c>
      <c r="M116" s="7" t="s">
        <v>55</v>
      </c>
      <c r="N116" s="5">
        <v>42690.0</v>
      </c>
      <c r="O116" s="8">
        <v>22950.0</v>
      </c>
      <c r="P116" s="8">
        <v>41700.0</v>
      </c>
      <c r="Q116" s="8">
        <f t="shared" si="2"/>
        <v>18750</v>
      </c>
      <c r="R116" s="8">
        <v>40.0</v>
      </c>
      <c r="S116" s="8">
        <f t="shared" si="3"/>
        <v>1668000</v>
      </c>
      <c r="T116" s="9">
        <v>0.03</v>
      </c>
      <c r="U116" s="8">
        <f t="shared" si="4"/>
        <v>50040</v>
      </c>
      <c r="V116" s="8">
        <f t="shared" si="5"/>
        <v>1617960</v>
      </c>
      <c r="W116" s="10">
        <f t="shared" si="6"/>
        <v>918000</v>
      </c>
      <c r="X116" s="10">
        <f t="shared" si="7"/>
        <v>699960</v>
      </c>
      <c r="Y116" s="10"/>
      <c r="Z116" s="10"/>
      <c r="AA116" s="10"/>
      <c r="AB116" s="4" t="s">
        <v>534</v>
      </c>
      <c r="AC116" s="4" t="s">
        <v>531</v>
      </c>
      <c r="AD116" s="4">
        <v>42688.0</v>
      </c>
      <c r="AE116" s="4">
        <v>2016.0</v>
      </c>
      <c r="AF116" s="4" t="s">
        <v>532</v>
      </c>
      <c r="AG116" s="4" t="s">
        <v>216</v>
      </c>
      <c r="AH116" s="4" t="s">
        <v>50</v>
      </c>
      <c r="AI116" s="4" t="s">
        <v>51</v>
      </c>
      <c r="AJ116" s="4" t="s">
        <v>151</v>
      </c>
      <c r="AK116" s="4" t="s">
        <v>92</v>
      </c>
      <c r="AL116" s="4" t="s">
        <v>533</v>
      </c>
      <c r="AM116" s="4" t="s">
        <v>36</v>
      </c>
      <c r="AN116" s="4" t="s">
        <v>45</v>
      </c>
      <c r="AO116" s="4" t="s">
        <v>55</v>
      </c>
      <c r="AP116" s="4">
        <v>42690.0</v>
      </c>
      <c r="AQ116" s="4">
        <v>22950.0</v>
      </c>
      <c r="AR116" s="4">
        <v>41700.0</v>
      </c>
      <c r="AS116" s="4">
        <v>18750.0</v>
      </c>
      <c r="AT116" s="4">
        <v>40.0</v>
      </c>
      <c r="AU116" s="4">
        <v>1668000.0</v>
      </c>
      <c r="AV116" s="4">
        <v>0.03</v>
      </c>
      <c r="AW116" s="4">
        <v>50040.0</v>
      </c>
      <c r="AX116" s="4">
        <v>1617960.0</v>
      </c>
      <c r="AY116" s="4">
        <v>918000.0</v>
      </c>
      <c r="AZ116" s="4">
        <v>699960.0</v>
      </c>
    </row>
    <row r="117" ht="15.75" customHeight="1">
      <c r="A117" s="3" t="s">
        <v>535</v>
      </c>
      <c r="B117" s="5">
        <v>42692.0</v>
      </c>
      <c r="C117" s="6">
        <f t="shared" si="1"/>
        <v>2016</v>
      </c>
      <c r="D117" s="7" t="s">
        <v>536</v>
      </c>
      <c r="E117" s="7" t="s">
        <v>537</v>
      </c>
      <c r="F117" s="7" t="s">
        <v>31</v>
      </c>
      <c r="G117" s="5" t="s">
        <v>32</v>
      </c>
      <c r="H117" s="7" t="s">
        <v>33</v>
      </c>
      <c r="I117" s="7" t="s">
        <v>53</v>
      </c>
      <c r="J117" s="7" t="s">
        <v>538</v>
      </c>
      <c r="K117" s="7" t="s">
        <v>36</v>
      </c>
      <c r="L117" s="7" t="s">
        <v>37</v>
      </c>
      <c r="M117" s="7" t="s">
        <v>38</v>
      </c>
      <c r="N117" s="5">
        <v>42694.0</v>
      </c>
      <c r="O117" s="8">
        <v>33900.0</v>
      </c>
      <c r="P117" s="8">
        <v>53700.0</v>
      </c>
      <c r="Q117" s="8">
        <f t="shared" si="2"/>
        <v>19800</v>
      </c>
      <c r="R117" s="8">
        <v>46.0</v>
      </c>
      <c r="S117" s="8">
        <f t="shared" si="3"/>
        <v>2470200</v>
      </c>
      <c r="T117" s="9">
        <v>0.06</v>
      </c>
      <c r="U117" s="8">
        <f t="shared" si="4"/>
        <v>148212</v>
      </c>
      <c r="V117" s="8">
        <f t="shared" si="5"/>
        <v>2321988</v>
      </c>
      <c r="W117" s="10">
        <f t="shared" si="6"/>
        <v>1559400</v>
      </c>
      <c r="X117" s="10">
        <f t="shared" si="7"/>
        <v>762588</v>
      </c>
      <c r="Y117" s="10"/>
      <c r="Z117" s="10"/>
      <c r="AA117" s="10"/>
      <c r="AB117" s="4" t="s">
        <v>539</v>
      </c>
      <c r="AC117" s="4" t="s">
        <v>535</v>
      </c>
      <c r="AD117" s="4">
        <v>42692.0</v>
      </c>
      <c r="AE117" s="4">
        <v>2016.0</v>
      </c>
      <c r="AF117" s="4" t="s">
        <v>536</v>
      </c>
      <c r="AG117" s="4" t="s">
        <v>537</v>
      </c>
      <c r="AH117" s="4" t="s">
        <v>31</v>
      </c>
      <c r="AI117" s="4" t="s">
        <v>32</v>
      </c>
      <c r="AJ117" s="4" t="s">
        <v>33</v>
      </c>
      <c r="AK117" s="4" t="s">
        <v>53</v>
      </c>
      <c r="AL117" s="4" t="s">
        <v>538</v>
      </c>
      <c r="AM117" s="4" t="s">
        <v>36</v>
      </c>
      <c r="AN117" s="4" t="s">
        <v>37</v>
      </c>
      <c r="AO117" s="4" t="s">
        <v>38</v>
      </c>
      <c r="AP117" s="4">
        <v>42694.0</v>
      </c>
      <c r="AQ117" s="4">
        <v>33900.0</v>
      </c>
      <c r="AR117" s="4">
        <v>53700.0</v>
      </c>
      <c r="AS117" s="4">
        <v>19800.0</v>
      </c>
      <c r="AT117" s="4">
        <v>46.0</v>
      </c>
      <c r="AU117" s="4">
        <v>2470200.0</v>
      </c>
      <c r="AV117" s="4">
        <v>0.06</v>
      </c>
      <c r="AW117" s="4">
        <v>148212.0</v>
      </c>
      <c r="AX117" s="4">
        <v>2321988.0</v>
      </c>
      <c r="AY117" s="4">
        <v>1559400.0</v>
      </c>
      <c r="AZ117" s="4">
        <v>762588.0</v>
      </c>
    </row>
    <row r="118" ht="15.75" customHeight="1">
      <c r="A118" s="3" t="s">
        <v>540</v>
      </c>
      <c r="B118" s="5">
        <v>42693.0</v>
      </c>
      <c r="C118" s="6">
        <f t="shared" si="1"/>
        <v>2016</v>
      </c>
      <c r="D118" s="7" t="s">
        <v>541</v>
      </c>
      <c r="E118" s="7" t="s">
        <v>542</v>
      </c>
      <c r="F118" s="7" t="s">
        <v>31</v>
      </c>
      <c r="G118" s="5" t="s">
        <v>32</v>
      </c>
      <c r="H118" s="7" t="s">
        <v>33</v>
      </c>
      <c r="I118" s="7" t="s">
        <v>34</v>
      </c>
      <c r="J118" s="7" t="s">
        <v>543</v>
      </c>
      <c r="K118" s="7" t="s">
        <v>36</v>
      </c>
      <c r="L118" s="7" t="s">
        <v>127</v>
      </c>
      <c r="M118" s="7" t="s">
        <v>38</v>
      </c>
      <c r="N118" s="5">
        <v>42695.0</v>
      </c>
      <c r="O118" s="8">
        <v>21900.0</v>
      </c>
      <c r="P118" s="8">
        <v>53550.0</v>
      </c>
      <c r="Q118" s="8">
        <f t="shared" si="2"/>
        <v>31650</v>
      </c>
      <c r="R118" s="8">
        <v>23.0</v>
      </c>
      <c r="S118" s="8">
        <f t="shared" si="3"/>
        <v>1231650</v>
      </c>
      <c r="T118" s="9">
        <v>0.09</v>
      </c>
      <c r="U118" s="8">
        <f t="shared" si="4"/>
        <v>110848.5</v>
      </c>
      <c r="V118" s="8">
        <f t="shared" si="5"/>
        <v>1120801.5</v>
      </c>
      <c r="W118" s="10">
        <f t="shared" si="6"/>
        <v>503700</v>
      </c>
      <c r="X118" s="10">
        <f t="shared" si="7"/>
        <v>617101.5</v>
      </c>
      <c r="Y118" s="10"/>
      <c r="Z118" s="10"/>
      <c r="AA118" s="10"/>
      <c r="AB118" s="4" t="s">
        <v>544</v>
      </c>
      <c r="AC118" s="4" t="s">
        <v>540</v>
      </c>
      <c r="AD118" s="4">
        <v>42693.0</v>
      </c>
      <c r="AE118" s="4">
        <v>2016.0</v>
      </c>
      <c r="AF118" s="4" t="s">
        <v>541</v>
      </c>
      <c r="AG118" s="4" t="s">
        <v>542</v>
      </c>
      <c r="AH118" s="4" t="s">
        <v>31</v>
      </c>
      <c r="AI118" s="4" t="s">
        <v>32</v>
      </c>
      <c r="AJ118" s="4" t="s">
        <v>33</v>
      </c>
      <c r="AK118" s="4" t="s">
        <v>34</v>
      </c>
      <c r="AL118" s="4" t="s">
        <v>543</v>
      </c>
      <c r="AM118" s="4" t="s">
        <v>36</v>
      </c>
      <c r="AN118" s="4" t="s">
        <v>127</v>
      </c>
      <c r="AO118" s="4" t="s">
        <v>38</v>
      </c>
      <c r="AP118" s="4">
        <v>42695.0</v>
      </c>
      <c r="AQ118" s="4">
        <v>21900.0</v>
      </c>
      <c r="AR118" s="4">
        <v>53550.0</v>
      </c>
      <c r="AS118" s="4">
        <v>31650.0</v>
      </c>
      <c r="AT118" s="4">
        <v>23.0</v>
      </c>
      <c r="AU118" s="4">
        <v>1231650.0</v>
      </c>
      <c r="AV118" s="4">
        <v>0.09</v>
      </c>
      <c r="AW118" s="4">
        <v>110848.5</v>
      </c>
      <c r="AX118" s="4">
        <v>1120801.5</v>
      </c>
      <c r="AY118" s="4">
        <v>503700.0</v>
      </c>
      <c r="AZ118" s="4">
        <v>617101.5</v>
      </c>
    </row>
    <row r="119" ht="15.75" customHeight="1">
      <c r="A119" s="3" t="s">
        <v>545</v>
      </c>
      <c r="B119" s="5">
        <v>42694.0</v>
      </c>
      <c r="C119" s="6">
        <f t="shared" si="1"/>
        <v>2016</v>
      </c>
      <c r="D119" s="7" t="s">
        <v>546</v>
      </c>
      <c r="E119" s="7" t="s">
        <v>228</v>
      </c>
      <c r="F119" s="7" t="s">
        <v>50</v>
      </c>
      <c r="G119" s="5" t="s">
        <v>32</v>
      </c>
      <c r="H119" s="7" t="s">
        <v>140</v>
      </c>
      <c r="I119" s="7" t="s">
        <v>92</v>
      </c>
      <c r="J119" s="7" t="s">
        <v>490</v>
      </c>
      <c r="K119" s="7" t="s">
        <v>61</v>
      </c>
      <c r="L119" s="7" t="s">
        <v>37</v>
      </c>
      <c r="M119" s="7" t="s">
        <v>55</v>
      </c>
      <c r="N119" s="5">
        <v>42695.0</v>
      </c>
      <c r="O119" s="8">
        <v>97650.0</v>
      </c>
      <c r="P119" s="8">
        <v>464700.0</v>
      </c>
      <c r="Q119" s="8">
        <f t="shared" si="2"/>
        <v>367050</v>
      </c>
      <c r="R119" s="8">
        <v>44.0</v>
      </c>
      <c r="S119" s="8">
        <f t="shared" si="3"/>
        <v>20446800</v>
      </c>
      <c r="T119" s="9">
        <v>0.02</v>
      </c>
      <c r="U119" s="8">
        <f t="shared" si="4"/>
        <v>408936</v>
      </c>
      <c r="V119" s="8">
        <f t="shared" si="5"/>
        <v>20037864</v>
      </c>
      <c r="W119" s="10">
        <f t="shared" si="6"/>
        <v>4296600</v>
      </c>
      <c r="X119" s="10">
        <f t="shared" si="7"/>
        <v>15741264</v>
      </c>
      <c r="Y119" s="10"/>
      <c r="Z119" s="10"/>
      <c r="AA119" s="10"/>
      <c r="AB119" s="4" t="s">
        <v>547</v>
      </c>
      <c r="AC119" s="4" t="s">
        <v>545</v>
      </c>
      <c r="AD119" s="4">
        <v>42694.0</v>
      </c>
      <c r="AE119" s="4">
        <v>2016.0</v>
      </c>
      <c r="AF119" s="4" t="s">
        <v>546</v>
      </c>
      <c r="AG119" s="4" t="s">
        <v>228</v>
      </c>
      <c r="AH119" s="4" t="s">
        <v>50</v>
      </c>
      <c r="AI119" s="4" t="s">
        <v>32</v>
      </c>
      <c r="AJ119" s="4" t="s">
        <v>140</v>
      </c>
      <c r="AK119" s="4" t="s">
        <v>92</v>
      </c>
      <c r="AL119" s="4" t="s">
        <v>490</v>
      </c>
      <c r="AM119" s="4" t="s">
        <v>61</v>
      </c>
      <c r="AN119" s="4" t="s">
        <v>37</v>
      </c>
      <c r="AO119" s="4" t="s">
        <v>55</v>
      </c>
      <c r="AP119" s="4">
        <v>42695.0</v>
      </c>
      <c r="AQ119" s="4">
        <v>97650.0</v>
      </c>
      <c r="AR119" s="4">
        <v>464700.0</v>
      </c>
      <c r="AS119" s="4">
        <v>367050.0</v>
      </c>
      <c r="AT119" s="4">
        <v>44.0</v>
      </c>
      <c r="AU119" s="4">
        <v>2.04468E7</v>
      </c>
      <c r="AV119" s="4">
        <v>0.02</v>
      </c>
      <c r="AW119" s="4">
        <v>408936.0</v>
      </c>
      <c r="AX119" s="4">
        <v>2.0037864E7</v>
      </c>
      <c r="AY119" s="4">
        <v>4296600.0</v>
      </c>
      <c r="AZ119" s="4">
        <v>1.5741264E7</v>
      </c>
    </row>
    <row r="120" ht="15.75" customHeight="1">
      <c r="A120" s="3" t="s">
        <v>548</v>
      </c>
      <c r="B120" s="5">
        <v>42695.0</v>
      </c>
      <c r="C120" s="6">
        <f t="shared" si="1"/>
        <v>2016</v>
      </c>
      <c r="D120" s="7" t="s">
        <v>549</v>
      </c>
      <c r="E120" s="7" t="s">
        <v>550</v>
      </c>
      <c r="F120" s="7" t="s">
        <v>50</v>
      </c>
      <c r="G120" s="5" t="s">
        <v>32</v>
      </c>
      <c r="H120" s="7" t="s">
        <v>151</v>
      </c>
      <c r="I120" s="7" t="s">
        <v>92</v>
      </c>
      <c r="J120" s="7" t="s">
        <v>551</v>
      </c>
      <c r="K120" s="7" t="s">
        <v>36</v>
      </c>
      <c r="L120" s="7" t="s">
        <v>37</v>
      </c>
      <c r="M120" s="7" t="s">
        <v>38</v>
      </c>
      <c r="N120" s="5">
        <v>42696.0</v>
      </c>
      <c r="O120" s="8">
        <v>275700.0</v>
      </c>
      <c r="P120" s="8">
        <v>437550.0</v>
      </c>
      <c r="Q120" s="8">
        <f t="shared" si="2"/>
        <v>161850</v>
      </c>
      <c r="R120" s="8">
        <v>8.0</v>
      </c>
      <c r="S120" s="8">
        <f t="shared" si="3"/>
        <v>3500400</v>
      </c>
      <c r="T120" s="9">
        <v>0.02</v>
      </c>
      <c r="U120" s="8">
        <f t="shared" si="4"/>
        <v>70008</v>
      </c>
      <c r="V120" s="8">
        <f t="shared" si="5"/>
        <v>3430392</v>
      </c>
      <c r="W120" s="10">
        <f t="shared" si="6"/>
        <v>2205600</v>
      </c>
      <c r="X120" s="10">
        <f t="shared" si="7"/>
        <v>1224792</v>
      </c>
      <c r="Y120" s="10"/>
      <c r="Z120" s="10"/>
      <c r="AA120" s="10"/>
      <c r="AB120" s="4" t="s">
        <v>552</v>
      </c>
      <c r="AC120" s="4" t="s">
        <v>548</v>
      </c>
      <c r="AD120" s="4">
        <v>42695.0</v>
      </c>
      <c r="AE120" s="4">
        <v>2016.0</v>
      </c>
      <c r="AF120" s="4" t="s">
        <v>549</v>
      </c>
      <c r="AG120" s="4" t="s">
        <v>550</v>
      </c>
      <c r="AH120" s="4" t="s">
        <v>50</v>
      </c>
      <c r="AI120" s="4" t="s">
        <v>32</v>
      </c>
      <c r="AJ120" s="4" t="s">
        <v>151</v>
      </c>
      <c r="AK120" s="4" t="s">
        <v>92</v>
      </c>
      <c r="AL120" s="4" t="s">
        <v>551</v>
      </c>
      <c r="AM120" s="4" t="s">
        <v>36</v>
      </c>
      <c r="AN120" s="4" t="s">
        <v>37</v>
      </c>
      <c r="AO120" s="4" t="s">
        <v>38</v>
      </c>
      <c r="AP120" s="4">
        <v>42696.0</v>
      </c>
      <c r="AQ120" s="4">
        <v>275700.0</v>
      </c>
      <c r="AR120" s="4">
        <v>437550.0</v>
      </c>
      <c r="AS120" s="4">
        <v>161850.0</v>
      </c>
      <c r="AT120" s="4">
        <v>8.0</v>
      </c>
      <c r="AU120" s="4">
        <v>3500400.0</v>
      </c>
      <c r="AV120" s="4">
        <v>0.02</v>
      </c>
      <c r="AW120" s="4">
        <v>70008.0</v>
      </c>
      <c r="AX120" s="4">
        <v>3430392.0</v>
      </c>
      <c r="AY120" s="4">
        <v>2205600.0</v>
      </c>
      <c r="AZ120" s="4">
        <v>1224792.0</v>
      </c>
    </row>
    <row r="121" ht="15.75" customHeight="1">
      <c r="A121" s="3" t="s">
        <v>553</v>
      </c>
      <c r="B121" s="5">
        <v>42695.0</v>
      </c>
      <c r="C121" s="6">
        <f t="shared" si="1"/>
        <v>2016</v>
      </c>
      <c r="D121" s="7" t="s">
        <v>554</v>
      </c>
      <c r="E121" s="7" t="s">
        <v>194</v>
      </c>
      <c r="F121" s="7" t="s">
        <v>31</v>
      </c>
      <c r="G121" s="5" t="s">
        <v>91</v>
      </c>
      <c r="H121" s="7" t="s">
        <v>33</v>
      </c>
      <c r="I121" s="7" t="s">
        <v>74</v>
      </c>
      <c r="J121" s="7" t="s">
        <v>484</v>
      </c>
      <c r="K121" s="7" t="s">
        <v>61</v>
      </c>
      <c r="L121" s="7" t="s">
        <v>555</v>
      </c>
      <c r="M121" s="7" t="s">
        <v>38</v>
      </c>
      <c r="N121" s="5">
        <v>42699.0</v>
      </c>
      <c r="O121" s="8">
        <v>3240000.0</v>
      </c>
      <c r="P121" s="8">
        <v>6749850.0</v>
      </c>
      <c r="Q121" s="8">
        <f t="shared" si="2"/>
        <v>3509850</v>
      </c>
      <c r="R121" s="8">
        <v>40.0</v>
      </c>
      <c r="S121" s="8">
        <f t="shared" si="3"/>
        <v>269994000</v>
      </c>
      <c r="T121" s="9">
        <v>0.04</v>
      </c>
      <c r="U121" s="8">
        <f t="shared" si="4"/>
        <v>10799760</v>
      </c>
      <c r="V121" s="8">
        <f t="shared" si="5"/>
        <v>259194240</v>
      </c>
      <c r="W121" s="10">
        <f t="shared" si="6"/>
        <v>129600000</v>
      </c>
      <c r="X121" s="10">
        <f t="shared" si="7"/>
        <v>129594240</v>
      </c>
      <c r="Y121" s="10"/>
      <c r="Z121" s="10"/>
      <c r="AA121" s="10"/>
      <c r="AB121" s="4" t="s">
        <v>556</v>
      </c>
      <c r="AC121" s="4" t="s">
        <v>553</v>
      </c>
      <c r="AD121" s="4">
        <v>42695.0</v>
      </c>
      <c r="AE121" s="4">
        <v>2016.0</v>
      </c>
      <c r="AF121" s="4" t="s">
        <v>554</v>
      </c>
      <c r="AG121" s="4" t="s">
        <v>194</v>
      </c>
      <c r="AH121" s="4" t="s">
        <v>31</v>
      </c>
      <c r="AI121" s="4" t="s">
        <v>91</v>
      </c>
      <c r="AJ121" s="4" t="s">
        <v>33</v>
      </c>
      <c r="AK121" s="4" t="s">
        <v>74</v>
      </c>
      <c r="AL121" s="4" t="s">
        <v>484</v>
      </c>
      <c r="AM121" s="4" t="s">
        <v>61</v>
      </c>
      <c r="AN121" s="4" t="s">
        <v>555</v>
      </c>
      <c r="AO121" s="4" t="s">
        <v>38</v>
      </c>
      <c r="AP121" s="4">
        <v>42699.0</v>
      </c>
      <c r="AQ121" s="4">
        <v>3240000.0</v>
      </c>
      <c r="AR121" s="4">
        <v>6749850.0</v>
      </c>
      <c r="AS121" s="4">
        <v>3509850.0</v>
      </c>
      <c r="AT121" s="4">
        <v>40.0</v>
      </c>
      <c r="AU121" s="4">
        <v>2.69994E8</v>
      </c>
      <c r="AV121" s="4">
        <v>0.04</v>
      </c>
      <c r="AW121" s="4">
        <v>1.079976E7</v>
      </c>
      <c r="AX121" s="4">
        <v>2.5919424E8</v>
      </c>
      <c r="AY121" s="4">
        <v>1.296E8</v>
      </c>
      <c r="AZ121" s="4">
        <v>1.2959424E8</v>
      </c>
    </row>
    <row r="122" ht="15.75" customHeight="1">
      <c r="A122" s="3" t="s">
        <v>557</v>
      </c>
      <c r="B122" s="5">
        <v>42695.0</v>
      </c>
      <c r="C122" s="6">
        <f t="shared" si="1"/>
        <v>2016</v>
      </c>
      <c r="D122" s="7" t="s">
        <v>558</v>
      </c>
      <c r="E122" s="7" t="s">
        <v>559</v>
      </c>
      <c r="F122" s="7" t="s">
        <v>50</v>
      </c>
      <c r="G122" s="5" t="s">
        <v>51</v>
      </c>
      <c r="H122" s="7" t="s">
        <v>98</v>
      </c>
      <c r="I122" s="7" t="s">
        <v>74</v>
      </c>
      <c r="J122" s="7" t="s">
        <v>60</v>
      </c>
      <c r="K122" s="7" t="s">
        <v>61</v>
      </c>
      <c r="L122" s="7" t="s">
        <v>62</v>
      </c>
      <c r="M122" s="7" t="s">
        <v>63</v>
      </c>
      <c r="N122" s="5">
        <v>42702.0</v>
      </c>
      <c r="O122" s="8">
        <v>1125000.0</v>
      </c>
      <c r="P122" s="8">
        <v>1814550.0</v>
      </c>
      <c r="Q122" s="8">
        <f t="shared" si="2"/>
        <v>689550</v>
      </c>
      <c r="R122" s="8">
        <v>35.0</v>
      </c>
      <c r="S122" s="8">
        <f t="shared" si="3"/>
        <v>63509250</v>
      </c>
      <c r="T122" s="9">
        <v>0.08</v>
      </c>
      <c r="U122" s="8">
        <f t="shared" si="4"/>
        <v>5080740</v>
      </c>
      <c r="V122" s="8">
        <f t="shared" si="5"/>
        <v>58428510</v>
      </c>
      <c r="W122" s="10">
        <f t="shared" si="6"/>
        <v>39375000</v>
      </c>
      <c r="X122" s="10">
        <f t="shared" si="7"/>
        <v>19053510</v>
      </c>
      <c r="Y122" s="10"/>
      <c r="Z122" s="10"/>
      <c r="AA122" s="10"/>
      <c r="AB122" s="4" t="s">
        <v>560</v>
      </c>
      <c r="AC122" s="4" t="s">
        <v>557</v>
      </c>
      <c r="AD122" s="4">
        <v>42695.0</v>
      </c>
      <c r="AE122" s="4">
        <v>2016.0</v>
      </c>
      <c r="AF122" s="4" t="s">
        <v>558</v>
      </c>
      <c r="AG122" s="4" t="s">
        <v>559</v>
      </c>
      <c r="AH122" s="4" t="s">
        <v>50</v>
      </c>
      <c r="AI122" s="4" t="s">
        <v>51</v>
      </c>
      <c r="AJ122" s="4" t="s">
        <v>98</v>
      </c>
      <c r="AK122" s="4" t="s">
        <v>74</v>
      </c>
      <c r="AL122" s="4" t="s">
        <v>60</v>
      </c>
      <c r="AM122" s="4" t="s">
        <v>61</v>
      </c>
      <c r="AN122" s="4" t="s">
        <v>62</v>
      </c>
      <c r="AO122" s="4" t="s">
        <v>63</v>
      </c>
      <c r="AP122" s="4">
        <v>42702.0</v>
      </c>
      <c r="AQ122" s="4">
        <v>1125000.0</v>
      </c>
      <c r="AR122" s="4">
        <v>1814550.0</v>
      </c>
      <c r="AS122" s="4">
        <v>689550.0</v>
      </c>
      <c r="AT122" s="4">
        <v>35.0</v>
      </c>
      <c r="AU122" s="4">
        <v>6.350925E7</v>
      </c>
      <c r="AV122" s="4">
        <v>0.08</v>
      </c>
      <c r="AW122" s="4">
        <v>5080740.0</v>
      </c>
      <c r="AX122" s="4">
        <v>5.842851E7</v>
      </c>
      <c r="AY122" s="4">
        <v>3.9375E7</v>
      </c>
      <c r="AZ122" s="4">
        <v>1.905351E7</v>
      </c>
    </row>
    <row r="123" ht="15.75" customHeight="1">
      <c r="A123" s="3" t="s">
        <v>561</v>
      </c>
      <c r="B123" s="5">
        <v>42696.0</v>
      </c>
      <c r="C123" s="6">
        <f t="shared" si="1"/>
        <v>2016</v>
      </c>
      <c r="D123" s="7" t="s">
        <v>562</v>
      </c>
      <c r="E123" s="7" t="s">
        <v>384</v>
      </c>
      <c r="F123" s="7" t="s">
        <v>31</v>
      </c>
      <c r="G123" s="5" t="s">
        <v>68</v>
      </c>
      <c r="H123" s="7" t="s">
        <v>43</v>
      </c>
      <c r="I123" s="7" t="s">
        <v>34</v>
      </c>
      <c r="J123" s="7" t="s">
        <v>563</v>
      </c>
      <c r="K123" s="7" t="s">
        <v>36</v>
      </c>
      <c r="L123" s="7" t="s">
        <v>37</v>
      </c>
      <c r="M123" s="7" t="s">
        <v>38</v>
      </c>
      <c r="N123" s="5">
        <v>42698.0</v>
      </c>
      <c r="O123" s="8">
        <v>52500.0</v>
      </c>
      <c r="P123" s="8">
        <v>86100.0</v>
      </c>
      <c r="Q123" s="8">
        <f t="shared" si="2"/>
        <v>33600</v>
      </c>
      <c r="R123" s="8">
        <v>50.0</v>
      </c>
      <c r="S123" s="8">
        <f t="shared" si="3"/>
        <v>4305000</v>
      </c>
      <c r="T123" s="9">
        <v>0.1</v>
      </c>
      <c r="U123" s="8">
        <f t="shared" si="4"/>
        <v>430500</v>
      </c>
      <c r="V123" s="8">
        <f t="shared" si="5"/>
        <v>3874500</v>
      </c>
      <c r="W123" s="10">
        <f t="shared" si="6"/>
        <v>2625000</v>
      </c>
      <c r="X123" s="10">
        <f t="shared" si="7"/>
        <v>1249500</v>
      </c>
      <c r="Y123" s="10"/>
      <c r="Z123" s="10"/>
      <c r="AA123" s="10"/>
      <c r="AB123" s="4" t="s">
        <v>564</v>
      </c>
      <c r="AC123" s="4" t="s">
        <v>561</v>
      </c>
      <c r="AD123" s="4">
        <v>42696.0</v>
      </c>
      <c r="AE123" s="4">
        <v>2016.0</v>
      </c>
      <c r="AF123" s="4" t="s">
        <v>562</v>
      </c>
      <c r="AG123" s="4" t="s">
        <v>384</v>
      </c>
      <c r="AH123" s="4" t="s">
        <v>31</v>
      </c>
      <c r="AI123" s="4" t="s">
        <v>68</v>
      </c>
      <c r="AJ123" s="4" t="s">
        <v>43</v>
      </c>
      <c r="AK123" s="4" t="s">
        <v>34</v>
      </c>
      <c r="AL123" s="4" t="s">
        <v>563</v>
      </c>
      <c r="AM123" s="4" t="s">
        <v>36</v>
      </c>
      <c r="AN123" s="4" t="s">
        <v>37</v>
      </c>
      <c r="AO123" s="4" t="s">
        <v>38</v>
      </c>
      <c r="AP123" s="4">
        <v>42698.0</v>
      </c>
      <c r="AQ123" s="4">
        <v>52500.0</v>
      </c>
      <c r="AR123" s="4">
        <v>86100.0</v>
      </c>
      <c r="AS123" s="4">
        <v>33600.0</v>
      </c>
      <c r="AT123" s="4">
        <v>50.0</v>
      </c>
      <c r="AU123" s="4">
        <v>4305000.0</v>
      </c>
      <c r="AV123" s="4">
        <v>0.1</v>
      </c>
      <c r="AW123" s="4">
        <v>430500.0</v>
      </c>
      <c r="AX123" s="4">
        <v>3874500.0</v>
      </c>
      <c r="AY123" s="4">
        <v>2625000.0</v>
      </c>
      <c r="AZ123" s="4">
        <v>1249500.0</v>
      </c>
    </row>
    <row r="124" ht="15.75" customHeight="1">
      <c r="A124" s="3" t="s">
        <v>565</v>
      </c>
      <c r="B124" s="5">
        <v>42697.0</v>
      </c>
      <c r="C124" s="6">
        <f t="shared" si="1"/>
        <v>2016</v>
      </c>
      <c r="D124" s="7" t="s">
        <v>566</v>
      </c>
      <c r="E124" s="7" t="s">
        <v>509</v>
      </c>
      <c r="F124" s="7" t="s">
        <v>31</v>
      </c>
      <c r="G124" s="5" t="s">
        <v>51</v>
      </c>
      <c r="H124" s="7" t="s">
        <v>33</v>
      </c>
      <c r="I124" s="7" t="s">
        <v>74</v>
      </c>
      <c r="J124" s="7" t="s">
        <v>567</v>
      </c>
      <c r="K124" s="7" t="s">
        <v>36</v>
      </c>
      <c r="L124" s="7" t="s">
        <v>45</v>
      </c>
      <c r="M124" s="7" t="s">
        <v>38</v>
      </c>
      <c r="N124" s="5">
        <v>42699.0</v>
      </c>
      <c r="O124" s="8">
        <v>13950.0</v>
      </c>
      <c r="P124" s="8">
        <v>22200.0</v>
      </c>
      <c r="Q124" s="8">
        <f t="shared" si="2"/>
        <v>8250</v>
      </c>
      <c r="R124" s="8">
        <v>19.0</v>
      </c>
      <c r="S124" s="8">
        <f t="shared" si="3"/>
        <v>421800</v>
      </c>
      <c r="T124" s="9">
        <v>0.09</v>
      </c>
      <c r="U124" s="8">
        <f t="shared" si="4"/>
        <v>37962</v>
      </c>
      <c r="V124" s="8">
        <f t="shared" si="5"/>
        <v>383838</v>
      </c>
      <c r="W124" s="10">
        <f t="shared" si="6"/>
        <v>265050</v>
      </c>
      <c r="X124" s="10">
        <f t="shared" si="7"/>
        <v>118788</v>
      </c>
      <c r="Y124" s="10"/>
      <c r="Z124" s="10"/>
      <c r="AA124" s="10"/>
      <c r="AB124" s="4" t="s">
        <v>568</v>
      </c>
      <c r="AC124" s="4" t="s">
        <v>565</v>
      </c>
      <c r="AD124" s="4">
        <v>42697.0</v>
      </c>
      <c r="AE124" s="4">
        <v>2016.0</v>
      </c>
      <c r="AF124" s="4" t="s">
        <v>566</v>
      </c>
      <c r="AG124" s="4" t="s">
        <v>509</v>
      </c>
      <c r="AH124" s="4" t="s">
        <v>31</v>
      </c>
      <c r="AI124" s="4" t="s">
        <v>51</v>
      </c>
      <c r="AJ124" s="4" t="s">
        <v>33</v>
      </c>
      <c r="AK124" s="4" t="s">
        <v>74</v>
      </c>
      <c r="AL124" s="4" t="s">
        <v>567</v>
      </c>
      <c r="AM124" s="4" t="s">
        <v>36</v>
      </c>
      <c r="AN124" s="4" t="s">
        <v>45</v>
      </c>
      <c r="AO124" s="4" t="s">
        <v>38</v>
      </c>
      <c r="AP124" s="4">
        <v>42699.0</v>
      </c>
      <c r="AQ124" s="4">
        <v>13950.0</v>
      </c>
      <c r="AR124" s="4">
        <v>22200.0</v>
      </c>
      <c r="AS124" s="4">
        <v>8250.0</v>
      </c>
      <c r="AT124" s="4">
        <v>19.0</v>
      </c>
      <c r="AU124" s="4">
        <v>421800.0</v>
      </c>
      <c r="AV124" s="4">
        <v>0.09</v>
      </c>
      <c r="AW124" s="4">
        <v>37962.0</v>
      </c>
      <c r="AX124" s="4">
        <v>383838.0</v>
      </c>
      <c r="AY124" s="4">
        <v>265050.0</v>
      </c>
      <c r="AZ124" s="4">
        <v>118788.0</v>
      </c>
    </row>
    <row r="125" ht="15.75" customHeight="1">
      <c r="A125" s="3" t="s">
        <v>569</v>
      </c>
      <c r="B125" s="5">
        <v>42698.0</v>
      </c>
      <c r="C125" s="6">
        <f t="shared" si="1"/>
        <v>2016</v>
      </c>
      <c r="D125" s="7" t="s">
        <v>570</v>
      </c>
      <c r="E125" s="7" t="s">
        <v>134</v>
      </c>
      <c r="F125" s="7" t="s">
        <v>50</v>
      </c>
      <c r="G125" s="5" t="s">
        <v>91</v>
      </c>
      <c r="H125" s="7" t="s">
        <v>98</v>
      </c>
      <c r="I125" s="7" t="s">
        <v>34</v>
      </c>
      <c r="J125" s="7" t="s">
        <v>571</v>
      </c>
      <c r="K125" s="7" t="s">
        <v>36</v>
      </c>
      <c r="L125" s="7" t="s">
        <v>37</v>
      </c>
      <c r="M125" s="7" t="s">
        <v>55</v>
      </c>
      <c r="N125" s="5">
        <v>42700.0</v>
      </c>
      <c r="O125" s="8">
        <v>1015950.0000000001</v>
      </c>
      <c r="P125" s="8">
        <v>2478000.0</v>
      </c>
      <c r="Q125" s="8">
        <f t="shared" si="2"/>
        <v>1462050</v>
      </c>
      <c r="R125" s="8">
        <v>37.0</v>
      </c>
      <c r="S125" s="8">
        <f t="shared" si="3"/>
        <v>91686000</v>
      </c>
      <c r="T125" s="9">
        <v>0.04</v>
      </c>
      <c r="U125" s="8">
        <f t="shared" si="4"/>
        <v>3667440</v>
      </c>
      <c r="V125" s="8">
        <f t="shared" si="5"/>
        <v>88018560</v>
      </c>
      <c r="W125" s="10">
        <f t="shared" si="6"/>
        <v>37590150</v>
      </c>
      <c r="X125" s="10">
        <f t="shared" si="7"/>
        <v>50428410</v>
      </c>
      <c r="Y125" s="10"/>
      <c r="Z125" s="10"/>
      <c r="AA125" s="10"/>
      <c r="AB125" s="4" t="s">
        <v>572</v>
      </c>
      <c r="AC125" s="4" t="s">
        <v>569</v>
      </c>
      <c r="AD125" s="4">
        <v>42698.0</v>
      </c>
      <c r="AE125" s="4">
        <v>2016.0</v>
      </c>
      <c r="AF125" s="4" t="s">
        <v>570</v>
      </c>
      <c r="AG125" s="4" t="s">
        <v>134</v>
      </c>
      <c r="AH125" s="4" t="s">
        <v>50</v>
      </c>
      <c r="AI125" s="4" t="s">
        <v>91</v>
      </c>
      <c r="AJ125" s="4" t="s">
        <v>98</v>
      </c>
      <c r="AK125" s="4" t="s">
        <v>34</v>
      </c>
      <c r="AL125" s="4" t="s">
        <v>571</v>
      </c>
      <c r="AM125" s="4" t="s">
        <v>36</v>
      </c>
      <c r="AN125" s="4" t="s">
        <v>37</v>
      </c>
      <c r="AO125" s="4" t="s">
        <v>55</v>
      </c>
      <c r="AP125" s="4">
        <v>42700.0</v>
      </c>
      <c r="AQ125" s="4">
        <v>1015950.0</v>
      </c>
      <c r="AR125" s="4">
        <v>2478000.0</v>
      </c>
      <c r="AS125" s="4">
        <v>1462050.0</v>
      </c>
      <c r="AT125" s="4">
        <v>37.0</v>
      </c>
      <c r="AU125" s="4">
        <v>9.1686E7</v>
      </c>
      <c r="AV125" s="4">
        <v>0.04</v>
      </c>
      <c r="AW125" s="4">
        <v>3667440.0</v>
      </c>
      <c r="AX125" s="4">
        <v>8.801856E7</v>
      </c>
      <c r="AY125" s="4">
        <v>3.759015E7</v>
      </c>
      <c r="AZ125" s="4">
        <v>5.042841E7</v>
      </c>
    </row>
    <row r="126" ht="15.75" customHeight="1">
      <c r="A126" s="3" t="s">
        <v>573</v>
      </c>
      <c r="B126" s="5">
        <v>42700.0</v>
      </c>
      <c r="C126" s="6">
        <f t="shared" si="1"/>
        <v>2016</v>
      </c>
      <c r="D126" s="7" t="s">
        <v>163</v>
      </c>
      <c r="E126" s="7" t="s">
        <v>164</v>
      </c>
      <c r="F126" s="7" t="s">
        <v>50</v>
      </c>
      <c r="G126" s="5" t="s">
        <v>51</v>
      </c>
      <c r="H126" s="7" t="s">
        <v>69</v>
      </c>
      <c r="I126" s="7" t="s">
        <v>74</v>
      </c>
      <c r="J126" s="7" t="s">
        <v>574</v>
      </c>
      <c r="K126" s="7" t="s">
        <v>36</v>
      </c>
      <c r="L126" s="7" t="s">
        <v>37</v>
      </c>
      <c r="M126" s="7" t="s">
        <v>38</v>
      </c>
      <c r="N126" s="5">
        <v>42709.0</v>
      </c>
      <c r="O126" s="8">
        <v>32700.000000000004</v>
      </c>
      <c r="P126" s="8">
        <v>52800.0</v>
      </c>
      <c r="Q126" s="8">
        <f t="shared" si="2"/>
        <v>20100</v>
      </c>
      <c r="R126" s="8">
        <v>12.0</v>
      </c>
      <c r="S126" s="8">
        <f t="shared" si="3"/>
        <v>633600</v>
      </c>
      <c r="T126" s="9">
        <v>0.04</v>
      </c>
      <c r="U126" s="8">
        <f t="shared" si="4"/>
        <v>25344</v>
      </c>
      <c r="V126" s="8">
        <f t="shared" si="5"/>
        <v>608256</v>
      </c>
      <c r="W126" s="10">
        <f t="shared" si="6"/>
        <v>392400</v>
      </c>
      <c r="X126" s="10">
        <f t="shared" si="7"/>
        <v>215856</v>
      </c>
      <c r="Y126" s="10"/>
      <c r="Z126" s="10"/>
      <c r="AA126" s="10"/>
      <c r="AB126" s="4" t="s">
        <v>575</v>
      </c>
      <c r="AC126" s="4" t="s">
        <v>573</v>
      </c>
      <c r="AD126" s="4">
        <v>42700.0</v>
      </c>
      <c r="AE126" s="4">
        <v>2016.0</v>
      </c>
      <c r="AF126" s="4" t="s">
        <v>163</v>
      </c>
      <c r="AG126" s="4" t="s">
        <v>164</v>
      </c>
      <c r="AH126" s="4" t="s">
        <v>50</v>
      </c>
      <c r="AI126" s="4" t="s">
        <v>51</v>
      </c>
      <c r="AJ126" s="4" t="s">
        <v>69</v>
      </c>
      <c r="AK126" s="4" t="s">
        <v>74</v>
      </c>
      <c r="AL126" s="4" t="s">
        <v>574</v>
      </c>
      <c r="AM126" s="4" t="s">
        <v>36</v>
      </c>
      <c r="AN126" s="4" t="s">
        <v>37</v>
      </c>
      <c r="AO126" s="4" t="s">
        <v>38</v>
      </c>
      <c r="AP126" s="4">
        <v>42709.0</v>
      </c>
      <c r="AQ126" s="4">
        <v>32700.0</v>
      </c>
      <c r="AR126" s="4">
        <v>52800.0</v>
      </c>
      <c r="AS126" s="4">
        <v>20100.0</v>
      </c>
      <c r="AT126" s="4">
        <v>12.0</v>
      </c>
      <c r="AU126" s="4">
        <v>633600.0</v>
      </c>
      <c r="AV126" s="4">
        <v>0.04</v>
      </c>
      <c r="AW126" s="4">
        <v>25344.0</v>
      </c>
      <c r="AX126" s="4">
        <v>608256.0</v>
      </c>
      <c r="AY126" s="4">
        <v>392400.0</v>
      </c>
      <c r="AZ126" s="4">
        <v>215856.0</v>
      </c>
    </row>
    <row r="127" ht="15.75" customHeight="1">
      <c r="A127" s="3" t="s">
        <v>576</v>
      </c>
      <c r="B127" s="5">
        <v>42701.0</v>
      </c>
      <c r="C127" s="6">
        <f t="shared" si="1"/>
        <v>2016</v>
      </c>
      <c r="D127" s="7" t="s">
        <v>558</v>
      </c>
      <c r="E127" s="7" t="s">
        <v>559</v>
      </c>
      <c r="F127" s="7" t="s">
        <v>50</v>
      </c>
      <c r="G127" s="5" t="s">
        <v>51</v>
      </c>
      <c r="H127" s="7" t="s">
        <v>98</v>
      </c>
      <c r="I127" s="7" t="s">
        <v>34</v>
      </c>
      <c r="J127" s="7" t="s">
        <v>462</v>
      </c>
      <c r="K127" s="7" t="s">
        <v>36</v>
      </c>
      <c r="L127" s="7" t="s">
        <v>45</v>
      </c>
      <c r="M127" s="7" t="s">
        <v>55</v>
      </c>
      <c r="N127" s="5">
        <v>42702.0</v>
      </c>
      <c r="O127" s="8">
        <v>19650.0</v>
      </c>
      <c r="P127" s="8">
        <v>42600.0</v>
      </c>
      <c r="Q127" s="8">
        <f t="shared" si="2"/>
        <v>22950</v>
      </c>
      <c r="R127" s="8">
        <v>13.0</v>
      </c>
      <c r="S127" s="8">
        <f t="shared" si="3"/>
        <v>553800</v>
      </c>
      <c r="T127" s="9">
        <v>0.01</v>
      </c>
      <c r="U127" s="8">
        <f t="shared" si="4"/>
        <v>5538</v>
      </c>
      <c r="V127" s="8">
        <f t="shared" si="5"/>
        <v>548262</v>
      </c>
      <c r="W127" s="10">
        <f t="shared" si="6"/>
        <v>255450</v>
      </c>
      <c r="X127" s="10">
        <f t="shared" si="7"/>
        <v>292812</v>
      </c>
      <c r="Y127" s="10"/>
      <c r="Z127" s="10"/>
      <c r="AA127" s="10"/>
      <c r="AB127" s="4" t="s">
        <v>577</v>
      </c>
      <c r="AC127" s="4" t="s">
        <v>576</v>
      </c>
      <c r="AD127" s="4">
        <v>42701.0</v>
      </c>
      <c r="AE127" s="4">
        <v>2016.0</v>
      </c>
      <c r="AF127" s="4" t="s">
        <v>558</v>
      </c>
      <c r="AG127" s="4" t="s">
        <v>559</v>
      </c>
      <c r="AH127" s="4" t="s">
        <v>50</v>
      </c>
      <c r="AI127" s="4" t="s">
        <v>51</v>
      </c>
      <c r="AJ127" s="4" t="s">
        <v>98</v>
      </c>
      <c r="AK127" s="4" t="s">
        <v>34</v>
      </c>
      <c r="AL127" s="4" t="s">
        <v>462</v>
      </c>
      <c r="AM127" s="4" t="s">
        <v>36</v>
      </c>
      <c r="AN127" s="4" t="s">
        <v>45</v>
      </c>
      <c r="AO127" s="4" t="s">
        <v>55</v>
      </c>
      <c r="AP127" s="4">
        <v>42702.0</v>
      </c>
      <c r="AQ127" s="4">
        <v>19650.0</v>
      </c>
      <c r="AR127" s="4">
        <v>42600.0</v>
      </c>
      <c r="AS127" s="4">
        <v>22950.0</v>
      </c>
      <c r="AT127" s="4">
        <v>13.0</v>
      </c>
      <c r="AU127" s="4">
        <v>553800.0</v>
      </c>
      <c r="AV127" s="4">
        <v>0.01</v>
      </c>
      <c r="AW127" s="4">
        <v>5538.0</v>
      </c>
      <c r="AX127" s="4">
        <v>548262.0</v>
      </c>
      <c r="AY127" s="4">
        <v>255450.0</v>
      </c>
      <c r="AZ127" s="4">
        <v>292812.0</v>
      </c>
    </row>
    <row r="128" ht="15.75" customHeight="1">
      <c r="A128" s="3" t="s">
        <v>578</v>
      </c>
      <c r="B128" s="5">
        <v>42703.0</v>
      </c>
      <c r="C128" s="6">
        <f t="shared" si="1"/>
        <v>2016</v>
      </c>
      <c r="D128" s="7" t="s">
        <v>579</v>
      </c>
      <c r="E128" s="7" t="s">
        <v>580</v>
      </c>
      <c r="F128" s="7" t="s">
        <v>289</v>
      </c>
      <c r="G128" s="5" t="s">
        <v>51</v>
      </c>
      <c r="H128" s="7" t="s">
        <v>140</v>
      </c>
      <c r="I128" s="7" t="s">
        <v>92</v>
      </c>
      <c r="J128" s="7" t="s">
        <v>174</v>
      </c>
      <c r="K128" s="7" t="s">
        <v>36</v>
      </c>
      <c r="L128" s="7" t="s">
        <v>45</v>
      </c>
      <c r="M128" s="7" t="s">
        <v>38</v>
      </c>
      <c r="N128" s="5">
        <v>42703.0</v>
      </c>
      <c r="O128" s="8">
        <v>37800.0</v>
      </c>
      <c r="P128" s="8">
        <v>60000.0</v>
      </c>
      <c r="Q128" s="8">
        <f t="shared" si="2"/>
        <v>22200</v>
      </c>
      <c r="R128" s="8">
        <v>41.0</v>
      </c>
      <c r="S128" s="8">
        <f t="shared" si="3"/>
        <v>2460000</v>
      </c>
      <c r="T128" s="9">
        <v>0.02</v>
      </c>
      <c r="U128" s="8">
        <f t="shared" si="4"/>
        <v>49200</v>
      </c>
      <c r="V128" s="8">
        <f t="shared" si="5"/>
        <v>2410800</v>
      </c>
      <c r="W128" s="10">
        <f t="shared" si="6"/>
        <v>1549800</v>
      </c>
      <c r="X128" s="10">
        <f t="shared" si="7"/>
        <v>861000</v>
      </c>
      <c r="Y128" s="10"/>
      <c r="Z128" s="10"/>
      <c r="AA128" s="10"/>
      <c r="AB128" s="4" t="s">
        <v>581</v>
      </c>
      <c r="AC128" s="4" t="s">
        <v>578</v>
      </c>
      <c r="AD128" s="4">
        <v>42703.0</v>
      </c>
      <c r="AE128" s="4">
        <v>2016.0</v>
      </c>
      <c r="AF128" s="4" t="s">
        <v>579</v>
      </c>
      <c r="AG128" s="4" t="s">
        <v>580</v>
      </c>
      <c r="AH128" s="4" t="s">
        <v>289</v>
      </c>
      <c r="AI128" s="4" t="s">
        <v>51</v>
      </c>
      <c r="AJ128" s="4" t="s">
        <v>140</v>
      </c>
      <c r="AK128" s="4" t="s">
        <v>92</v>
      </c>
      <c r="AL128" s="4" t="s">
        <v>174</v>
      </c>
      <c r="AM128" s="4" t="s">
        <v>36</v>
      </c>
      <c r="AN128" s="4" t="s">
        <v>45</v>
      </c>
      <c r="AO128" s="4" t="s">
        <v>38</v>
      </c>
      <c r="AP128" s="4">
        <v>42703.0</v>
      </c>
      <c r="AQ128" s="4">
        <v>37800.0</v>
      </c>
      <c r="AR128" s="4">
        <v>60000.0</v>
      </c>
      <c r="AS128" s="4">
        <v>22200.0</v>
      </c>
      <c r="AT128" s="4">
        <v>41.0</v>
      </c>
      <c r="AU128" s="4">
        <v>2460000.0</v>
      </c>
      <c r="AV128" s="4">
        <v>0.02</v>
      </c>
      <c r="AW128" s="4">
        <v>49200.0</v>
      </c>
      <c r="AX128" s="4">
        <v>2410800.0</v>
      </c>
      <c r="AY128" s="4">
        <v>1549800.0</v>
      </c>
      <c r="AZ128" s="4">
        <v>861000.0</v>
      </c>
    </row>
    <row r="129" ht="15.75" customHeight="1">
      <c r="A129" s="3" t="s">
        <v>582</v>
      </c>
      <c r="B129" s="5">
        <v>42706.0</v>
      </c>
      <c r="C129" s="6">
        <f t="shared" si="1"/>
        <v>2016</v>
      </c>
      <c r="D129" s="7" t="s">
        <v>583</v>
      </c>
      <c r="E129" s="7" t="s">
        <v>150</v>
      </c>
      <c r="F129" s="7" t="s">
        <v>50</v>
      </c>
      <c r="G129" s="5" t="s">
        <v>32</v>
      </c>
      <c r="H129" s="7" t="s">
        <v>151</v>
      </c>
      <c r="I129" s="7" t="s">
        <v>34</v>
      </c>
      <c r="J129" s="7" t="s">
        <v>584</v>
      </c>
      <c r="K129" s="7" t="s">
        <v>278</v>
      </c>
      <c r="L129" s="7" t="s">
        <v>555</v>
      </c>
      <c r="M129" s="7" t="s">
        <v>55</v>
      </c>
      <c r="N129" s="5">
        <v>42708.0</v>
      </c>
      <c r="O129" s="8">
        <v>842400.0</v>
      </c>
      <c r="P129" s="8">
        <v>2054699.9999999998</v>
      </c>
      <c r="Q129" s="8">
        <f t="shared" si="2"/>
        <v>1212300</v>
      </c>
      <c r="R129" s="8">
        <v>41.0</v>
      </c>
      <c r="S129" s="8">
        <f t="shared" si="3"/>
        <v>84242700</v>
      </c>
      <c r="T129" s="9">
        <v>0.04</v>
      </c>
      <c r="U129" s="8">
        <f t="shared" si="4"/>
        <v>3369708</v>
      </c>
      <c r="V129" s="8">
        <f t="shared" si="5"/>
        <v>80872992</v>
      </c>
      <c r="W129" s="10">
        <f t="shared" si="6"/>
        <v>34538400</v>
      </c>
      <c r="X129" s="10">
        <f t="shared" si="7"/>
        <v>46334592</v>
      </c>
      <c r="Y129" s="10"/>
      <c r="Z129" s="10"/>
      <c r="AA129" s="10"/>
      <c r="AB129" s="4" t="s">
        <v>585</v>
      </c>
      <c r="AC129" s="4" t="s">
        <v>582</v>
      </c>
      <c r="AD129" s="4">
        <v>42706.0</v>
      </c>
      <c r="AE129" s="4">
        <v>2016.0</v>
      </c>
      <c r="AF129" s="4" t="s">
        <v>583</v>
      </c>
      <c r="AG129" s="4" t="s">
        <v>150</v>
      </c>
      <c r="AH129" s="4" t="s">
        <v>50</v>
      </c>
      <c r="AI129" s="4" t="s">
        <v>32</v>
      </c>
      <c r="AJ129" s="4" t="s">
        <v>151</v>
      </c>
      <c r="AK129" s="4" t="s">
        <v>34</v>
      </c>
      <c r="AL129" s="4" t="s">
        <v>584</v>
      </c>
      <c r="AM129" s="4" t="s">
        <v>278</v>
      </c>
      <c r="AN129" s="4" t="s">
        <v>555</v>
      </c>
      <c r="AO129" s="4" t="s">
        <v>55</v>
      </c>
      <c r="AP129" s="4">
        <v>42708.0</v>
      </c>
      <c r="AQ129" s="4">
        <v>842400.0</v>
      </c>
      <c r="AR129" s="4">
        <v>2054700.0</v>
      </c>
      <c r="AS129" s="4">
        <v>1212300.0</v>
      </c>
      <c r="AT129" s="4">
        <v>41.0</v>
      </c>
      <c r="AU129" s="4">
        <v>8.42427E7</v>
      </c>
      <c r="AV129" s="4">
        <v>0.04</v>
      </c>
      <c r="AW129" s="4">
        <v>3369708.0</v>
      </c>
      <c r="AX129" s="4">
        <v>8.0872992E7</v>
      </c>
      <c r="AY129" s="4">
        <v>3.45384E7</v>
      </c>
      <c r="AZ129" s="4">
        <v>4.6334592E7</v>
      </c>
    </row>
    <row r="130" ht="15.75" customHeight="1">
      <c r="A130" s="3" t="s">
        <v>586</v>
      </c>
      <c r="B130" s="5">
        <v>42706.0</v>
      </c>
      <c r="C130" s="6">
        <f t="shared" si="1"/>
        <v>2016</v>
      </c>
      <c r="D130" s="7" t="s">
        <v>587</v>
      </c>
      <c r="E130" s="7" t="s">
        <v>432</v>
      </c>
      <c r="F130" s="7" t="s">
        <v>50</v>
      </c>
      <c r="G130" s="5" t="s">
        <v>91</v>
      </c>
      <c r="H130" s="7" t="s">
        <v>140</v>
      </c>
      <c r="I130" s="7" t="s">
        <v>74</v>
      </c>
      <c r="J130" s="7" t="s">
        <v>224</v>
      </c>
      <c r="K130" s="7" t="s">
        <v>36</v>
      </c>
      <c r="L130" s="7" t="s">
        <v>45</v>
      </c>
      <c r="M130" s="7" t="s">
        <v>38</v>
      </c>
      <c r="N130" s="5">
        <v>42708.0</v>
      </c>
      <c r="O130" s="8">
        <v>52050.0</v>
      </c>
      <c r="P130" s="8">
        <v>100200.0</v>
      </c>
      <c r="Q130" s="8">
        <f t="shared" si="2"/>
        <v>48150</v>
      </c>
      <c r="R130" s="8">
        <v>5.0</v>
      </c>
      <c r="S130" s="8">
        <f t="shared" si="3"/>
        <v>501000</v>
      </c>
      <c r="T130" s="9">
        <v>0.09</v>
      </c>
      <c r="U130" s="8">
        <f t="shared" si="4"/>
        <v>45090</v>
      </c>
      <c r="V130" s="8">
        <f t="shared" si="5"/>
        <v>455910</v>
      </c>
      <c r="W130" s="10">
        <f t="shared" si="6"/>
        <v>260250</v>
      </c>
      <c r="X130" s="10">
        <f t="shared" si="7"/>
        <v>195660</v>
      </c>
      <c r="Y130" s="10"/>
      <c r="Z130" s="10"/>
      <c r="AA130" s="10"/>
      <c r="AB130" s="4" t="s">
        <v>588</v>
      </c>
      <c r="AC130" s="4" t="s">
        <v>586</v>
      </c>
      <c r="AD130" s="4">
        <v>42706.0</v>
      </c>
      <c r="AE130" s="4">
        <v>2016.0</v>
      </c>
      <c r="AF130" s="4" t="s">
        <v>587</v>
      </c>
      <c r="AG130" s="4" t="s">
        <v>432</v>
      </c>
      <c r="AH130" s="4" t="s">
        <v>50</v>
      </c>
      <c r="AI130" s="4" t="s">
        <v>91</v>
      </c>
      <c r="AJ130" s="4" t="s">
        <v>140</v>
      </c>
      <c r="AK130" s="4" t="s">
        <v>74</v>
      </c>
      <c r="AL130" s="4" t="s">
        <v>224</v>
      </c>
      <c r="AM130" s="4" t="s">
        <v>36</v>
      </c>
      <c r="AN130" s="4" t="s">
        <v>45</v>
      </c>
      <c r="AO130" s="4" t="s">
        <v>38</v>
      </c>
      <c r="AP130" s="4">
        <v>42708.0</v>
      </c>
      <c r="AQ130" s="4">
        <v>52050.0</v>
      </c>
      <c r="AR130" s="4">
        <v>100200.0</v>
      </c>
      <c r="AS130" s="4">
        <v>48150.0</v>
      </c>
      <c r="AT130" s="4">
        <v>5.0</v>
      </c>
      <c r="AU130" s="4">
        <v>501000.0</v>
      </c>
      <c r="AV130" s="4">
        <v>0.09</v>
      </c>
      <c r="AW130" s="4">
        <v>45090.0</v>
      </c>
      <c r="AX130" s="4">
        <v>455910.0</v>
      </c>
      <c r="AY130" s="4">
        <v>260250.0</v>
      </c>
      <c r="AZ130" s="4">
        <v>195660.0</v>
      </c>
    </row>
    <row r="131" ht="15.75" customHeight="1">
      <c r="A131" s="3" t="s">
        <v>589</v>
      </c>
      <c r="B131" s="5">
        <v>42708.0</v>
      </c>
      <c r="C131" s="6">
        <f t="shared" si="1"/>
        <v>2016</v>
      </c>
      <c r="D131" s="7" t="s">
        <v>590</v>
      </c>
      <c r="E131" s="7" t="s">
        <v>591</v>
      </c>
      <c r="F131" s="7" t="s">
        <v>50</v>
      </c>
      <c r="G131" s="5" t="s">
        <v>91</v>
      </c>
      <c r="H131" s="7" t="s">
        <v>189</v>
      </c>
      <c r="I131" s="7" t="s">
        <v>74</v>
      </c>
      <c r="J131" s="7" t="s">
        <v>571</v>
      </c>
      <c r="K131" s="7" t="s">
        <v>36</v>
      </c>
      <c r="L131" s="7" t="s">
        <v>37</v>
      </c>
      <c r="M131" s="7" t="s">
        <v>38</v>
      </c>
      <c r="N131" s="5">
        <v>42710.0</v>
      </c>
      <c r="O131" s="8">
        <v>1015950.0000000001</v>
      </c>
      <c r="P131" s="8">
        <v>2478000.0</v>
      </c>
      <c r="Q131" s="8">
        <f t="shared" si="2"/>
        <v>1462050</v>
      </c>
      <c r="R131" s="8">
        <v>23.0</v>
      </c>
      <c r="S131" s="8">
        <f t="shared" si="3"/>
        <v>56994000</v>
      </c>
      <c r="T131" s="9">
        <v>0.07</v>
      </c>
      <c r="U131" s="8">
        <f t="shared" si="4"/>
        <v>3989580</v>
      </c>
      <c r="V131" s="8">
        <f t="shared" si="5"/>
        <v>53004420</v>
      </c>
      <c r="W131" s="10">
        <f t="shared" si="6"/>
        <v>23366850</v>
      </c>
      <c r="X131" s="10">
        <f t="shared" si="7"/>
        <v>29637570</v>
      </c>
      <c r="Y131" s="10"/>
      <c r="Z131" s="10"/>
      <c r="AA131" s="10"/>
      <c r="AB131" s="4" t="s">
        <v>592</v>
      </c>
      <c r="AC131" s="4" t="s">
        <v>589</v>
      </c>
      <c r="AD131" s="4">
        <v>42708.0</v>
      </c>
      <c r="AE131" s="4">
        <v>2016.0</v>
      </c>
      <c r="AF131" s="4" t="s">
        <v>590</v>
      </c>
      <c r="AG131" s="4" t="s">
        <v>591</v>
      </c>
      <c r="AH131" s="4" t="s">
        <v>50</v>
      </c>
      <c r="AI131" s="4" t="s">
        <v>91</v>
      </c>
      <c r="AJ131" s="4" t="s">
        <v>189</v>
      </c>
      <c r="AK131" s="4" t="s">
        <v>74</v>
      </c>
      <c r="AL131" s="4" t="s">
        <v>571</v>
      </c>
      <c r="AM131" s="4" t="s">
        <v>36</v>
      </c>
      <c r="AN131" s="4" t="s">
        <v>37</v>
      </c>
      <c r="AO131" s="4" t="s">
        <v>38</v>
      </c>
      <c r="AP131" s="4">
        <v>42710.0</v>
      </c>
      <c r="AQ131" s="4">
        <v>1015950.0</v>
      </c>
      <c r="AR131" s="4">
        <v>2478000.0</v>
      </c>
      <c r="AS131" s="4">
        <v>1462050.0</v>
      </c>
      <c r="AT131" s="4">
        <v>23.0</v>
      </c>
      <c r="AU131" s="4">
        <v>5.6994E7</v>
      </c>
      <c r="AV131" s="4">
        <v>0.07</v>
      </c>
      <c r="AW131" s="4">
        <v>3989580.0</v>
      </c>
      <c r="AX131" s="4">
        <v>5.300442E7</v>
      </c>
      <c r="AY131" s="4">
        <v>2.336685E7</v>
      </c>
      <c r="AZ131" s="4">
        <v>2.963757E7</v>
      </c>
    </row>
    <row r="132" ht="15.75" customHeight="1">
      <c r="A132" s="3" t="s">
        <v>593</v>
      </c>
      <c r="B132" s="5">
        <v>42710.0</v>
      </c>
      <c r="C132" s="6">
        <f t="shared" si="1"/>
        <v>2016</v>
      </c>
      <c r="D132" s="7" t="s">
        <v>594</v>
      </c>
      <c r="E132" s="7" t="s">
        <v>97</v>
      </c>
      <c r="F132" s="7" t="s">
        <v>50</v>
      </c>
      <c r="G132" s="5" t="s">
        <v>32</v>
      </c>
      <c r="H132" s="7" t="s">
        <v>98</v>
      </c>
      <c r="I132" s="7" t="s">
        <v>92</v>
      </c>
      <c r="J132" s="7" t="s">
        <v>595</v>
      </c>
      <c r="K132" s="7" t="s">
        <v>36</v>
      </c>
      <c r="L132" s="7" t="s">
        <v>127</v>
      </c>
      <c r="M132" s="7" t="s">
        <v>38</v>
      </c>
      <c r="N132" s="5">
        <v>42713.0</v>
      </c>
      <c r="O132" s="8">
        <v>77850.0</v>
      </c>
      <c r="P132" s="8">
        <v>194700.0</v>
      </c>
      <c r="Q132" s="8">
        <f t="shared" si="2"/>
        <v>116850</v>
      </c>
      <c r="R132" s="8">
        <v>45.0</v>
      </c>
      <c r="S132" s="8">
        <f t="shared" si="3"/>
        <v>8761500</v>
      </c>
      <c r="T132" s="9">
        <v>0.02</v>
      </c>
      <c r="U132" s="8">
        <f t="shared" si="4"/>
        <v>175230</v>
      </c>
      <c r="V132" s="8">
        <f t="shared" si="5"/>
        <v>8586270</v>
      </c>
      <c r="W132" s="10">
        <f t="shared" si="6"/>
        <v>3503250</v>
      </c>
      <c r="X132" s="10">
        <f t="shared" si="7"/>
        <v>5083020</v>
      </c>
      <c r="Y132" s="10"/>
      <c r="Z132" s="10"/>
      <c r="AA132" s="10"/>
      <c r="AB132" s="4" t="s">
        <v>596</v>
      </c>
      <c r="AC132" s="4" t="s">
        <v>593</v>
      </c>
      <c r="AD132" s="4">
        <v>42710.0</v>
      </c>
      <c r="AE132" s="4">
        <v>2016.0</v>
      </c>
      <c r="AF132" s="4" t="s">
        <v>594</v>
      </c>
      <c r="AG132" s="4" t="s">
        <v>97</v>
      </c>
      <c r="AH132" s="4" t="s">
        <v>50</v>
      </c>
      <c r="AI132" s="4" t="s">
        <v>32</v>
      </c>
      <c r="AJ132" s="4" t="s">
        <v>98</v>
      </c>
      <c r="AK132" s="4" t="s">
        <v>92</v>
      </c>
      <c r="AL132" s="4" t="s">
        <v>595</v>
      </c>
      <c r="AM132" s="4" t="s">
        <v>36</v>
      </c>
      <c r="AN132" s="4" t="s">
        <v>127</v>
      </c>
      <c r="AO132" s="4" t="s">
        <v>38</v>
      </c>
      <c r="AP132" s="4">
        <v>42713.0</v>
      </c>
      <c r="AQ132" s="4">
        <v>77850.0</v>
      </c>
      <c r="AR132" s="4">
        <v>194700.0</v>
      </c>
      <c r="AS132" s="4">
        <v>116850.0</v>
      </c>
      <c r="AT132" s="4">
        <v>45.0</v>
      </c>
      <c r="AU132" s="4">
        <v>8761500.0</v>
      </c>
      <c r="AV132" s="4">
        <v>0.02</v>
      </c>
      <c r="AW132" s="4">
        <v>175230.0</v>
      </c>
      <c r="AX132" s="4">
        <v>8586270.0</v>
      </c>
      <c r="AY132" s="4">
        <v>3503250.0</v>
      </c>
      <c r="AZ132" s="4">
        <v>5083020.0</v>
      </c>
    </row>
    <row r="133" ht="15.75" customHeight="1">
      <c r="A133" s="3" t="s">
        <v>597</v>
      </c>
      <c r="B133" s="5">
        <v>42711.0</v>
      </c>
      <c r="C133" s="6">
        <f t="shared" si="1"/>
        <v>2016</v>
      </c>
      <c r="D133" s="7" t="s">
        <v>598</v>
      </c>
      <c r="E133" s="7" t="s">
        <v>156</v>
      </c>
      <c r="F133" s="7" t="s">
        <v>50</v>
      </c>
      <c r="G133" s="5" t="s">
        <v>32</v>
      </c>
      <c r="H133" s="7" t="s">
        <v>110</v>
      </c>
      <c r="I133" s="7" t="s">
        <v>92</v>
      </c>
      <c r="J133" s="7" t="s">
        <v>294</v>
      </c>
      <c r="K133" s="7" t="s">
        <v>36</v>
      </c>
      <c r="L133" s="7" t="s">
        <v>37</v>
      </c>
      <c r="M133" s="7" t="s">
        <v>38</v>
      </c>
      <c r="N133" s="5">
        <v>42712.0</v>
      </c>
      <c r="O133" s="8">
        <v>17700.0</v>
      </c>
      <c r="P133" s="8">
        <v>28200.0</v>
      </c>
      <c r="Q133" s="8">
        <f t="shared" si="2"/>
        <v>10500</v>
      </c>
      <c r="R133" s="8">
        <v>42.0</v>
      </c>
      <c r="S133" s="8">
        <f t="shared" si="3"/>
        <v>1184400</v>
      </c>
      <c r="T133" s="9">
        <v>0.0</v>
      </c>
      <c r="U133" s="8">
        <f t="shared" si="4"/>
        <v>0</v>
      </c>
      <c r="V133" s="8">
        <f t="shared" si="5"/>
        <v>1184400</v>
      </c>
      <c r="W133" s="10">
        <f t="shared" si="6"/>
        <v>743400</v>
      </c>
      <c r="X133" s="10">
        <f t="shared" si="7"/>
        <v>441000</v>
      </c>
      <c r="Y133" s="10"/>
      <c r="Z133" s="10"/>
      <c r="AA133" s="10"/>
      <c r="AB133" s="4" t="s">
        <v>599</v>
      </c>
      <c r="AC133" s="4" t="s">
        <v>597</v>
      </c>
      <c r="AD133" s="4">
        <v>42711.0</v>
      </c>
      <c r="AE133" s="4">
        <v>2016.0</v>
      </c>
      <c r="AF133" s="4" t="s">
        <v>598</v>
      </c>
      <c r="AG133" s="4" t="s">
        <v>156</v>
      </c>
      <c r="AH133" s="4" t="s">
        <v>50</v>
      </c>
      <c r="AI133" s="4" t="s">
        <v>32</v>
      </c>
      <c r="AJ133" s="4" t="s">
        <v>110</v>
      </c>
      <c r="AK133" s="4" t="s">
        <v>92</v>
      </c>
      <c r="AL133" s="4" t="s">
        <v>294</v>
      </c>
      <c r="AM133" s="4" t="s">
        <v>36</v>
      </c>
      <c r="AN133" s="4" t="s">
        <v>37</v>
      </c>
      <c r="AO133" s="4" t="s">
        <v>38</v>
      </c>
      <c r="AP133" s="4">
        <v>42712.0</v>
      </c>
      <c r="AQ133" s="4">
        <v>17700.0</v>
      </c>
      <c r="AR133" s="4">
        <v>28200.0</v>
      </c>
      <c r="AS133" s="4">
        <v>10500.0</v>
      </c>
      <c r="AT133" s="4">
        <v>42.0</v>
      </c>
      <c r="AU133" s="4">
        <v>1184400.0</v>
      </c>
      <c r="AV133" s="4">
        <v>0.0</v>
      </c>
      <c r="AW133" s="4">
        <v>0.0</v>
      </c>
      <c r="AX133" s="4">
        <v>1184400.0</v>
      </c>
      <c r="AY133" s="4">
        <v>743400.0</v>
      </c>
      <c r="AZ133" s="4">
        <v>441000.0</v>
      </c>
    </row>
    <row r="134" ht="15.75" customHeight="1">
      <c r="A134" s="3" t="s">
        <v>600</v>
      </c>
      <c r="B134" s="5">
        <v>42711.0</v>
      </c>
      <c r="C134" s="6">
        <f t="shared" si="1"/>
        <v>2016</v>
      </c>
      <c r="D134" s="7" t="s">
        <v>601</v>
      </c>
      <c r="E134" s="7" t="s">
        <v>602</v>
      </c>
      <c r="F134" s="7" t="s">
        <v>50</v>
      </c>
      <c r="G134" s="5" t="s">
        <v>91</v>
      </c>
      <c r="H134" s="7" t="s">
        <v>98</v>
      </c>
      <c r="I134" s="7" t="s">
        <v>104</v>
      </c>
      <c r="J134" s="7" t="s">
        <v>160</v>
      </c>
      <c r="K134" s="7" t="s">
        <v>36</v>
      </c>
      <c r="L134" s="7" t="s">
        <v>37</v>
      </c>
      <c r="M134" s="7" t="s">
        <v>38</v>
      </c>
      <c r="N134" s="5">
        <v>42712.0</v>
      </c>
      <c r="O134" s="8">
        <v>52800.0</v>
      </c>
      <c r="P134" s="8">
        <v>85200.0</v>
      </c>
      <c r="Q134" s="8">
        <f t="shared" si="2"/>
        <v>32400</v>
      </c>
      <c r="R134" s="8">
        <v>32.0</v>
      </c>
      <c r="S134" s="8">
        <f t="shared" si="3"/>
        <v>2726400</v>
      </c>
      <c r="T134" s="9">
        <v>0.05</v>
      </c>
      <c r="U134" s="8">
        <f t="shared" si="4"/>
        <v>136320</v>
      </c>
      <c r="V134" s="8">
        <f t="shared" si="5"/>
        <v>2590080</v>
      </c>
      <c r="W134" s="10">
        <f t="shared" si="6"/>
        <v>1689600</v>
      </c>
      <c r="X134" s="10">
        <f t="shared" si="7"/>
        <v>900480</v>
      </c>
      <c r="Y134" s="10"/>
      <c r="Z134" s="10"/>
      <c r="AA134" s="10"/>
      <c r="AB134" s="4" t="s">
        <v>603</v>
      </c>
      <c r="AC134" s="4" t="s">
        <v>600</v>
      </c>
      <c r="AD134" s="4">
        <v>42711.0</v>
      </c>
      <c r="AE134" s="4">
        <v>2016.0</v>
      </c>
      <c r="AF134" s="4" t="s">
        <v>601</v>
      </c>
      <c r="AG134" s="4" t="s">
        <v>602</v>
      </c>
      <c r="AH134" s="4" t="s">
        <v>50</v>
      </c>
      <c r="AI134" s="4" t="s">
        <v>91</v>
      </c>
      <c r="AJ134" s="4" t="s">
        <v>98</v>
      </c>
      <c r="AK134" s="4" t="s">
        <v>104</v>
      </c>
      <c r="AL134" s="4" t="s">
        <v>160</v>
      </c>
      <c r="AM134" s="4" t="s">
        <v>36</v>
      </c>
      <c r="AN134" s="4" t="s">
        <v>37</v>
      </c>
      <c r="AO134" s="4" t="s">
        <v>38</v>
      </c>
      <c r="AP134" s="4">
        <v>42712.0</v>
      </c>
      <c r="AQ134" s="4">
        <v>52800.0</v>
      </c>
      <c r="AR134" s="4">
        <v>85200.0</v>
      </c>
      <c r="AS134" s="4">
        <v>32400.0</v>
      </c>
      <c r="AT134" s="4">
        <v>32.0</v>
      </c>
      <c r="AU134" s="4">
        <v>2726400.0</v>
      </c>
      <c r="AV134" s="4">
        <v>0.05</v>
      </c>
      <c r="AW134" s="4">
        <v>136320.0</v>
      </c>
      <c r="AX134" s="4">
        <v>2590080.0</v>
      </c>
      <c r="AY134" s="4">
        <v>1689600.0</v>
      </c>
      <c r="AZ134" s="4">
        <v>900480.0</v>
      </c>
    </row>
    <row r="135" ht="15.75" customHeight="1">
      <c r="A135" s="3" t="s">
        <v>604</v>
      </c>
      <c r="B135" s="5">
        <v>42714.0</v>
      </c>
      <c r="C135" s="6">
        <f t="shared" si="1"/>
        <v>2016</v>
      </c>
      <c r="D135" s="7" t="s">
        <v>605</v>
      </c>
      <c r="E135" s="7" t="s">
        <v>150</v>
      </c>
      <c r="F135" s="7" t="s">
        <v>50</v>
      </c>
      <c r="G135" s="5" t="s">
        <v>68</v>
      </c>
      <c r="H135" s="7" t="s">
        <v>151</v>
      </c>
      <c r="I135" s="7" t="s">
        <v>92</v>
      </c>
      <c r="J135" s="7" t="s">
        <v>516</v>
      </c>
      <c r="K135" s="7" t="s">
        <v>36</v>
      </c>
      <c r="L135" s="7" t="s">
        <v>37</v>
      </c>
      <c r="M135" s="7" t="s">
        <v>38</v>
      </c>
      <c r="N135" s="5">
        <v>42715.0</v>
      </c>
      <c r="O135" s="8">
        <v>29100.0</v>
      </c>
      <c r="P135" s="8">
        <v>46200.0</v>
      </c>
      <c r="Q135" s="8">
        <f t="shared" si="2"/>
        <v>17100</v>
      </c>
      <c r="R135" s="8">
        <v>45.0</v>
      </c>
      <c r="S135" s="8">
        <f t="shared" si="3"/>
        <v>2079000</v>
      </c>
      <c r="T135" s="9">
        <v>0.04</v>
      </c>
      <c r="U135" s="8">
        <f t="shared" si="4"/>
        <v>83160</v>
      </c>
      <c r="V135" s="8">
        <f t="shared" si="5"/>
        <v>1995840</v>
      </c>
      <c r="W135" s="10">
        <f t="shared" si="6"/>
        <v>1309500</v>
      </c>
      <c r="X135" s="10">
        <f t="shared" si="7"/>
        <v>686340</v>
      </c>
      <c r="Y135" s="10"/>
      <c r="Z135" s="10"/>
      <c r="AA135" s="10"/>
      <c r="AB135" s="4" t="s">
        <v>606</v>
      </c>
      <c r="AC135" s="4" t="s">
        <v>604</v>
      </c>
      <c r="AD135" s="4">
        <v>42714.0</v>
      </c>
      <c r="AE135" s="4">
        <v>2016.0</v>
      </c>
      <c r="AF135" s="4" t="s">
        <v>605</v>
      </c>
      <c r="AG135" s="4" t="s">
        <v>150</v>
      </c>
      <c r="AH135" s="4" t="s">
        <v>50</v>
      </c>
      <c r="AI135" s="4" t="s">
        <v>68</v>
      </c>
      <c r="AJ135" s="4" t="s">
        <v>151</v>
      </c>
      <c r="AK135" s="4" t="s">
        <v>92</v>
      </c>
      <c r="AL135" s="4" t="s">
        <v>516</v>
      </c>
      <c r="AM135" s="4" t="s">
        <v>36</v>
      </c>
      <c r="AN135" s="4" t="s">
        <v>37</v>
      </c>
      <c r="AO135" s="4" t="s">
        <v>38</v>
      </c>
      <c r="AP135" s="4">
        <v>42715.0</v>
      </c>
      <c r="AQ135" s="4">
        <v>29100.0</v>
      </c>
      <c r="AR135" s="4">
        <v>46200.0</v>
      </c>
      <c r="AS135" s="4">
        <v>17100.0</v>
      </c>
      <c r="AT135" s="4">
        <v>45.0</v>
      </c>
      <c r="AU135" s="4">
        <v>2079000.0</v>
      </c>
      <c r="AV135" s="4">
        <v>0.04</v>
      </c>
      <c r="AW135" s="4">
        <v>83160.0</v>
      </c>
      <c r="AX135" s="4">
        <v>1995840.0</v>
      </c>
      <c r="AY135" s="4">
        <v>1309500.0</v>
      </c>
      <c r="AZ135" s="4">
        <v>686340.0</v>
      </c>
    </row>
    <row r="136" ht="15.75" customHeight="1">
      <c r="A136" s="3" t="s">
        <v>607</v>
      </c>
      <c r="B136" s="5">
        <v>42715.0</v>
      </c>
      <c r="C136" s="6">
        <f t="shared" si="1"/>
        <v>2016</v>
      </c>
      <c r="D136" s="7" t="s">
        <v>601</v>
      </c>
      <c r="E136" s="7" t="s">
        <v>602</v>
      </c>
      <c r="F136" s="7" t="s">
        <v>50</v>
      </c>
      <c r="G136" s="5" t="s">
        <v>68</v>
      </c>
      <c r="H136" s="7" t="s">
        <v>98</v>
      </c>
      <c r="I136" s="7" t="s">
        <v>92</v>
      </c>
      <c r="J136" s="7" t="s">
        <v>212</v>
      </c>
      <c r="K136" s="7" t="s">
        <v>36</v>
      </c>
      <c r="L136" s="7" t="s">
        <v>37</v>
      </c>
      <c r="M136" s="7" t="s">
        <v>38</v>
      </c>
      <c r="N136" s="5">
        <v>42716.0</v>
      </c>
      <c r="O136" s="8">
        <v>130650.00000000001</v>
      </c>
      <c r="P136" s="8">
        <v>214200.0</v>
      </c>
      <c r="Q136" s="8">
        <f t="shared" si="2"/>
        <v>83550</v>
      </c>
      <c r="R136" s="8">
        <v>8.0</v>
      </c>
      <c r="S136" s="8">
        <f t="shared" si="3"/>
        <v>1713600</v>
      </c>
      <c r="T136" s="9">
        <v>0.01</v>
      </c>
      <c r="U136" s="8">
        <f t="shared" si="4"/>
        <v>17136</v>
      </c>
      <c r="V136" s="8">
        <f t="shared" si="5"/>
        <v>1696464</v>
      </c>
      <c r="W136" s="10">
        <f t="shared" si="6"/>
        <v>1045200</v>
      </c>
      <c r="X136" s="10">
        <f t="shared" si="7"/>
        <v>651264</v>
      </c>
      <c r="Y136" s="10"/>
      <c r="Z136" s="10"/>
      <c r="AA136" s="10"/>
      <c r="AB136" s="4" t="s">
        <v>608</v>
      </c>
      <c r="AC136" s="4" t="s">
        <v>607</v>
      </c>
      <c r="AD136" s="4">
        <v>42715.0</v>
      </c>
      <c r="AE136" s="4">
        <v>2016.0</v>
      </c>
      <c r="AF136" s="4" t="s">
        <v>601</v>
      </c>
      <c r="AG136" s="4" t="s">
        <v>602</v>
      </c>
      <c r="AH136" s="4" t="s">
        <v>50</v>
      </c>
      <c r="AI136" s="4" t="s">
        <v>68</v>
      </c>
      <c r="AJ136" s="4" t="s">
        <v>98</v>
      </c>
      <c r="AK136" s="4" t="s">
        <v>92</v>
      </c>
      <c r="AL136" s="4" t="s">
        <v>212</v>
      </c>
      <c r="AM136" s="4" t="s">
        <v>36</v>
      </c>
      <c r="AN136" s="4" t="s">
        <v>37</v>
      </c>
      <c r="AO136" s="4" t="s">
        <v>38</v>
      </c>
      <c r="AP136" s="4">
        <v>42716.0</v>
      </c>
      <c r="AQ136" s="4">
        <v>130650.0</v>
      </c>
      <c r="AR136" s="4">
        <v>214200.0</v>
      </c>
      <c r="AS136" s="4">
        <v>83550.0</v>
      </c>
      <c r="AT136" s="4">
        <v>8.0</v>
      </c>
      <c r="AU136" s="4">
        <v>1713600.0</v>
      </c>
      <c r="AV136" s="4">
        <v>0.01</v>
      </c>
      <c r="AW136" s="4">
        <v>17136.0</v>
      </c>
      <c r="AX136" s="4">
        <v>1696464.0</v>
      </c>
      <c r="AY136" s="4">
        <v>1045200.0</v>
      </c>
      <c r="AZ136" s="4">
        <v>651264.0</v>
      </c>
    </row>
    <row r="137" ht="15.75" customHeight="1">
      <c r="A137" s="3" t="s">
        <v>609</v>
      </c>
      <c r="B137" s="5">
        <v>42715.0</v>
      </c>
      <c r="C137" s="6">
        <f t="shared" si="1"/>
        <v>2016</v>
      </c>
      <c r="D137" s="7" t="s">
        <v>610</v>
      </c>
      <c r="E137" s="7" t="s">
        <v>150</v>
      </c>
      <c r="F137" s="7" t="s">
        <v>50</v>
      </c>
      <c r="G137" s="5" t="s">
        <v>32</v>
      </c>
      <c r="H137" s="7" t="s">
        <v>151</v>
      </c>
      <c r="I137" s="7" t="s">
        <v>74</v>
      </c>
      <c r="J137" s="7" t="s">
        <v>331</v>
      </c>
      <c r="K137" s="7" t="s">
        <v>61</v>
      </c>
      <c r="L137" s="7" t="s">
        <v>37</v>
      </c>
      <c r="M137" s="7" t="s">
        <v>38</v>
      </c>
      <c r="N137" s="5">
        <v>42720.0</v>
      </c>
      <c r="O137" s="8">
        <v>908850.0</v>
      </c>
      <c r="P137" s="8">
        <v>1514700.0</v>
      </c>
      <c r="Q137" s="8">
        <f t="shared" si="2"/>
        <v>605850</v>
      </c>
      <c r="R137" s="8">
        <v>12.0</v>
      </c>
      <c r="S137" s="8">
        <f t="shared" si="3"/>
        <v>18176400</v>
      </c>
      <c r="T137" s="9">
        <v>0.04</v>
      </c>
      <c r="U137" s="8">
        <f t="shared" si="4"/>
        <v>727056</v>
      </c>
      <c r="V137" s="8">
        <f t="shared" si="5"/>
        <v>17449344</v>
      </c>
      <c r="W137" s="10">
        <f t="shared" si="6"/>
        <v>10906200</v>
      </c>
      <c r="X137" s="10">
        <f t="shared" si="7"/>
        <v>6543144</v>
      </c>
      <c r="Y137" s="10"/>
      <c r="Z137" s="10"/>
      <c r="AA137" s="10"/>
      <c r="AB137" s="4" t="s">
        <v>611</v>
      </c>
      <c r="AC137" s="4" t="s">
        <v>609</v>
      </c>
      <c r="AD137" s="4">
        <v>42715.0</v>
      </c>
      <c r="AE137" s="4">
        <v>2016.0</v>
      </c>
      <c r="AF137" s="4" t="s">
        <v>610</v>
      </c>
      <c r="AG137" s="4" t="s">
        <v>150</v>
      </c>
      <c r="AH137" s="4" t="s">
        <v>50</v>
      </c>
      <c r="AI137" s="4" t="s">
        <v>32</v>
      </c>
      <c r="AJ137" s="4" t="s">
        <v>151</v>
      </c>
      <c r="AK137" s="4" t="s">
        <v>74</v>
      </c>
      <c r="AL137" s="4" t="s">
        <v>331</v>
      </c>
      <c r="AM137" s="4" t="s">
        <v>61</v>
      </c>
      <c r="AN137" s="4" t="s">
        <v>37</v>
      </c>
      <c r="AO137" s="4" t="s">
        <v>38</v>
      </c>
      <c r="AP137" s="4">
        <v>42720.0</v>
      </c>
      <c r="AQ137" s="4">
        <v>908850.0</v>
      </c>
      <c r="AR137" s="4">
        <v>1514700.0</v>
      </c>
      <c r="AS137" s="4">
        <v>605850.0</v>
      </c>
      <c r="AT137" s="4">
        <v>12.0</v>
      </c>
      <c r="AU137" s="4">
        <v>1.81764E7</v>
      </c>
      <c r="AV137" s="4">
        <v>0.04</v>
      </c>
      <c r="AW137" s="4">
        <v>727056.0</v>
      </c>
      <c r="AX137" s="4">
        <v>1.7449344E7</v>
      </c>
      <c r="AY137" s="4">
        <v>1.09062E7</v>
      </c>
      <c r="AZ137" s="4">
        <v>6543144.0</v>
      </c>
    </row>
    <row r="138" ht="15.75" customHeight="1">
      <c r="A138" s="3" t="s">
        <v>612</v>
      </c>
      <c r="B138" s="5">
        <v>42716.0</v>
      </c>
      <c r="C138" s="6">
        <f t="shared" si="1"/>
        <v>2016</v>
      </c>
      <c r="D138" s="7" t="s">
        <v>610</v>
      </c>
      <c r="E138" s="7" t="s">
        <v>150</v>
      </c>
      <c r="F138" s="7" t="s">
        <v>50</v>
      </c>
      <c r="G138" s="5" t="s">
        <v>32</v>
      </c>
      <c r="H138" s="7" t="s">
        <v>151</v>
      </c>
      <c r="I138" s="7" t="s">
        <v>104</v>
      </c>
      <c r="J138" s="7" t="s">
        <v>613</v>
      </c>
      <c r="K138" s="7" t="s">
        <v>36</v>
      </c>
      <c r="L138" s="7" t="s">
        <v>37</v>
      </c>
      <c r="M138" s="7" t="s">
        <v>55</v>
      </c>
      <c r="N138" s="5">
        <v>42718.0</v>
      </c>
      <c r="O138" s="8">
        <v>36750.0</v>
      </c>
      <c r="P138" s="8">
        <v>58350.0</v>
      </c>
      <c r="Q138" s="8">
        <f t="shared" si="2"/>
        <v>21600</v>
      </c>
      <c r="R138" s="8">
        <v>32.0</v>
      </c>
      <c r="S138" s="8">
        <f t="shared" si="3"/>
        <v>1867200</v>
      </c>
      <c r="T138" s="9">
        <v>0.09</v>
      </c>
      <c r="U138" s="8">
        <f t="shared" si="4"/>
        <v>168048</v>
      </c>
      <c r="V138" s="8">
        <f t="shared" si="5"/>
        <v>1699152</v>
      </c>
      <c r="W138" s="10">
        <f t="shared" si="6"/>
        <v>1176000</v>
      </c>
      <c r="X138" s="10">
        <f t="shared" si="7"/>
        <v>523152</v>
      </c>
      <c r="Y138" s="10"/>
      <c r="Z138" s="10"/>
      <c r="AA138" s="10"/>
      <c r="AB138" s="4" t="s">
        <v>614</v>
      </c>
      <c r="AC138" s="4" t="s">
        <v>612</v>
      </c>
      <c r="AD138" s="4">
        <v>42716.0</v>
      </c>
      <c r="AE138" s="4">
        <v>2016.0</v>
      </c>
      <c r="AF138" s="4" t="s">
        <v>610</v>
      </c>
      <c r="AG138" s="4" t="s">
        <v>150</v>
      </c>
      <c r="AH138" s="4" t="s">
        <v>50</v>
      </c>
      <c r="AI138" s="4" t="s">
        <v>32</v>
      </c>
      <c r="AJ138" s="4" t="s">
        <v>151</v>
      </c>
      <c r="AK138" s="4" t="s">
        <v>104</v>
      </c>
      <c r="AL138" s="4" t="s">
        <v>613</v>
      </c>
      <c r="AM138" s="4" t="s">
        <v>36</v>
      </c>
      <c r="AN138" s="4" t="s">
        <v>37</v>
      </c>
      <c r="AO138" s="4" t="s">
        <v>55</v>
      </c>
      <c r="AP138" s="4">
        <v>42718.0</v>
      </c>
      <c r="AQ138" s="4">
        <v>36750.0</v>
      </c>
      <c r="AR138" s="4">
        <v>58350.0</v>
      </c>
      <c r="AS138" s="4">
        <v>21600.0</v>
      </c>
      <c r="AT138" s="4">
        <v>32.0</v>
      </c>
      <c r="AU138" s="4">
        <v>1867200.0</v>
      </c>
      <c r="AV138" s="4">
        <v>0.09</v>
      </c>
      <c r="AW138" s="4">
        <v>168048.0</v>
      </c>
      <c r="AX138" s="4">
        <v>1699152.0</v>
      </c>
      <c r="AY138" s="4">
        <v>1176000.0</v>
      </c>
      <c r="AZ138" s="4">
        <v>523152.0</v>
      </c>
    </row>
    <row r="139" ht="15.75" customHeight="1">
      <c r="A139" s="3" t="s">
        <v>615</v>
      </c>
      <c r="B139" s="5">
        <v>42718.0</v>
      </c>
      <c r="C139" s="6">
        <f t="shared" si="1"/>
        <v>2016</v>
      </c>
      <c r="D139" s="7" t="s">
        <v>616</v>
      </c>
      <c r="E139" s="7" t="s">
        <v>617</v>
      </c>
      <c r="F139" s="7" t="s">
        <v>289</v>
      </c>
      <c r="G139" s="5" t="s">
        <v>32</v>
      </c>
      <c r="H139" s="7" t="s">
        <v>360</v>
      </c>
      <c r="I139" s="7" t="s">
        <v>53</v>
      </c>
      <c r="J139" s="7" t="s">
        <v>294</v>
      </c>
      <c r="K139" s="7" t="s">
        <v>36</v>
      </c>
      <c r="L139" s="7" t="s">
        <v>37</v>
      </c>
      <c r="M139" s="7" t="s">
        <v>38</v>
      </c>
      <c r="N139" s="5">
        <v>42719.0</v>
      </c>
      <c r="O139" s="8">
        <v>17700.0</v>
      </c>
      <c r="P139" s="8">
        <v>28200.0</v>
      </c>
      <c r="Q139" s="8">
        <f t="shared" si="2"/>
        <v>10500</v>
      </c>
      <c r="R139" s="8">
        <v>43.0</v>
      </c>
      <c r="S139" s="8">
        <f t="shared" si="3"/>
        <v>1212600</v>
      </c>
      <c r="T139" s="9">
        <v>0.03</v>
      </c>
      <c r="U139" s="8">
        <f t="shared" si="4"/>
        <v>36378</v>
      </c>
      <c r="V139" s="8">
        <f t="shared" si="5"/>
        <v>1176222</v>
      </c>
      <c r="W139" s="10">
        <f t="shared" si="6"/>
        <v>761100</v>
      </c>
      <c r="X139" s="10">
        <f t="shared" si="7"/>
        <v>415122</v>
      </c>
      <c r="Y139" s="10"/>
      <c r="Z139" s="10"/>
      <c r="AA139" s="10"/>
      <c r="AB139" s="4" t="s">
        <v>618</v>
      </c>
      <c r="AC139" s="4" t="s">
        <v>615</v>
      </c>
      <c r="AD139" s="4">
        <v>42718.0</v>
      </c>
      <c r="AE139" s="4">
        <v>2016.0</v>
      </c>
      <c r="AF139" s="4" t="s">
        <v>616</v>
      </c>
      <c r="AG139" s="4" t="s">
        <v>617</v>
      </c>
      <c r="AH139" s="4" t="s">
        <v>289</v>
      </c>
      <c r="AI139" s="4" t="s">
        <v>32</v>
      </c>
      <c r="AJ139" s="4" t="s">
        <v>360</v>
      </c>
      <c r="AK139" s="4" t="s">
        <v>53</v>
      </c>
      <c r="AL139" s="4" t="s">
        <v>294</v>
      </c>
      <c r="AM139" s="4" t="s">
        <v>36</v>
      </c>
      <c r="AN139" s="4" t="s">
        <v>37</v>
      </c>
      <c r="AO139" s="4" t="s">
        <v>38</v>
      </c>
      <c r="AP139" s="4">
        <v>42719.0</v>
      </c>
      <c r="AQ139" s="4">
        <v>17700.0</v>
      </c>
      <c r="AR139" s="4">
        <v>28200.0</v>
      </c>
      <c r="AS139" s="4">
        <v>10500.0</v>
      </c>
      <c r="AT139" s="4">
        <v>43.0</v>
      </c>
      <c r="AU139" s="4">
        <v>1212600.0</v>
      </c>
      <c r="AV139" s="4">
        <v>0.03</v>
      </c>
      <c r="AW139" s="4">
        <v>36378.0</v>
      </c>
      <c r="AX139" s="4">
        <v>1176222.0</v>
      </c>
      <c r="AY139" s="4">
        <v>761100.0</v>
      </c>
      <c r="AZ139" s="4">
        <v>415122.0</v>
      </c>
    </row>
    <row r="140" ht="15.75" customHeight="1">
      <c r="A140" s="3" t="s">
        <v>619</v>
      </c>
      <c r="B140" s="5">
        <v>42719.0</v>
      </c>
      <c r="C140" s="6">
        <f t="shared" si="1"/>
        <v>2016</v>
      </c>
      <c r="D140" s="7" t="s">
        <v>620</v>
      </c>
      <c r="E140" s="7" t="s">
        <v>621</v>
      </c>
      <c r="F140" s="7" t="s">
        <v>50</v>
      </c>
      <c r="G140" s="5" t="s">
        <v>51</v>
      </c>
      <c r="H140" s="7" t="s">
        <v>80</v>
      </c>
      <c r="I140" s="7" t="s">
        <v>34</v>
      </c>
      <c r="J140" s="7" t="s">
        <v>502</v>
      </c>
      <c r="K140" s="7" t="s">
        <v>36</v>
      </c>
      <c r="L140" s="7" t="s">
        <v>37</v>
      </c>
      <c r="M140" s="7" t="s">
        <v>38</v>
      </c>
      <c r="N140" s="5">
        <v>42720.0</v>
      </c>
      <c r="O140" s="8">
        <v>66900.0</v>
      </c>
      <c r="P140" s="8">
        <v>163350.0</v>
      </c>
      <c r="Q140" s="8">
        <f t="shared" si="2"/>
        <v>96450</v>
      </c>
      <c r="R140" s="8">
        <v>9.0</v>
      </c>
      <c r="S140" s="8">
        <f t="shared" si="3"/>
        <v>1470150</v>
      </c>
      <c r="T140" s="9">
        <v>0.03</v>
      </c>
      <c r="U140" s="8">
        <f t="shared" si="4"/>
        <v>44104.5</v>
      </c>
      <c r="V140" s="8">
        <f t="shared" si="5"/>
        <v>1426045.5</v>
      </c>
      <c r="W140" s="10">
        <f t="shared" si="6"/>
        <v>602100</v>
      </c>
      <c r="X140" s="10">
        <f t="shared" si="7"/>
        <v>823945.5</v>
      </c>
      <c r="Y140" s="10"/>
      <c r="Z140" s="10"/>
      <c r="AA140" s="10"/>
      <c r="AB140" s="4" t="s">
        <v>622</v>
      </c>
      <c r="AC140" s="4" t="s">
        <v>619</v>
      </c>
      <c r="AD140" s="4">
        <v>42719.0</v>
      </c>
      <c r="AE140" s="4">
        <v>2016.0</v>
      </c>
      <c r="AF140" s="4" t="s">
        <v>620</v>
      </c>
      <c r="AG140" s="4" t="s">
        <v>621</v>
      </c>
      <c r="AH140" s="4" t="s">
        <v>50</v>
      </c>
      <c r="AI140" s="4" t="s">
        <v>51</v>
      </c>
      <c r="AJ140" s="4" t="s">
        <v>80</v>
      </c>
      <c r="AK140" s="4" t="s">
        <v>34</v>
      </c>
      <c r="AL140" s="4" t="s">
        <v>502</v>
      </c>
      <c r="AM140" s="4" t="s">
        <v>36</v>
      </c>
      <c r="AN140" s="4" t="s">
        <v>37</v>
      </c>
      <c r="AO140" s="4" t="s">
        <v>38</v>
      </c>
      <c r="AP140" s="4">
        <v>42720.0</v>
      </c>
      <c r="AQ140" s="4">
        <v>66900.0</v>
      </c>
      <c r="AR140" s="4">
        <v>163350.0</v>
      </c>
      <c r="AS140" s="4">
        <v>96450.0</v>
      </c>
      <c r="AT140" s="4">
        <v>9.0</v>
      </c>
      <c r="AU140" s="4">
        <v>1470150.0</v>
      </c>
      <c r="AV140" s="4">
        <v>0.03</v>
      </c>
      <c r="AW140" s="4">
        <v>44104.5</v>
      </c>
      <c r="AX140" s="4">
        <v>1426045.5</v>
      </c>
      <c r="AY140" s="4">
        <v>602100.0</v>
      </c>
      <c r="AZ140" s="4">
        <v>823945.5</v>
      </c>
    </row>
    <row r="141" ht="15.75" customHeight="1">
      <c r="A141" s="3" t="s">
        <v>623</v>
      </c>
      <c r="B141" s="5">
        <v>42720.0</v>
      </c>
      <c r="C141" s="6">
        <f t="shared" si="1"/>
        <v>2016</v>
      </c>
      <c r="D141" s="7" t="s">
        <v>182</v>
      </c>
      <c r="E141" s="7" t="s">
        <v>183</v>
      </c>
      <c r="F141" s="7" t="s">
        <v>31</v>
      </c>
      <c r="G141" s="5" t="s">
        <v>51</v>
      </c>
      <c r="H141" s="7" t="s">
        <v>43</v>
      </c>
      <c r="I141" s="7" t="s">
        <v>74</v>
      </c>
      <c r="J141" s="7" t="s">
        <v>543</v>
      </c>
      <c r="K141" s="7" t="s">
        <v>36</v>
      </c>
      <c r="L141" s="7" t="s">
        <v>127</v>
      </c>
      <c r="M141" s="7" t="s">
        <v>38</v>
      </c>
      <c r="N141" s="5">
        <v>42722.0</v>
      </c>
      <c r="O141" s="8">
        <v>21900.0</v>
      </c>
      <c r="P141" s="8">
        <v>53550.0</v>
      </c>
      <c r="Q141" s="8">
        <f t="shared" si="2"/>
        <v>31650</v>
      </c>
      <c r="R141" s="8">
        <v>26.0</v>
      </c>
      <c r="S141" s="8">
        <f t="shared" si="3"/>
        <v>1392300</v>
      </c>
      <c r="T141" s="9">
        <v>0.04</v>
      </c>
      <c r="U141" s="8">
        <f t="shared" si="4"/>
        <v>55692</v>
      </c>
      <c r="V141" s="8">
        <f t="shared" si="5"/>
        <v>1336608</v>
      </c>
      <c r="W141" s="10">
        <f t="shared" si="6"/>
        <v>569400</v>
      </c>
      <c r="X141" s="10">
        <f t="shared" si="7"/>
        <v>767208</v>
      </c>
      <c r="Y141" s="10"/>
      <c r="Z141" s="10"/>
      <c r="AA141" s="10"/>
      <c r="AB141" s="4" t="s">
        <v>624</v>
      </c>
      <c r="AC141" s="4" t="s">
        <v>623</v>
      </c>
      <c r="AD141" s="4">
        <v>42720.0</v>
      </c>
      <c r="AE141" s="4">
        <v>2016.0</v>
      </c>
      <c r="AF141" s="4" t="s">
        <v>182</v>
      </c>
      <c r="AG141" s="4" t="s">
        <v>183</v>
      </c>
      <c r="AH141" s="4" t="s">
        <v>31</v>
      </c>
      <c r="AI141" s="4" t="s">
        <v>51</v>
      </c>
      <c r="AJ141" s="4" t="s">
        <v>43</v>
      </c>
      <c r="AK141" s="4" t="s">
        <v>74</v>
      </c>
      <c r="AL141" s="4" t="s">
        <v>543</v>
      </c>
      <c r="AM141" s="4" t="s">
        <v>36</v>
      </c>
      <c r="AN141" s="4" t="s">
        <v>127</v>
      </c>
      <c r="AO141" s="4" t="s">
        <v>38</v>
      </c>
      <c r="AP141" s="4">
        <v>42722.0</v>
      </c>
      <c r="AQ141" s="4">
        <v>21900.0</v>
      </c>
      <c r="AR141" s="4">
        <v>53550.0</v>
      </c>
      <c r="AS141" s="4">
        <v>31650.0</v>
      </c>
      <c r="AT141" s="4">
        <v>26.0</v>
      </c>
      <c r="AU141" s="4">
        <v>1392300.0</v>
      </c>
      <c r="AV141" s="4">
        <v>0.04</v>
      </c>
      <c r="AW141" s="4">
        <v>55692.0</v>
      </c>
      <c r="AX141" s="4">
        <v>1336608.0</v>
      </c>
      <c r="AY141" s="4">
        <v>569400.0</v>
      </c>
      <c r="AZ141" s="4">
        <v>767208.0</v>
      </c>
    </row>
    <row r="142" ht="15.75" customHeight="1">
      <c r="A142" s="3" t="s">
        <v>625</v>
      </c>
      <c r="B142" s="5">
        <v>42721.0</v>
      </c>
      <c r="C142" s="6">
        <f t="shared" si="1"/>
        <v>2016</v>
      </c>
      <c r="D142" s="7" t="s">
        <v>626</v>
      </c>
      <c r="E142" s="7" t="s">
        <v>30</v>
      </c>
      <c r="F142" s="7" t="s">
        <v>31</v>
      </c>
      <c r="G142" s="5" t="s">
        <v>91</v>
      </c>
      <c r="H142" s="7" t="s">
        <v>33</v>
      </c>
      <c r="I142" s="7" t="s">
        <v>92</v>
      </c>
      <c r="J142" s="7" t="s">
        <v>627</v>
      </c>
      <c r="K142" s="7" t="s">
        <v>36</v>
      </c>
      <c r="L142" s="7" t="s">
        <v>45</v>
      </c>
      <c r="M142" s="7" t="s">
        <v>55</v>
      </c>
      <c r="N142" s="5">
        <v>42723.0</v>
      </c>
      <c r="O142" s="8">
        <v>49800.0</v>
      </c>
      <c r="P142" s="8">
        <v>77700.0</v>
      </c>
      <c r="Q142" s="8">
        <f t="shared" si="2"/>
        <v>27900</v>
      </c>
      <c r="R142" s="8">
        <v>37.0</v>
      </c>
      <c r="S142" s="8">
        <f t="shared" si="3"/>
        <v>2874900</v>
      </c>
      <c r="T142" s="9">
        <v>0.07</v>
      </c>
      <c r="U142" s="8">
        <f t="shared" si="4"/>
        <v>201243</v>
      </c>
      <c r="V142" s="8">
        <f t="shared" si="5"/>
        <v>2673657</v>
      </c>
      <c r="W142" s="10">
        <f t="shared" si="6"/>
        <v>1842600</v>
      </c>
      <c r="X142" s="10">
        <f t="shared" si="7"/>
        <v>831057</v>
      </c>
      <c r="Y142" s="10"/>
      <c r="Z142" s="10"/>
      <c r="AA142" s="10"/>
      <c r="AB142" s="4" t="s">
        <v>628</v>
      </c>
      <c r="AC142" s="4" t="s">
        <v>625</v>
      </c>
      <c r="AD142" s="4">
        <v>42721.0</v>
      </c>
      <c r="AE142" s="4">
        <v>2016.0</v>
      </c>
      <c r="AF142" s="4" t="s">
        <v>626</v>
      </c>
      <c r="AG142" s="4" t="s">
        <v>30</v>
      </c>
      <c r="AH142" s="4" t="s">
        <v>31</v>
      </c>
      <c r="AI142" s="4" t="s">
        <v>91</v>
      </c>
      <c r="AJ142" s="4" t="s">
        <v>33</v>
      </c>
      <c r="AK142" s="4" t="s">
        <v>92</v>
      </c>
      <c r="AL142" s="4" t="s">
        <v>627</v>
      </c>
      <c r="AM142" s="4" t="s">
        <v>36</v>
      </c>
      <c r="AN142" s="4" t="s">
        <v>45</v>
      </c>
      <c r="AO142" s="4" t="s">
        <v>55</v>
      </c>
      <c r="AP142" s="4">
        <v>42723.0</v>
      </c>
      <c r="AQ142" s="4">
        <v>49800.0</v>
      </c>
      <c r="AR142" s="4">
        <v>77700.0</v>
      </c>
      <c r="AS142" s="4">
        <v>27900.0</v>
      </c>
      <c r="AT142" s="4">
        <v>37.0</v>
      </c>
      <c r="AU142" s="4">
        <v>2874900.0</v>
      </c>
      <c r="AV142" s="4">
        <v>0.07</v>
      </c>
      <c r="AW142" s="4">
        <v>201243.0</v>
      </c>
      <c r="AX142" s="4">
        <v>2673657.0</v>
      </c>
      <c r="AY142" s="4">
        <v>1842600.0</v>
      </c>
      <c r="AZ142" s="4">
        <v>831057.0</v>
      </c>
    </row>
    <row r="143" ht="15.75" customHeight="1">
      <c r="A143" s="3" t="s">
        <v>629</v>
      </c>
      <c r="B143" s="5">
        <v>42721.0</v>
      </c>
      <c r="C143" s="6">
        <f t="shared" si="1"/>
        <v>2016</v>
      </c>
      <c r="D143" s="7" t="s">
        <v>630</v>
      </c>
      <c r="E143" s="7" t="s">
        <v>631</v>
      </c>
      <c r="F143" s="7" t="s">
        <v>50</v>
      </c>
      <c r="G143" s="5" t="s">
        <v>51</v>
      </c>
      <c r="H143" s="7" t="s">
        <v>69</v>
      </c>
      <c r="I143" s="7" t="s">
        <v>74</v>
      </c>
      <c r="J143" s="7" t="s">
        <v>303</v>
      </c>
      <c r="K143" s="7" t="s">
        <v>36</v>
      </c>
      <c r="L143" s="7" t="s">
        <v>37</v>
      </c>
      <c r="M143" s="7" t="s">
        <v>38</v>
      </c>
      <c r="N143" s="5">
        <v>42726.0</v>
      </c>
      <c r="O143" s="8">
        <v>57600.0</v>
      </c>
      <c r="P143" s="8">
        <v>94500.0</v>
      </c>
      <c r="Q143" s="8">
        <f t="shared" si="2"/>
        <v>36900</v>
      </c>
      <c r="R143" s="8">
        <v>39.0</v>
      </c>
      <c r="S143" s="8">
        <f t="shared" si="3"/>
        <v>3685500</v>
      </c>
      <c r="T143" s="9">
        <v>0.1</v>
      </c>
      <c r="U143" s="8">
        <f t="shared" si="4"/>
        <v>368550</v>
      </c>
      <c r="V143" s="8">
        <f t="shared" si="5"/>
        <v>3316950</v>
      </c>
      <c r="W143" s="10">
        <f t="shared" si="6"/>
        <v>2246400</v>
      </c>
      <c r="X143" s="10">
        <f t="shared" si="7"/>
        <v>1070550</v>
      </c>
      <c r="Y143" s="10"/>
      <c r="Z143" s="10"/>
      <c r="AA143" s="10"/>
      <c r="AB143" s="4" t="s">
        <v>632</v>
      </c>
      <c r="AC143" s="4" t="s">
        <v>629</v>
      </c>
      <c r="AD143" s="4">
        <v>42721.0</v>
      </c>
      <c r="AE143" s="4">
        <v>2016.0</v>
      </c>
      <c r="AF143" s="4" t="s">
        <v>630</v>
      </c>
      <c r="AG143" s="4" t="s">
        <v>631</v>
      </c>
      <c r="AH143" s="4" t="s">
        <v>50</v>
      </c>
      <c r="AI143" s="4" t="s">
        <v>51</v>
      </c>
      <c r="AJ143" s="4" t="s">
        <v>69</v>
      </c>
      <c r="AK143" s="4" t="s">
        <v>74</v>
      </c>
      <c r="AL143" s="4" t="s">
        <v>303</v>
      </c>
      <c r="AM143" s="4" t="s">
        <v>36</v>
      </c>
      <c r="AN143" s="4" t="s">
        <v>37</v>
      </c>
      <c r="AO143" s="4" t="s">
        <v>38</v>
      </c>
      <c r="AP143" s="4">
        <v>42726.0</v>
      </c>
      <c r="AQ143" s="4">
        <v>57600.0</v>
      </c>
      <c r="AR143" s="4">
        <v>94500.0</v>
      </c>
      <c r="AS143" s="4">
        <v>36900.0</v>
      </c>
      <c r="AT143" s="4">
        <v>39.0</v>
      </c>
      <c r="AU143" s="4">
        <v>3685500.0</v>
      </c>
      <c r="AV143" s="4">
        <v>0.1</v>
      </c>
      <c r="AW143" s="4">
        <v>368550.0</v>
      </c>
      <c r="AX143" s="4">
        <v>3316950.0</v>
      </c>
      <c r="AY143" s="4">
        <v>2246400.0</v>
      </c>
      <c r="AZ143" s="4">
        <v>1070550.0</v>
      </c>
    </row>
    <row r="144" ht="15.75" customHeight="1">
      <c r="A144" s="3" t="s">
        <v>633</v>
      </c>
      <c r="B144" s="5">
        <v>42726.0</v>
      </c>
      <c r="C144" s="6">
        <f t="shared" si="1"/>
        <v>2016</v>
      </c>
      <c r="D144" s="7" t="s">
        <v>634</v>
      </c>
      <c r="E144" s="7" t="s">
        <v>85</v>
      </c>
      <c r="F144" s="7" t="s">
        <v>50</v>
      </c>
      <c r="G144" s="5" t="s">
        <v>51</v>
      </c>
      <c r="H144" s="7" t="s">
        <v>80</v>
      </c>
      <c r="I144" s="7" t="s">
        <v>92</v>
      </c>
      <c r="J144" s="7" t="s">
        <v>516</v>
      </c>
      <c r="K144" s="7" t="s">
        <v>36</v>
      </c>
      <c r="L144" s="7" t="s">
        <v>37</v>
      </c>
      <c r="M144" s="7" t="s">
        <v>38</v>
      </c>
      <c r="N144" s="5">
        <v>42727.0</v>
      </c>
      <c r="O144" s="8">
        <v>29100.0</v>
      </c>
      <c r="P144" s="8">
        <v>46200.0</v>
      </c>
      <c r="Q144" s="8">
        <f t="shared" si="2"/>
        <v>17100</v>
      </c>
      <c r="R144" s="8">
        <v>24.0</v>
      </c>
      <c r="S144" s="8">
        <f t="shared" si="3"/>
        <v>1108800</v>
      </c>
      <c r="T144" s="9">
        <v>0.04</v>
      </c>
      <c r="U144" s="8">
        <f t="shared" si="4"/>
        <v>44352</v>
      </c>
      <c r="V144" s="8">
        <f t="shared" si="5"/>
        <v>1064448</v>
      </c>
      <c r="W144" s="10">
        <f t="shared" si="6"/>
        <v>698400</v>
      </c>
      <c r="X144" s="10">
        <f t="shared" si="7"/>
        <v>366048</v>
      </c>
      <c r="Y144" s="10"/>
      <c r="Z144" s="10"/>
      <c r="AA144" s="10"/>
      <c r="AB144" s="4" t="s">
        <v>635</v>
      </c>
      <c r="AC144" s="4" t="s">
        <v>633</v>
      </c>
      <c r="AD144" s="4">
        <v>42726.0</v>
      </c>
      <c r="AE144" s="4">
        <v>2016.0</v>
      </c>
      <c r="AF144" s="4" t="s">
        <v>634</v>
      </c>
      <c r="AG144" s="4" t="s">
        <v>85</v>
      </c>
      <c r="AH144" s="4" t="s">
        <v>50</v>
      </c>
      <c r="AI144" s="4" t="s">
        <v>51</v>
      </c>
      <c r="AJ144" s="4" t="s">
        <v>80</v>
      </c>
      <c r="AK144" s="4" t="s">
        <v>92</v>
      </c>
      <c r="AL144" s="4" t="s">
        <v>516</v>
      </c>
      <c r="AM144" s="4" t="s">
        <v>36</v>
      </c>
      <c r="AN144" s="4" t="s">
        <v>37</v>
      </c>
      <c r="AO144" s="4" t="s">
        <v>38</v>
      </c>
      <c r="AP144" s="4">
        <v>42727.0</v>
      </c>
      <c r="AQ144" s="4">
        <v>29100.0</v>
      </c>
      <c r="AR144" s="4">
        <v>46200.0</v>
      </c>
      <c r="AS144" s="4">
        <v>17100.0</v>
      </c>
      <c r="AT144" s="4">
        <v>24.0</v>
      </c>
      <c r="AU144" s="4">
        <v>1108800.0</v>
      </c>
      <c r="AV144" s="4">
        <v>0.04</v>
      </c>
      <c r="AW144" s="4">
        <v>44352.0</v>
      </c>
      <c r="AX144" s="4">
        <v>1064448.0</v>
      </c>
      <c r="AY144" s="4">
        <v>698400.0</v>
      </c>
      <c r="AZ144" s="4">
        <v>366048.0</v>
      </c>
    </row>
    <row r="145" ht="15.75" customHeight="1">
      <c r="A145" s="3" t="s">
        <v>636</v>
      </c>
      <c r="B145" s="5">
        <v>42727.0</v>
      </c>
      <c r="C145" s="6">
        <f t="shared" si="1"/>
        <v>2016</v>
      </c>
      <c r="D145" s="7" t="s">
        <v>637</v>
      </c>
      <c r="E145" s="7" t="s">
        <v>638</v>
      </c>
      <c r="F145" s="7" t="s">
        <v>50</v>
      </c>
      <c r="G145" s="5" t="s">
        <v>51</v>
      </c>
      <c r="H145" s="7" t="s">
        <v>98</v>
      </c>
      <c r="I145" s="7" t="s">
        <v>92</v>
      </c>
      <c r="J145" s="7" t="s">
        <v>345</v>
      </c>
      <c r="K145" s="7" t="s">
        <v>36</v>
      </c>
      <c r="L145" s="7" t="s">
        <v>45</v>
      </c>
      <c r="M145" s="7" t="s">
        <v>38</v>
      </c>
      <c r="N145" s="5">
        <v>42729.0</v>
      </c>
      <c r="O145" s="8">
        <v>26400.0</v>
      </c>
      <c r="P145" s="8">
        <v>50700.0</v>
      </c>
      <c r="Q145" s="8">
        <f t="shared" si="2"/>
        <v>24300</v>
      </c>
      <c r="R145" s="8">
        <v>27.0</v>
      </c>
      <c r="S145" s="8">
        <f t="shared" si="3"/>
        <v>1368900</v>
      </c>
      <c r="T145" s="9">
        <v>0.08</v>
      </c>
      <c r="U145" s="8">
        <f t="shared" si="4"/>
        <v>109512</v>
      </c>
      <c r="V145" s="8">
        <f t="shared" si="5"/>
        <v>1259388</v>
      </c>
      <c r="W145" s="10">
        <f t="shared" si="6"/>
        <v>712800</v>
      </c>
      <c r="X145" s="10">
        <f t="shared" si="7"/>
        <v>546588</v>
      </c>
      <c r="Y145" s="10"/>
      <c r="Z145" s="10"/>
      <c r="AA145" s="10"/>
      <c r="AB145" s="4" t="s">
        <v>639</v>
      </c>
      <c r="AC145" s="4" t="s">
        <v>636</v>
      </c>
      <c r="AD145" s="4">
        <v>42727.0</v>
      </c>
      <c r="AE145" s="4">
        <v>2016.0</v>
      </c>
      <c r="AF145" s="4" t="s">
        <v>637</v>
      </c>
      <c r="AG145" s="4" t="s">
        <v>638</v>
      </c>
      <c r="AH145" s="4" t="s">
        <v>50</v>
      </c>
      <c r="AI145" s="4" t="s">
        <v>51</v>
      </c>
      <c r="AJ145" s="4" t="s">
        <v>98</v>
      </c>
      <c r="AK145" s="4" t="s">
        <v>92</v>
      </c>
      <c r="AL145" s="4" t="s">
        <v>345</v>
      </c>
      <c r="AM145" s="4" t="s">
        <v>36</v>
      </c>
      <c r="AN145" s="4" t="s">
        <v>45</v>
      </c>
      <c r="AO145" s="4" t="s">
        <v>38</v>
      </c>
      <c r="AP145" s="4">
        <v>42729.0</v>
      </c>
      <c r="AQ145" s="4">
        <v>26400.0</v>
      </c>
      <c r="AR145" s="4">
        <v>50700.0</v>
      </c>
      <c r="AS145" s="4">
        <v>24300.0</v>
      </c>
      <c r="AT145" s="4">
        <v>27.0</v>
      </c>
      <c r="AU145" s="4">
        <v>1368900.0</v>
      </c>
      <c r="AV145" s="4">
        <v>0.08</v>
      </c>
      <c r="AW145" s="4">
        <v>109512.0</v>
      </c>
      <c r="AX145" s="4">
        <v>1259388.0</v>
      </c>
      <c r="AY145" s="4">
        <v>712800.0</v>
      </c>
      <c r="AZ145" s="4">
        <v>546588.0</v>
      </c>
    </row>
    <row r="146" ht="15.75" customHeight="1">
      <c r="A146" s="3" t="s">
        <v>640</v>
      </c>
      <c r="B146" s="5">
        <v>42729.0</v>
      </c>
      <c r="C146" s="6">
        <f t="shared" si="1"/>
        <v>2016</v>
      </c>
      <c r="D146" s="7" t="s">
        <v>641</v>
      </c>
      <c r="E146" s="7" t="s">
        <v>642</v>
      </c>
      <c r="F146" s="7" t="s">
        <v>50</v>
      </c>
      <c r="G146" s="5" t="s">
        <v>91</v>
      </c>
      <c r="H146" s="7" t="s">
        <v>69</v>
      </c>
      <c r="I146" s="7" t="s">
        <v>53</v>
      </c>
      <c r="J146" s="7" t="s">
        <v>502</v>
      </c>
      <c r="K146" s="7" t="s">
        <v>36</v>
      </c>
      <c r="L146" s="7" t="s">
        <v>37</v>
      </c>
      <c r="M146" s="7" t="s">
        <v>38</v>
      </c>
      <c r="N146" s="5">
        <v>42731.0</v>
      </c>
      <c r="O146" s="8">
        <v>66900.0</v>
      </c>
      <c r="P146" s="8">
        <v>163350.0</v>
      </c>
      <c r="Q146" s="8">
        <f t="shared" si="2"/>
        <v>96450</v>
      </c>
      <c r="R146" s="8">
        <v>37.0</v>
      </c>
      <c r="S146" s="8">
        <f t="shared" si="3"/>
        <v>6043950</v>
      </c>
      <c r="T146" s="9">
        <v>0.1</v>
      </c>
      <c r="U146" s="8">
        <f t="shared" si="4"/>
        <v>604395</v>
      </c>
      <c r="V146" s="8">
        <f t="shared" si="5"/>
        <v>5439555</v>
      </c>
      <c r="W146" s="10">
        <f t="shared" si="6"/>
        <v>2475300</v>
      </c>
      <c r="X146" s="10">
        <f t="shared" si="7"/>
        <v>2964255</v>
      </c>
      <c r="Y146" s="10"/>
      <c r="Z146" s="10"/>
      <c r="AA146" s="10"/>
      <c r="AB146" s="4" t="s">
        <v>643</v>
      </c>
      <c r="AC146" s="4" t="s">
        <v>640</v>
      </c>
      <c r="AD146" s="4">
        <v>42729.0</v>
      </c>
      <c r="AE146" s="4">
        <v>2016.0</v>
      </c>
      <c r="AF146" s="4" t="s">
        <v>641</v>
      </c>
      <c r="AG146" s="4" t="s">
        <v>642</v>
      </c>
      <c r="AH146" s="4" t="s">
        <v>50</v>
      </c>
      <c r="AI146" s="4" t="s">
        <v>91</v>
      </c>
      <c r="AJ146" s="4" t="s">
        <v>69</v>
      </c>
      <c r="AK146" s="4" t="s">
        <v>53</v>
      </c>
      <c r="AL146" s="4" t="s">
        <v>502</v>
      </c>
      <c r="AM146" s="4" t="s">
        <v>36</v>
      </c>
      <c r="AN146" s="4" t="s">
        <v>37</v>
      </c>
      <c r="AO146" s="4" t="s">
        <v>38</v>
      </c>
      <c r="AP146" s="4">
        <v>42731.0</v>
      </c>
      <c r="AQ146" s="4">
        <v>66900.0</v>
      </c>
      <c r="AR146" s="4">
        <v>163350.0</v>
      </c>
      <c r="AS146" s="4">
        <v>96450.0</v>
      </c>
      <c r="AT146" s="4">
        <v>37.0</v>
      </c>
      <c r="AU146" s="4">
        <v>6043950.0</v>
      </c>
      <c r="AV146" s="4">
        <v>0.1</v>
      </c>
      <c r="AW146" s="4">
        <v>604395.0</v>
      </c>
      <c r="AX146" s="4">
        <v>5439555.0</v>
      </c>
      <c r="AY146" s="4">
        <v>2475300.0</v>
      </c>
      <c r="AZ146" s="4">
        <v>2964255.0</v>
      </c>
    </row>
    <row r="147" ht="15.75" customHeight="1">
      <c r="A147" s="3" t="s">
        <v>644</v>
      </c>
      <c r="B147" s="5">
        <v>42729.0</v>
      </c>
      <c r="C147" s="6">
        <f t="shared" si="1"/>
        <v>2016</v>
      </c>
      <c r="D147" s="7" t="s">
        <v>645</v>
      </c>
      <c r="E147" s="7" t="s">
        <v>238</v>
      </c>
      <c r="F147" s="7" t="s">
        <v>50</v>
      </c>
      <c r="G147" s="5" t="s">
        <v>68</v>
      </c>
      <c r="H147" s="7" t="s">
        <v>151</v>
      </c>
      <c r="I147" s="7" t="s">
        <v>92</v>
      </c>
      <c r="J147" s="7" t="s">
        <v>105</v>
      </c>
      <c r="K147" s="7" t="s">
        <v>36</v>
      </c>
      <c r="L147" s="7" t="s">
        <v>37</v>
      </c>
      <c r="M147" s="7" t="s">
        <v>38</v>
      </c>
      <c r="N147" s="5">
        <v>42732.0</v>
      </c>
      <c r="O147" s="8">
        <v>73350.0</v>
      </c>
      <c r="P147" s="8">
        <v>114600.0</v>
      </c>
      <c r="Q147" s="8">
        <f t="shared" si="2"/>
        <v>41250</v>
      </c>
      <c r="R147" s="8">
        <v>44.0</v>
      </c>
      <c r="S147" s="8">
        <f t="shared" si="3"/>
        <v>5042400</v>
      </c>
      <c r="T147" s="9">
        <v>0.01</v>
      </c>
      <c r="U147" s="8">
        <f t="shared" si="4"/>
        <v>50424</v>
      </c>
      <c r="V147" s="8">
        <f t="shared" si="5"/>
        <v>4991976</v>
      </c>
      <c r="W147" s="10">
        <f t="shared" si="6"/>
        <v>3227400</v>
      </c>
      <c r="X147" s="10">
        <f t="shared" si="7"/>
        <v>1764576</v>
      </c>
      <c r="Y147" s="10"/>
      <c r="Z147" s="10"/>
      <c r="AA147" s="10"/>
      <c r="AB147" s="4" t="s">
        <v>646</v>
      </c>
      <c r="AC147" s="4" t="s">
        <v>644</v>
      </c>
      <c r="AD147" s="4">
        <v>42729.0</v>
      </c>
      <c r="AE147" s="4">
        <v>2016.0</v>
      </c>
      <c r="AF147" s="4" t="s">
        <v>645</v>
      </c>
      <c r="AG147" s="4" t="s">
        <v>238</v>
      </c>
      <c r="AH147" s="4" t="s">
        <v>50</v>
      </c>
      <c r="AI147" s="4" t="s">
        <v>68</v>
      </c>
      <c r="AJ147" s="4" t="s">
        <v>151</v>
      </c>
      <c r="AK147" s="4" t="s">
        <v>92</v>
      </c>
      <c r="AL147" s="4" t="s">
        <v>105</v>
      </c>
      <c r="AM147" s="4" t="s">
        <v>36</v>
      </c>
      <c r="AN147" s="4" t="s">
        <v>37</v>
      </c>
      <c r="AO147" s="4" t="s">
        <v>38</v>
      </c>
      <c r="AP147" s="4">
        <v>42732.0</v>
      </c>
      <c r="AQ147" s="4">
        <v>73350.0</v>
      </c>
      <c r="AR147" s="4">
        <v>114600.0</v>
      </c>
      <c r="AS147" s="4">
        <v>41250.0</v>
      </c>
      <c r="AT147" s="4">
        <v>44.0</v>
      </c>
      <c r="AU147" s="4">
        <v>5042400.0</v>
      </c>
      <c r="AV147" s="4">
        <v>0.01</v>
      </c>
      <c r="AW147" s="4">
        <v>50424.0</v>
      </c>
      <c r="AX147" s="4">
        <v>4991976.0</v>
      </c>
      <c r="AY147" s="4">
        <v>3227400.0</v>
      </c>
      <c r="AZ147" s="4">
        <v>1764576.0</v>
      </c>
    </row>
    <row r="148" ht="15.75" customHeight="1">
      <c r="A148" s="3" t="s">
        <v>647</v>
      </c>
      <c r="B148" s="5">
        <v>42729.0</v>
      </c>
      <c r="C148" s="6">
        <f t="shared" si="1"/>
        <v>2016</v>
      </c>
      <c r="D148" s="7" t="s">
        <v>648</v>
      </c>
      <c r="E148" s="7" t="s">
        <v>424</v>
      </c>
      <c r="F148" s="7" t="s">
        <v>50</v>
      </c>
      <c r="G148" s="5" t="s">
        <v>51</v>
      </c>
      <c r="H148" s="7" t="s">
        <v>80</v>
      </c>
      <c r="I148" s="7" t="s">
        <v>104</v>
      </c>
      <c r="J148" s="7" t="s">
        <v>649</v>
      </c>
      <c r="K148" s="7" t="s">
        <v>61</v>
      </c>
      <c r="L148" s="7" t="s">
        <v>37</v>
      </c>
      <c r="M148" s="7" t="s">
        <v>38</v>
      </c>
      <c r="N148" s="5">
        <v>42731.0</v>
      </c>
      <c r="O148" s="8">
        <v>631650.0</v>
      </c>
      <c r="P148" s="8">
        <v>1214700.0</v>
      </c>
      <c r="Q148" s="8">
        <f t="shared" si="2"/>
        <v>583050</v>
      </c>
      <c r="R148" s="8">
        <v>34.0</v>
      </c>
      <c r="S148" s="8">
        <f t="shared" si="3"/>
        <v>41299800</v>
      </c>
      <c r="T148" s="9">
        <v>0.07</v>
      </c>
      <c r="U148" s="8">
        <f t="shared" si="4"/>
        <v>2890986</v>
      </c>
      <c r="V148" s="8">
        <f t="shared" si="5"/>
        <v>38408814</v>
      </c>
      <c r="W148" s="10">
        <f t="shared" si="6"/>
        <v>21476100</v>
      </c>
      <c r="X148" s="10">
        <f t="shared" si="7"/>
        <v>16932714</v>
      </c>
      <c r="Y148" s="10"/>
      <c r="Z148" s="10"/>
      <c r="AA148" s="10"/>
      <c r="AB148" s="4" t="s">
        <v>650</v>
      </c>
      <c r="AC148" s="4" t="s">
        <v>647</v>
      </c>
      <c r="AD148" s="4">
        <v>42729.0</v>
      </c>
      <c r="AE148" s="4">
        <v>2016.0</v>
      </c>
      <c r="AF148" s="4" t="s">
        <v>648</v>
      </c>
      <c r="AG148" s="4" t="s">
        <v>424</v>
      </c>
      <c r="AH148" s="4" t="s">
        <v>50</v>
      </c>
      <c r="AI148" s="4" t="s">
        <v>51</v>
      </c>
      <c r="AJ148" s="4" t="s">
        <v>80</v>
      </c>
      <c r="AK148" s="4" t="s">
        <v>104</v>
      </c>
      <c r="AL148" s="4" t="s">
        <v>649</v>
      </c>
      <c r="AM148" s="4" t="s">
        <v>61</v>
      </c>
      <c r="AN148" s="4" t="s">
        <v>37</v>
      </c>
      <c r="AO148" s="4" t="s">
        <v>38</v>
      </c>
      <c r="AP148" s="4">
        <v>42731.0</v>
      </c>
      <c r="AQ148" s="4">
        <v>631650.0</v>
      </c>
      <c r="AR148" s="4">
        <v>1214700.0</v>
      </c>
      <c r="AS148" s="4">
        <v>583050.0</v>
      </c>
      <c r="AT148" s="4">
        <v>34.0</v>
      </c>
      <c r="AU148" s="4">
        <v>4.12998E7</v>
      </c>
      <c r="AV148" s="4">
        <v>0.07</v>
      </c>
      <c r="AW148" s="4">
        <v>2890986.0</v>
      </c>
      <c r="AX148" s="4">
        <v>3.8408814E7</v>
      </c>
      <c r="AY148" s="4">
        <v>2.14761E7</v>
      </c>
      <c r="AZ148" s="4">
        <v>1.6932714E7</v>
      </c>
    </row>
    <row r="149" ht="15.75" customHeight="1">
      <c r="A149" s="3" t="s">
        <v>651</v>
      </c>
      <c r="B149" s="5">
        <v>42731.0</v>
      </c>
      <c r="C149" s="6">
        <f t="shared" si="1"/>
        <v>2016</v>
      </c>
      <c r="D149" s="7" t="s">
        <v>652</v>
      </c>
      <c r="E149" s="7" t="s">
        <v>653</v>
      </c>
      <c r="F149" s="7" t="s">
        <v>289</v>
      </c>
      <c r="G149" s="5" t="s">
        <v>32</v>
      </c>
      <c r="H149" s="7" t="s">
        <v>360</v>
      </c>
      <c r="I149" s="7" t="s">
        <v>74</v>
      </c>
      <c r="J149" s="7" t="s">
        <v>654</v>
      </c>
      <c r="K149" s="7" t="s">
        <v>36</v>
      </c>
      <c r="L149" s="7" t="s">
        <v>127</v>
      </c>
      <c r="M149" s="7" t="s">
        <v>55</v>
      </c>
      <c r="N149" s="5">
        <v>42735.0</v>
      </c>
      <c r="O149" s="8">
        <v>37500.0</v>
      </c>
      <c r="P149" s="8">
        <v>85200.0</v>
      </c>
      <c r="Q149" s="8">
        <f t="shared" si="2"/>
        <v>47700</v>
      </c>
      <c r="R149" s="8">
        <v>46.0</v>
      </c>
      <c r="S149" s="8">
        <f t="shared" si="3"/>
        <v>3919200</v>
      </c>
      <c r="T149" s="9">
        <v>0.1</v>
      </c>
      <c r="U149" s="8">
        <f t="shared" si="4"/>
        <v>391920</v>
      </c>
      <c r="V149" s="8">
        <f t="shared" si="5"/>
        <v>3527280</v>
      </c>
      <c r="W149" s="10">
        <f t="shared" si="6"/>
        <v>1725000</v>
      </c>
      <c r="X149" s="10">
        <f t="shared" si="7"/>
        <v>1802280</v>
      </c>
      <c r="Y149" s="10"/>
      <c r="Z149" s="10"/>
      <c r="AA149" s="10"/>
      <c r="AB149" s="4" t="s">
        <v>655</v>
      </c>
      <c r="AC149" s="4" t="s">
        <v>651</v>
      </c>
      <c r="AD149" s="4">
        <v>42731.0</v>
      </c>
      <c r="AE149" s="4">
        <v>2016.0</v>
      </c>
      <c r="AF149" s="4" t="s">
        <v>652</v>
      </c>
      <c r="AG149" s="4" t="s">
        <v>653</v>
      </c>
      <c r="AH149" s="4" t="s">
        <v>289</v>
      </c>
      <c r="AI149" s="4" t="s">
        <v>32</v>
      </c>
      <c r="AJ149" s="4" t="s">
        <v>360</v>
      </c>
      <c r="AK149" s="4" t="s">
        <v>74</v>
      </c>
      <c r="AL149" s="4" t="s">
        <v>654</v>
      </c>
      <c r="AM149" s="4" t="s">
        <v>36</v>
      </c>
      <c r="AN149" s="4" t="s">
        <v>127</v>
      </c>
      <c r="AO149" s="4" t="s">
        <v>55</v>
      </c>
      <c r="AP149" s="4">
        <v>42735.0</v>
      </c>
      <c r="AQ149" s="4">
        <v>37500.0</v>
      </c>
      <c r="AR149" s="4">
        <v>85200.0</v>
      </c>
      <c r="AS149" s="4">
        <v>47700.0</v>
      </c>
      <c r="AT149" s="4">
        <v>46.0</v>
      </c>
      <c r="AU149" s="4">
        <v>3919200.0</v>
      </c>
      <c r="AV149" s="4">
        <v>0.1</v>
      </c>
      <c r="AW149" s="4">
        <v>391920.0</v>
      </c>
      <c r="AX149" s="4">
        <v>3527280.0</v>
      </c>
      <c r="AY149" s="4">
        <v>1725000.0</v>
      </c>
      <c r="AZ149" s="4">
        <v>1802280.0</v>
      </c>
    </row>
    <row r="150" ht="15.75" customHeight="1">
      <c r="A150" s="3" t="s">
        <v>656</v>
      </c>
      <c r="B150" s="5">
        <v>42734.0</v>
      </c>
      <c r="C150" s="6">
        <f t="shared" si="1"/>
        <v>2016</v>
      </c>
      <c r="D150" s="7" t="s">
        <v>657</v>
      </c>
      <c r="E150" s="7" t="s">
        <v>139</v>
      </c>
      <c r="F150" s="7" t="s">
        <v>50</v>
      </c>
      <c r="G150" s="5" t="s">
        <v>51</v>
      </c>
      <c r="H150" s="7" t="s">
        <v>140</v>
      </c>
      <c r="I150" s="7" t="s">
        <v>34</v>
      </c>
      <c r="J150" s="7" t="s">
        <v>563</v>
      </c>
      <c r="K150" s="7" t="s">
        <v>36</v>
      </c>
      <c r="L150" s="7" t="s">
        <v>37</v>
      </c>
      <c r="M150" s="7" t="s">
        <v>38</v>
      </c>
      <c r="N150" s="5">
        <v>42736.0</v>
      </c>
      <c r="O150" s="8">
        <v>52500.0</v>
      </c>
      <c r="P150" s="8">
        <v>86100.0</v>
      </c>
      <c r="Q150" s="8">
        <f t="shared" si="2"/>
        <v>33600</v>
      </c>
      <c r="R150" s="8">
        <v>3.0</v>
      </c>
      <c r="S150" s="8">
        <f t="shared" si="3"/>
        <v>258300</v>
      </c>
      <c r="T150" s="9">
        <v>0.08</v>
      </c>
      <c r="U150" s="8">
        <f t="shared" si="4"/>
        <v>20664</v>
      </c>
      <c r="V150" s="8">
        <f t="shared" si="5"/>
        <v>237636</v>
      </c>
      <c r="W150" s="10">
        <f t="shared" si="6"/>
        <v>157500</v>
      </c>
      <c r="X150" s="10">
        <f t="shared" si="7"/>
        <v>80136</v>
      </c>
      <c r="Y150" s="10"/>
      <c r="Z150" s="10"/>
      <c r="AA150" s="10"/>
      <c r="AB150" s="4" t="s">
        <v>658</v>
      </c>
      <c r="AC150" s="4" t="s">
        <v>656</v>
      </c>
      <c r="AD150" s="4">
        <v>42734.0</v>
      </c>
      <c r="AE150" s="4">
        <v>2016.0</v>
      </c>
      <c r="AF150" s="4" t="s">
        <v>657</v>
      </c>
      <c r="AG150" s="4" t="s">
        <v>139</v>
      </c>
      <c r="AH150" s="4" t="s">
        <v>50</v>
      </c>
      <c r="AI150" s="4" t="s">
        <v>51</v>
      </c>
      <c r="AJ150" s="4" t="s">
        <v>140</v>
      </c>
      <c r="AK150" s="4" t="s">
        <v>34</v>
      </c>
      <c r="AL150" s="4" t="s">
        <v>563</v>
      </c>
      <c r="AM150" s="4" t="s">
        <v>36</v>
      </c>
      <c r="AN150" s="4" t="s">
        <v>37</v>
      </c>
      <c r="AO150" s="4" t="s">
        <v>38</v>
      </c>
      <c r="AP150" s="4">
        <v>42736.0</v>
      </c>
      <c r="AQ150" s="4">
        <v>52500.0</v>
      </c>
      <c r="AR150" s="4">
        <v>86100.0</v>
      </c>
      <c r="AS150" s="4">
        <v>33600.0</v>
      </c>
      <c r="AT150" s="4">
        <v>3.0</v>
      </c>
      <c r="AU150" s="4">
        <v>258300.0</v>
      </c>
      <c r="AV150" s="4">
        <v>0.08</v>
      </c>
      <c r="AW150" s="4">
        <v>20664.0</v>
      </c>
      <c r="AX150" s="4">
        <v>237636.0</v>
      </c>
      <c r="AY150" s="4">
        <v>157500.0</v>
      </c>
      <c r="AZ150" s="4">
        <v>80136.0</v>
      </c>
    </row>
    <row r="151" ht="15.75" customHeight="1">
      <c r="A151" s="3" t="s">
        <v>659</v>
      </c>
      <c r="B151" s="5">
        <v>42735.0</v>
      </c>
      <c r="C151" s="6">
        <f t="shared" si="1"/>
        <v>2016</v>
      </c>
      <c r="D151" s="7" t="s">
        <v>660</v>
      </c>
      <c r="E151" s="7" t="s">
        <v>49</v>
      </c>
      <c r="F151" s="7" t="s">
        <v>50</v>
      </c>
      <c r="G151" s="5" t="s">
        <v>32</v>
      </c>
      <c r="H151" s="7" t="s">
        <v>52</v>
      </c>
      <c r="I151" s="7" t="s">
        <v>74</v>
      </c>
      <c r="J151" s="7" t="s">
        <v>254</v>
      </c>
      <c r="K151" s="7" t="s">
        <v>36</v>
      </c>
      <c r="L151" s="7" t="s">
        <v>37</v>
      </c>
      <c r="M151" s="7" t="s">
        <v>55</v>
      </c>
      <c r="N151" s="5">
        <v>42742.0</v>
      </c>
      <c r="O151" s="8">
        <v>208200.0</v>
      </c>
      <c r="P151" s="8">
        <v>335700.0</v>
      </c>
      <c r="Q151" s="8">
        <f t="shared" si="2"/>
        <v>127500</v>
      </c>
      <c r="R151" s="8">
        <v>16.0</v>
      </c>
      <c r="S151" s="8">
        <f t="shared" si="3"/>
        <v>5371200</v>
      </c>
      <c r="T151" s="9">
        <v>0.0</v>
      </c>
      <c r="U151" s="8">
        <f t="shared" si="4"/>
        <v>0</v>
      </c>
      <c r="V151" s="8">
        <f t="shared" si="5"/>
        <v>5371200</v>
      </c>
      <c r="W151" s="10">
        <f t="shared" si="6"/>
        <v>3331200</v>
      </c>
      <c r="X151" s="10">
        <f t="shared" si="7"/>
        <v>2040000</v>
      </c>
      <c r="Y151" s="10"/>
      <c r="Z151" s="10"/>
      <c r="AA151" s="10"/>
      <c r="AB151" s="4" t="s">
        <v>661</v>
      </c>
      <c r="AC151" s="4" t="s">
        <v>659</v>
      </c>
      <c r="AD151" s="4">
        <v>42735.0</v>
      </c>
      <c r="AE151" s="4">
        <v>2016.0</v>
      </c>
      <c r="AF151" s="4" t="s">
        <v>660</v>
      </c>
      <c r="AG151" s="4" t="s">
        <v>49</v>
      </c>
      <c r="AH151" s="4" t="s">
        <v>50</v>
      </c>
      <c r="AI151" s="4" t="s">
        <v>32</v>
      </c>
      <c r="AJ151" s="4" t="s">
        <v>52</v>
      </c>
      <c r="AK151" s="4" t="s">
        <v>74</v>
      </c>
      <c r="AL151" s="4" t="s">
        <v>254</v>
      </c>
      <c r="AM151" s="4" t="s">
        <v>36</v>
      </c>
      <c r="AN151" s="4" t="s">
        <v>37</v>
      </c>
      <c r="AO151" s="4" t="s">
        <v>55</v>
      </c>
      <c r="AP151" s="4">
        <v>42742.0</v>
      </c>
      <c r="AQ151" s="4">
        <v>208200.0</v>
      </c>
      <c r="AR151" s="4">
        <v>335700.0</v>
      </c>
      <c r="AS151" s="4">
        <v>127500.0</v>
      </c>
      <c r="AT151" s="4">
        <v>16.0</v>
      </c>
      <c r="AU151" s="4">
        <v>5371200.0</v>
      </c>
      <c r="AV151" s="4">
        <v>0.0</v>
      </c>
      <c r="AW151" s="4">
        <v>0.0</v>
      </c>
      <c r="AX151" s="4">
        <v>5371200.0</v>
      </c>
      <c r="AY151" s="4">
        <v>3331200.0</v>
      </c>
      <c r="AZ151" s="4">
        <v>2040000.0</v>
      </c>
    </row>
    <row r="152" ht="15.75" customHeight="1">
      <c r="A152" s="3" t="s">
        <v>662</v>
      </c>
      <c r="B152" s="5">
        <v>42737.0</v>
      </c>
      <c r="C152" s="6">
        <f t="shared" si="1"/>
        <v>2017</v>
      </c>
      <c r="D152" s="7" t="s">
        <v>663</v>
      </c>
      <c r="E152" s="7" t="s">
        <v>364</v>
      </c>
      <c r="F152" s="7" t="s">
        <v>50</v>
      </c>
      <c r="G152" s="5" t="s">
        <v>51</v>
      </c>
      <c r="H152" s="7" t="s">
        <v>344</v>
      </c>
      <c r="I152" s="7" t="s">
        <v>34</v>
      </c>
      <c r="J152" s="7" t="s">
        <v>115</v>
      </c>
      <c r="K152" s="7" t="s">
        <v>36</v>
      </c>
      <c r="L152" s="7" t="s">
        <v>37</v>
      </c>
      <c r="M152" s="7" t="s">
        <v>38</v>
      </c>
      <c r="N152" s="5">
        <v>42738.0</v>
      </c>
      <c r="O152" s="8">
        <v>540300.0</v>
      </c>
      <c r="P152" s="8">
        <v>871500.0</v>
      </c>
      <c r="Q152" s="8">
        <f t="shared" si="2"/>
        <v>331200</v>
      </c>
      <c r="R152" s="8">
        <v>7.0</v>
      </c>
      <c r="S152" s="8">
        <f t="shared" si="3"/>
        <v>6100500</v>
      </c>
      <c r="T152" s="9">
        <v>0.1</v>
      </c>
      <c r="U152" s="8">
        <f t="shared" si="4"/>
        <v>610050</v>
      </c>
      <c r="V152" s="8">
        <f t="shared" si="5"/>
        <v>5490450</v>
      </c>
      <c r="W152" s="10">
        <f t="shared" si="6"/>
        <v>3782100</v>
      </c>
      <c r="X152" s="10">
        <f t="shared" si="7"/>
        <v>1708350</v>
      </c>
      <c r="Y152" s="10"/>
      <c r="Z152" s="10"/>
      <c r="AA152" s="10"/>
      <c r="AB152" s="4" t="s">
        <v>664</v>
      </c>
      <c r="AC152" s="4" t="s">
        <v>662</v>
      </c>
      <c r="AD152" s="4">
        <v>42737.0</v>
      </c>
      <c r="AE152" s="4">
        <v>2017.0</v>
      </c>
      <c r="AF152" s="4" t="s">
        <v>663</v>
      </c>
      <c r="AG152" s="4" t="s">
        <v>364</v>
      </c>
      <c r="AH152" s="4" t="s">
        <v>50</v>
      </c>
      <c r="AI152" s="4" t="s">
        <v>51</v>
      </c>
      <c r="AJ152" s="4" t="s">
        <v>344</v>
      </c>
      <c r="AK152" s="4" t="s">
        <v>34</v>
      </c>
      <c r="AL152" s="4" t="s">
        <v>115</v>
      </c>
      <c r="AM152" s="4" t="s">
        <v>36</v>
      </c>
      <c r="AN152" s="4" t="s">
        <v>37</v>
      </c>
      <c r="AO152" s="4" t="s">
        <v>38</v>
      </c>
      <c r="AP152" s="4">
        <v>42738.0</v>
      </c>
      <c r="AQ152" s="4">
        <v>540300.0</v>
      </c>
      <c r="AR152" s="4">
        <v>871500.0</v>
      </c>
      <c r="AS152" s="4">
        <v>331200.0</v>
      </c>
      <c r="AT152" s="4">
        <v>7.0</v>
      </c>
      <c r="AU152" s="4">
        <v>6100500.0</v>
      </c>
      <c r="AV152" s="4">
        <v>0.1</v>
      </c>
      <c r="AW152" s="4">
        <v>610050.0</v>
      </c>
      <c r="AX152" s="4">
        <v>5490450.0</v>
      </c>
      <c r="AY152" s="4">
        <v>3782100.0</v>
      </c>
      <c r="AZ152" s="4">
        <v>1708350.0</v>
      </c>
    </row>
    <row r="153" ht="15.75" customHeight="1">
      <c r="A153" s="3" t="s">
        <v>665</v>
      </c>
      <c r="B153" s="5">
        <v>42739.0</v>
      </c>
      <c r="C153" s="6">
        <f t="shared" si="1"/>
        <v>2017</v>
      </c>
      <c r="D153" s="7" t="s">
        <v>666</v>
      </c>
      <c r="E153" s="7" t="s">
        <v>667</v>
      </c>
      <c r="F153" s="7" t="s">
        <v>50</v>
      </c>
      <c r="G153" s="5" t="s">
        <v>32</v>
      </c>
      <c r="H153" s="7" t="s">
        <v>140</v>
      </c>
      <c r="I153" s="7" t="s">
        <v>53</v>
      </c>
      <c r="J153" s="7" t="s">
        <v>165</v>
      </c>
      <c r="K153" s="7" t="s">
        <v>36</v>
      </c>
      <c r="L153" s="7" t="s">
        <v>127</v>
      </c>
      <c r="M153" s="7" t="s">
        <v>38</v>
      </c>
      <c r="N153" s="5">
        <v>42741.0</v>
      </c>
      <c r="O153" s="8">
        <v>14100.0</v>
      </c>
      <c r="P153" s="8">
        <v>31200.0</v>
      </c>
      <c r="Q153" s="8">
        <f t="shared" si="2"/>
        <v>17100</v>
      </c>
      <c r="R153" s="8">
        <v>43.0</v>
      </c>
      <c r="S153" s="8">
        <f t="shared" si="3"/>
        <v>1341600</v>
      </c>
      <c r="T153" s="9">
        <v>0.05</v>
      </c>
      <c r="U153" s="8">
        <f t="shared" si="4"/>
        <v>67080</v>
      </c>
      <c r="V153" s="8">
        <f t="shared" si="5"/>
        <v>1274520</v>
      </c>
      <c r="W153" s="10">
        <f t="shared" si="6"/>
        <v>606300</v>
      </c>
      <c r="X153" s="10">
        <f t="shared" si="7"/>
        <v>668220</v>
      </c>
      <c r="Y153" s="10"/>
      <c r="Z153" s="10"/>
      <c r="AA153" s="10"/>
      <c r="AB153" s="4" t="s">
        <v>668</v>
      </c>
      <c r="AC153" s="4" t="s">
        <v>665</v>
      </c>
      <c r="AD153" s="4">
        <v>42739.0</v>
      </c>
      <c r="AE153" s="4">
        <v>2017.0</v>
      </c>
      <c r="AF153" s="4" t="s">
        <v>666</v>
      </c>
      <c r="AG153" s="4" t="s">
        <v>667</v>
      </c>
      <c r="AH153" s="4" t="s">
        <v>50</v>
      </c>
      <c r="AI153" s="4" t="s">
        <v>32</v>
      </c>
      <c r="AJ153" s="4" t="s">
        <v>140</v>
      </c>
      <c r="AK153" s="4" t="s">
        <v>53</v>
      </c>
      <c r="AL153" s="4" t="s">
        <v>165</v>
      </c>
      <c r="AM153" s="4" t="s">
        <v>36</v>
      </c>
      <c r="AN153" s="4" t="s">
        <v>127</v>
      </c>
      <c r="AO153" s="4" t="s">
        <v>38</v>
      </c>
      <c r="AP153" s="4">
        <v>42741.0</v>
      </c>
      <c r="AQ153" s="4">
        <v>14100.0</v>
      </c>
      <c r="AR153" s="4">
        <v>31200.0</v>
      </c>
      <c r="AS153" s="4">
        <v>17100.0</v>
      </c>
      <c r="AT153" s="4">
        <v>43.0</v>
      </c>
      <c r="AU153" s="4">
        <v>1341600.0</v>
      </c>
      <c r="AV153" s="4">
        <v>0.05</v>
      </c>
      <c r="AW153" s="4">
        <v>67080.0</v>
      </c>
      <c r="AX153" s="4">
        <v>1274520.0</v>
      </c>
      <c r="AY153" s="4">
        <v>606300.0</v>
      </c>
      <c r="AZ153" s="4">
        <v>668220.0</v>
      </c>
    </row>
    <row r="154" ht="15.75" customHeight="1">
      <c r="A154" s="3" t="s">
        <v>669</v>
      </c>
      <c r="B154" s="5">
        <v>42740.0</v>
      </c>
      <c r="C154" s="6">
        <f t="shared" si="1"/>
        <v>2017</v>
      </c>
      <c r="D154" s="7" t="s">
        <v>670</v>
      </c>
      <c r="E154" s="7" t="s">
        <v>671</v>
      </c>
      <c r="F154" s="7" t="s">
        <v>50</v>
      </c>
      <c r="G154" s="5" t="s">
        <v>68</v>
      </c>
      <c r="H154" s="7" t="s">
        <v>125</v>
      </c>
      <c r="I154" s="7" t="s">
        <v>74</v>
      </c>
      <c r="J154" s="7" t="s">
        <v>269</v>
      </c>
      <c r="K154" s="7" t="s">
        <v>61</v>
      </c>
      <c r="L154" s="7" t="s">
        <v>244</v>
      </c>
      <c r="M154" s="7" t="s">
        <v>38</v>
      </c>
      <c r="N154" s="5">
        <v>42747.0</v>
      </c>
      <c r="O154" s="8">
        <v>148650.0</v>
      </c>
      <c r="P154" s="8">
        <v>239850.0</v>
      </c>
      <c r="Q154" s="8">
        <f t="shared" si="2"/>
        <v>91200</v>
      </c>
      <c r="R154" s="8">
        <v>27.0</v>
      </c>
      <c r="S154" s="8">
        <f t="shared" si="3"/>
        <v>6475950</v>
      </c>
      <c r="T154" s="9">
        <v>0.01</v>
      </c>
      <c r="U154" s="8">
        <f t="shared" si="4"/>
        <v>64759.5</v>
      </c>
      <c r="V154" s="8">
        <f t="shared" si="5"/>
        <v>6411190.5</v>
      </c>
      <c r="W154" s="10">
        <f t="shared" si="6"/>
        <v>4013550</v>
      </c>
      <c r="X154" s="10">
        <f t="shared" si="7"/>
        <v>2397640.5</v>
      </c>
      <c r="Y154" s="10"/>
      <c r="Z154" s="10"/>
      <c r="AA154" s="10"/>
      <c r="AB154" s="4" t="s">
        <v>672</v>
      </c>
      <c r="AC154" s="4" t="s">
        <v>669</v>
      </c>
      <c r="AD154" s="4">
        <v>42740.0</v>
      </c>
      <c r="AE154" s="4">
        <v>2017.0</v>
      </c>
      <c r="AF154" s="4" t="s">
        <v>670</v>
      </c>
      <c r="AG154" s="4" t="s">
        <v>671</v>
      </c>
      <c r="AH154" s="4" t="s">
        <v>50</v>
      </c>
      <c r="AI154" s="4" t="s">
        <v>68</v>
      </c>
      <c r="AJ154" s="4" t="s">
        <v>125</v>
      </c>
      <c r="AK154" s="4" t="s">
        <v>74</v>
      </c>
      <c r="AL154" s="4" t="s">
        <v>269</v>
      </c>
      <c r="AM154" s="4" t="s">
        <v>61</v>
      </c>
      <c r="AN154" s="4" t="s">
        <v>244</v>
      </c>
      <c r="AO154" s="4" t="s">
        <v>38</v>
      </c>
      <c r="AP154" s="4">
        <v>42747.0</v>
      </c>
      <c r="AQ154" s="4">
        <v>148650.0</v>
      </c>
      <c r="AR154" s="4">
        <v>239850.0</v>
      </c>
      <c r="AS154" s="4">
        <v>91200.0</v>
      </c>
      <c r="AT154" s="4">
        <v>27.0</v>
      </c>
      <c r="AU154" s="4">
        <v>6475950.0</v>
      </c>
      <c r="AV154" s="4">
        <v>0.01</v>
      </c>
      <c r="AW154" s="4">
        <v>64759.5</v>
      </c>
      <c r="AX154" s="4">
        <v>6411190.5</v>
      </c>
      <c r="AY154" s="4">
        <v>4013550.0</v>
      </c>
      <c r="AZ154" s="4">
        <v>2397640.5</v>
      </c>
    </row>
    <row r="155" ht="15.75" customHeight="1">
      <c r="A155" s="3" t="s">
        <v>673</v>
      </c>
      <c r="B155" s="5">
        <v>42743.0</v>
      </c>
      <c r="C155" s="6">
        <f t="shared" si="1"/>
        <v>2017</v>
      </c>
      <c r="D155" s="7" t="s">
        <v>402</v>
      </c>
      <c r="E155" s="7" t="s">
        <v>403</v>
      </c>
      <c r="F155" s="7" t="s">
        <v>289</v>
      </c>
      <c r="G155" s="5" t="s">
        <v>32</v>
      </c>
      <c r="H155" s="7" t="s">
        <v>140</v>
      </c>
      <c r="I155" s="7" t="s">
        <v>104</v>
      </c>
      <c r="J155" s="7" t="s">
        <v>627</v>
      </c>
      <c r="K155" s="7" t="s">
        <v>36</v>
      </c>
      <c r="L155" s="7" t="s">
        <v>45</v>
      </c>
      <c r="M155" s="7" t="s">
        <v>38</v>
      </c>
      <c r="N155" s="5">
        <v>42745.0</v>
      </c>
      <c r="O155" s="8">
        <v>49800.0</v>
      </c>
      <c r="P155" s="8">
        <v>77700.0</v>
      </c>
      <c r="Q155" s="8">
        <f t="shared" si="2"/>
        <v>27900</v>
      </c>
      <c r="R155" s="8">
        <v>23.0</v>
      </c>
      <c r="S155" s="8">
        <f t="shared" si="3"/>
        <v>1787100</v>
      </c>
      <c r="T155" s="9">
        <v>0.05</v>
      </c>
      <c r="U155" s="8">
        <f t="shared" si="4"/>
        <v>89355</v>
      </c>
      <c r="V155" s="8">
        <f t="shared" si="5"/>
        <v>1697745</v>
      </c>
      <c r="W155" s="10">
        <f t="shared" si="6"/>
        <v>1145400</v>
      </c>
      <c r="X155" s="10">
        <f t="shared" si="7"/>
        <v>552345</v>
      </c>
      <c r="Y155" s="10"/>
      <c r="Z155" s="10"/>
      <c r="AA155" s="10"/>
      <c r="AB155" s="4" t="s">
        <v>674</v>
      </c>
      <c r="AC155" s="4" t="s">
        <v>673</v>
      </c>
      <c r="AD155" s="4">
        <v>42743.0</v>
      </c>
      <c r="AE155" s="4">
        <v>2017.0</v>
      </c>
      <c r="AF155" s="4" t="s">
        <v>402</v>
      </c>
      <c r="AG155" s="4" t="s">
        <v>403</v>
      </c>
      <c r="AH155" s="4" t="s">
        <v>289</v>
      </c>
      <c r="AI155" s="4" t="s">
        <v>32</v>
      </c>
      <c r="AJ155" s="4" t="s">
        <v>140</v>
      </c>
      <c r="AK155" s="4" t="s">
        <v>104</v>
      </c>
      <c r="AL155" s="4" t="s">
        <v>627</v>
      </c>
      <c r="AM155" s="4" t="s">
        <v>36</v>
      </c>
      <c r="AN155" s="4" t="s">
        <v>45</v>
      </c>
      <c r="AO155" s="4" t="s">
        <v>38</v>
      </c>
      <c r="AP155" s="4">
        <v>42745.0</v>
      </c>
      <c r="AQ155" s="4">
        <v>49800.0</v>
      </c>
      <c r="AR155" s="4">
        <v>77700.0</v>
      </c>
      <c r="AS155" s="4">
        <v>27900.0</v>
      </c>
      <c r="AT155" s="4">
        <v>23.0</v>
      </c>
      <c r="AU155" s="4">
        <v>1787100.0</v>
      </c>
      <c r="AV155" s="4">
        <v>0.05</v>
      </c>
      <c r="AW155" s="4">
        <v>89355.0</v>
      </c>
      <c r="AX155" s="4">
        <v>1697745.0</v>
      </c>
      <c r="AY155" s="4">
        <v>1145400.0</v>
      </c>
      <c r="AZ155" s="4">
        <v>552345.0</v>
      </c>
    </row>
    <row r="156" ht="15.75" customHeight="1">
      <c r="A156" s="3" t="s">
        <v>675</v>
      </c>
      <c r="B156" s="5">
        <v>42743.0</v>
      </c>
      <c r="C156" s="6">
        <f t="shared" si="1"/>
        <v>2017</v>
      </c>
      <c r="D156" s="7" t="s">
        <v>676</v>
      </c>
      <c r="E156" s="7" t="s">
        <v>183</v>
      </c>
      <c r="F156" s="7" t="s">
        <v>31</v>
      </c>
      <c r="G156" s="5" t="s">
        <v>32</v>
      </c>
      <c r="H156" s="7" t="s">
        <v>43</v>
      </c>
      <c r="I156" s="7" t="s">
        <v>34</v>
      </c>
      <c r="J156" s="7" t="s">
        <v>677</v>
      </c>
      <c r="K156" s="7" t="s">
        <v>36</v>
      </c>
      <c r="L156" s="7" t="s">
        <v>37</v>
      </c>
      <c r="M156" s="7" t="s">
        <v>38</v>
      </c>
      <c r="N156" s="5">
        <v>42745.0</v>
      </c>
      <c r="O156" s="8">
        <v>224250.0</v>
      </c>
      <c r="P156" s="8">
        <v>521399.99999999994</v>
      </c>
      <c r="Q156" s="8">
        <f t="shared" si="2"/>
        <v>297150</v>
      </c>
      <c r="R156" s="8">
        <v>15.0</v>
      </c>
      <c r="S156" s="8">
        <f t="shared" si="3"/>
        <v>7821000</v>
      </c>
      <c r="T156" s="9">
        <v>0.09</v>
      </c>
      <c r="U156" s="8">
        <f t="shared" si="4"/>
        <v>703890</v>
      </c>
      <c r="V156" s="8">
        <f t="shared" si="5"/>
        <v>7117110</v>
      </c>
      <c r="W156" s="10">
        <f t="shared" si="6"/>
        <v>3363750</v>
      </c>
      <c r="X156" s="10">
        <f t="shared" si="7"/>
        <v>3753360</v>
      </c>
      <c r="Y156" s="10"/>
      <c r="Z156" s="10"/>
      <c r="AA156" s="10"/>
      <c r="AB156" s="4" t="s">
        <v>678</v>
      </c>
      <c r="AC156" s="4" t="s">
        <v>675</v>
      </c>
      <c r="AD156" s="4">
        <v>42743.0</v>
      </c>
      <c r="AE156" s="4">
        <v>2017.0</v>
      </c>
      <c r="AF156" s="4" t="s">
        <v>676</v>
      </c>
      <c r="AG156" s="4" t="s">
        <v>183</v>
      </c>
      <c r="AH156" s="4" t="s">
        <v>31</v>
      </c>
      <c r="AI156" s="4" t="s">
        <v>32</v>
      </c>
      <c r="AJ156" s="4" t="s">
        <v>43</v>
      </c>
      <c r="AK156" s="4" t="s">
        <v>34</v>
      </c>
      <c r="AL156" s="4" t="s">
        <v>677</v>
      </c>
      <c r="AM156" s="4" t="s">
        <v>36</v>
      </c>
      <c r="AN156" s="4" t="s">
        <v>37</v>
      </c>
      <c r="AO156" s="4" t="s">
        <v>38</v>
      </c>
      <c r="AP156" s="4">
        <v>42745.0</v>
      </c>
      <c r="AQ156" s="4">
        <v>224250.0</v>
      </c>
      <c r="AR156" s="4">
        <v>521400.0</v>
      </c>
      <c r="AS156" s="4">
        <v>297150.0</v>
      </c>
      <c r="AT156" s="4">
        <v>15.0</v>
      </c>
      <c r="AU156" s="4">
        <v>7821000.0</v>
      </c>
      <c r="AV156" s="4">
        <v>0.09</v>
      </c>
      <c r="AW156" s="4">
        <v>703890.0</v>
      </c>
      <c r="AX156" s="4">
        <v>7117110.0</v>
      </c>
      <c r="AY156" s="4">
        <v>3363750.0</v>
      </c>
      <c r="AZ156" s="4">
        <v>3753360.0</v>
      </c>
    </row>
    <row r="157" ht="15.75" customHeight="1">
      <c r="A157" s="3" t="s">
        <v>679</v>
      </c>
      <c r="B157" s="5">
        <v>42744.0</v>
      </c>
      <c r="C157" s="6">
        <f t="shared" si="1"/>
        <v>2017</v>
      </c>
      <c r="D157" s="7" t="s">
        <v>133</v>
      </c>
      <c r="E157" s="7" t="s">
        <v>134</v>
      </c>
      <c r="F157" s="7" t="s">
        <v>50</v>
      </c>
      <c r="G157" s="5" t="s">
        <v>51</v>
      </c>
      <c r="H157" s="7" t="s">
        <v>98</v>
      </c>
      <c r="I157" s="7" t="s">
        <v>74</v>
      </c>
      <c r="J157" s="7" t="s">
        <v>680</v>
      </c>
      <c r="K157" s="7" t="s">
        <v>36</v>
      </c>
      <c r="L157" s="7" t="s">
        <v>37</v>
      </c>
      <c r="M157" s="7" t="s">
        <v>38</v>
      </c>
      <c r="N157" s="5">
        <v>42749.0</v>
      </c>
      <c r="O157" s="8">
        <v>332700.0</v>
      </c>
      <c r="P157" s="8">
        <v>811500.0</v>
      </c>
      <c r="Q157" s="8">
        <f t="shared" si="2"/>
        <v>478800</v>
      </c>
      <c r="R157" s="8">
        <v>19.0</v>
      </c>
      <c r="S157" s="8">
        <f t="shared" si="3"/>
        <v>15418500</v>
      </c>
      <c r="T157" s="9">
        <v>0.1</v>
      </c>
      <c r="U157" s="8">
        <f t="shared" si="4"/>
        <v>1541850</v>
      </c>
      <c r="V157" s="8">
        <f t="shared" si="5"/>
        <v>13876650</v>
      </c>
      <c r="W157" s="10">
        <f t="shared" si="6"/>
        <v>6321300</v>
      </c>
      <c r="X157" s="10">
        <f t="shared" si="7"/>
        <v>7555350</v>
      </c>
      <c r="Y157" s="10"/>
      <c r="Z157" s="10"/>
      <c r="AA157" s="10"/>
      <c r="AB157" s="4" t="s">
        <v>681</v>
      </c>
      <c r="AC157" s="4" t="s">
        <v>679</v>
      </c>
      <c r="AD157" s="4">
        <v>42744.0</v>
      </c>
      <c r="AE157" s="4">
        <v>2017.0</v>
      </c>
      <c r="AF157" s="4" t="s">
        <v>133</v>
      </c>
      <c r="AG157" s="4" t="s">
        <v>134</v>
      </c>
      <c r="AH157" s="4" t="s">
        <v>50</v>
      </c>
      <c r="AI157" s="4" t="s">
        <v>51</v>
      </c>
      <c r="AJ157" s="4" t="s">
        <v>98</v>
      </c>
      <c r="AK157" s="4" t="s">
        <v>74</v>
      </c>
      <c r="AL157" s="4" t="s">
        <v>680</v>
      </c>
      <c r="AM157" s="4" t="s">
        <v>36</v>
      </c>
      <c r="AN157" s="4" t="s">
        <v>37</v>
      </c>
      <c r="AO157" s="4" t="s">
        <v>38</v>
      </c>
      <c r="AP157" s="4">
        <v>42749.0</v>
      </c>
      <c r="AQ157" s="4">
        <v>332700.0</v>
      </c>
      <c r="AR157" s="4">
        <v>811500.0</v>
      </c>
      <c r="AS157" s="4">
        <v>478800.0</v>
      </c>
      <c r="AT157" s="4">
        <v>19.0</v>
      </c>
      <c r="AU157" s="4">
        <v>1.54185E7</v>
      </c>
      <c r="AV157" s="4">
        <v>0.1</v>
      </c>
      <c r="AW157" s="4">
        <v>1541850.0</v>
      </c>
      <c r="AX157" s="4">
        <v>1.387665E7</v>
      </c>
      <c r="AY157" s="4">
        <v>6321300.0</v>
      </c>
      <c r="AZ157" s="4">
        <v>7555350.0</v>
      </c>
    </row>
    <row r="158" ht="15.75" customHeight="1">
      <c r="A158" s="3" t="s">
        <v>682</v>
      </c>
      <c r="B158" s="5">
        <v>42747.0</v>
      </c>
      <c r="C158" s="6">
        <f t="shared" si="1"/>
        <v>2017</v>
      </c>
      <c r="D158" s="7" t="s">
        <v>683</v>
      </c>
      <c r="E158" s="7" t="s">
        <v>684</v>
      </c>
      <c r="F158" s="7" t="s">
        <v>50</v>
      </c>
      <c r="G158" s="5" t="s">
        <v>51</v>
      </c>
      <c r="H158" s="7" t="s">
        <v>98</v>
      </c>
      <c r="I158" s="7" t="s">
        <v>92</v>
      </c>
      <c r="J158" s="7" t="s">
        <v>627</v>
      </c>
      <c r="K158" s="7" t="s">
        <v>36</v>
      </c>
      <c r="L158" s="7" t="s">
        <v>45</v>
      </c>
      <c r="M158" s="7" t="s">
        <v>38</v>
      </c>
      <c r="N158" s="5">
        <v>42749.0</v>
      </c>
      <c r="O158" s="8">
        <v>49800.0</v>
      </c>
      <c r="P158" s="8">
        <v>77700.0</v>
      </c>
      <c r="Q158" s="8">
        <f t="shared" si="2"/>
        <v>27900</v>
      </c>
      <c r="R158" s="8">
        <v>10.0</v>
      </c>
      <c r="S158" s="8">
        <f t="shared" si="3"/>
        <v>777000</v>
      </c>
      <c r="T158" s="9">
        <v>0.01</v>
      </c>
      <c r="U158" s="8">
        <f t="shared" si="4"/>
        <v>7770</v>
      </c>
      <c r="V158" s="8">
        <f t="shared" si="5"/>
        <v>769230</v>
      </c>
      <c r="W158" s="10">
        <f t="shared" si="6"/>
        <v>498000</v>
      </c>
      <c r="X158" s="10">
        <f t="shared" si="7"/>
        <v>271230</v>
      </c>
      <c r="Y158" s="10"/>
      <c r="Z158" s="10"/>
      <c r="AA158" s="10"/>
      <c r="AB158" s="4" t="s">
        <v>685</v>
      </c>
      <c r="AC158" s="4" t="s">
        <v>682</v>
      </c>
      <c r="AD158" s="4">
        <v>42747.0</v>
      </c>
      <c r="AE158" s="4">
        <v>2017.0</v>
      </c>
      <c r="AF158" s="4" t="s">
        <v>683</v>
      </c>
      <c r="AG158" s="4" t="s">
        <v>684</v>
      </c>
      <c r="AH158" s="4" t="s">
        <v>50</v>
      </c>
      <c r="AI158" s="4" t="s">
        <v>51</v>
      </c>
      <c r="AJ158" s="4" t="s">
        <v>98</v>
      </c>
      <c r="AK158" s="4" t="s">
        <v>92</v>
      </c>
      <c r="AL158" s="4" t="s">
        <v>627</v>
      </c>
      <c r="AM158" s="4" t="s">
        <v>36</v>
      </c>
      <c r="AN158" s="4" t="s">
        <v>45</v>
      </c>
      <c r="AO158" s="4" t="s">
        <v>38</v>
      </c>
      <c r="AP158" s="4">
        <v>42749.0</v>
      </c>
      <c r="AQ158" s="4">
        <v>49800.0</v>
      </c>
      <c r="AR158" s="4">
        <v>77700.0</v>
      </c>
      <c r="AS158" s="4">
        <v>27900.0</v>
      </c>
      <c r="AT158" s="4">
        <v>10.0</v>
      </c>
      <c r="AU158" s="4">
        <v>777000.0</v>
      </c>
      <c r="AV158" s="4">
        <v>0.01</v>
      </c>
      <c r="AW158" s="4">
        <v>7770.0</v>
      </c>
      <c r="AX158" s="4">
        <v>769230.0</v>
      </c>
      <c r="AY158" s="4">
        <v>498000.0</v>
      </c>
      <c r="AZ158" s="4">
        <v>271230.0</v>
      </c>
    </row>
    <row r="159" ht="15.75" customHeight="1">
      <c r="A159" s="3" t="s">
        <v>686</v>
      </c>
      <c r="B159" s="5">
        <v>42748.0</v>
      </c>
      <c r="C159" s="6">
        <f t="shared" si="1"/>
        <v>2017</v>
      </c>
      <c r="D159" s="7" t="s">
        <v>687</v>
      </c>
      <c r="E159" s="7" t="s">
        <v>183</v>
      </c>
      <c r="F159" s="7" t="s">
        <v>31</v>
      </c>
      <c r="G159" s="5" t="s">
        <v>51</v>
      </c>
      <c r="H159" s="7" t="s">
        <v>43</v>
      </c>
      <c r="I159" s="7" t="s">
        <v>104</v>
      </c>
      <c r="J159" s="7" t="s">
        <v>339</v>
      </c>
      <c r="K159" s="7" t="s">
        <v>61</v>
      </c>
      <c r="L159" s="7" t="s">
        <v>127</v>
      </c>
      <c r="M159" s="7" t="s">
        <v>55</v>
      </c>
      <c r="N159" s="5">
        <v>42749.0</v>
      </c>
      <c r="O159" s="8">
        <v>302700.0</v>
      </c>
      <c r="P159" s="8">
        <v>531150.0</v>
      </c>
      <c r="Q159" s="8">
        <f t="shared" si="2"/>
        <v>228450</v>
      </c>
      <c r="R159" s="8">
        <v>16.0</v>
      </c>
      <c r="S159" s="8">
        <f t="shared" si="3"/>
        <v>8498400</v>
      </c>
      <c r="T159" s="9">
        <v>0.0</v>
      </c>
      <c r="U159" s="8">
        <f t="shared" si="4"/>
        <v>0</v>
      </c>
      <c r="V159" s="8">
        <f t="shared" si="5"/>
        <v>8498400</v>
      </c>
      <c r="W159" s="10">
        <f t="shared" si="6"/>
        <v>4843200</v>
      </c>
      <c r="X159" s="10">
        <f t="shared" si="7"/>
        <v>3655200</v>
      </c>
      <c r="Y159" s="10"/>
      <c r="Z159" s="10"/>
      <c r="AA159" s="10"/>
      <c r="AB159" s="4" t="s">
        <v>688</v>
      </c>
      <c r="AC159" s="4" t="s">
        <v>686</v>
      </c>
      <c r="AD159" s="4">
        <v>42748.0</v>
      </c>
      <c r="AE159" s="4">
        <v>2017.0</v>
      </c>
      <c r="AF159" s="4" t="s">
        <v>687</v>
      </c>
      <c r="AG159" s="4" t="s">
        <v>183</v>
      </c>
      <c r="AH159" s="4" t="s">
        <v>31</v>
      </c>
      <c r="AI159" s="4" t="s">
        <v>51</v>
      </c>
      <c r="AJ159" s="4" t="s">
        <v>43</v>
      </c>
      <c r="AK159" s="4" t="s">
        <v>104</v>
      </c>
      <c r="AL159" s="4" t="s">
        <v>339</v>
      </c>
      <c r="AM159" s="4" t="s">
        <v>61</v>
      </c>
      <c r="AN159" s="4" t="s">
        <v>127</v>
      </c>
      <c r="AO159" s="4" t="s">
        <v>55</v>
      </c>
      <c r="AP159" s="4">
        <v>42749.0</v>
      </c>
      <c r="AQ159" s="4">
        <v>302700.0</v>
      </c>
      <c r="AR159" s="4">
        <v>531150.0</v>
      </c>
      <c r="AS159" s="4">
        <v>228450.0</v>
      </c>
      <c r="AT159" s="4">
        <v>16.0</v>
      </c>
      <c r="AU159" s="4">
        <v>8498400.0</v>
      </c>
      <c r="AV159" s="4">
        <v>0.0</v>
      </c>
      <c r="AW159" s="4">
        <v>0.0</v>
      </c>
      <c r="AX159" s="4">
        <v>8498400.0</v>
      </c>
      <c r="AY159" s="4">
        <v>4843200.0</v>
      </c>
      <c r="AZ159" s="4">
        <v>3655200.0</v>
      </c>
    </row>
    <row r="160" ht="15.75" customHeight="1">
      <c r="A160" s="3" t="s">
        <v>689</v>
      </c>
      <c r="B160" s="5">
        <v>42750.0</v>
      </c>
      <c r="C160" s="6">
        <f t="shared" si="1"/>
        <v>2017</v>
      </c>
      <c r="D160" s="7" t="s">
        <v>500</v>
      </c>
      <c r="E160" s="7" t="s">
        <v>501</v>
      </c>
      <c r="F160" s="7" t="s">
        <v>289</v>
      </c>
      <c r="G160" s="5" t="s">
        <v>68</v>
      </c>
      <c r="H160" s="7" t="s">
        <v>80</v>
      </c>
      <c r="I160" s="7" t="s">
        <v>34</v>
      </c>
      <c r="J160" s="7" t="s">
        <v>259</v>
      </c>
      <c r="K160" s="7" t="s">
        <v>36</v>
      </c>
      <c r="L160" s="7" t="s">
        <v>45</v>
      </c>
      <c r="M160" s="7" t="s">
        <v>55</v>
      </c>
      <c r="N160" s="5">
        <v>42751.0</v>
      </c>
      <c r="O160" s="8">
        <v>323400.0</v>
      </c>
      <c r="P160" s="8">
        <v>548250.0</v>
      </c>
      <c r="Q160" s="8">
        <f t="shared" si="2"/>
        <v>224850</v>
      </c>
      <c r="R160" s="8">
        <v>46.0</v>
      </c>
      <c r="S160" s="8">
        <f t="shared" si="3"/>
        <v>25219500</v>
      </c>
      <c r="T160" s="9">
        <v>0.05</v>
      </c>
      <c r="U160" s="8">
        <f t="shared" si="4"/>
        <v>1260975</v>
      </c>
      <c r="V160" s="8">
        <f t="shared" si="5"/>
        <v>23958525</v>
      </c>
      <c r="W160" s="10">
        <f t="shared" si="6"/>
        <v>14876400</v>
      </c>
      <c r="X160" s="10">
        <f t="shared" si="7"/>
        <v>9082125</v>
      </c>
      <c r="Y160" s="10"/>
      <c r="Z160" s="10"/>
      <c r="AA160" s="10"/>
      <c r="AB160" s="4" t="s">
        <v>690</v>
      </c>
      <c r="AC160" s="4" t="s">
        <v>689</v>
      </c>
      <c r="AD160" s="4">
        <v>42750.0</v>
      </c>
      <c r="AE160" s="4">
        <v>2017.0</v>
      </c>
      <c r="AF160" s="4" t="s">
        <v>500</v>
      </c>
      <c r="AG160" s="4" t="s">
        <v>501</v>
      </c>
      <c r="AH160" s="4" t="s">
        <v>289</v>
      </c>
      <c r="AI160" s="4" t="s">
        <v>68</v>
      </c>
      <c r="AJ160" s="4" t="s">
        <v>80</v>
      </c>
      <c r="AK160" s="4" t="s">
        <v>34</v>
      </c>
      <c r="AL160" s="4" t="s">
        <v>259</v>
      </c>
      <c r="AM160" s="4" t="s">
        <v>36</v>
      </c>
      <c r="AN160" s="4" t="s">
        <v>45</v>
      </c>
      <c r="AO160" s="4" t="s">
        <v>55</v>
      </c>
      <c r="AP160" s="4">
        <v>42751.0</v>
      </c>
      <c r="AQ160" s="4">
        <v>323400.0</v>
      </c>
      <c r="AR160" s="4">
        <v>548250.0</v>
      </c>
      <c r="AS160" s="4">
        <v>224850.0</v>
      </c>
      <c r="AT160" s="4">
        <v>46.0</v>
      </c>
      <c r="AU160" s="4">
        <v>2.52195E7</v>
      </c>
      <c r="AV160" s="4">
        <v>0.05</v>
      </c>
      <c r="AW160" s="4">
        <v>1260975.0</v>
      </c>
      <c r="AX160" s="4">
        <v>2.3958525E7</v>
      </c>
      <c r="AY160" s="4">
        <v>1.48764E7</v>
      </c>
      <c r="AZ160" s="4">
        <v>9082125.0</v>
      </c>
    </row>
    <row r="161" ht="15.75" customHeight="1">
      <c r="A161" s="3" t="s">
        <v>691</v>
      </c>
      <c r="B161" s="5">
        <v>42751.0</v>
      </c>
      <c r="C161" s="6">
        <f t="shared" si="1"/>
        <v>2017</v>
      </c>
      <c r="D161" s="7" t="s">
        <v>692</v>
      </c>
      <c r="E161" s="7" t="s">
        <v>693</v>
      </c>
      <c r="F161" s="7" t="s">
        <v>50</v>
      </c>
      <c r="G161" s="5" t="s">
        <v>51</v>
      </c>
      <c r="H161" s="7" t="s">
        <v>189</v>
      </c>
      <c r="I161" s="7" t="s">
        <v>34</v>
      </c>
      <c r="J161" s="7" t="s">
        <v>365</v>
      </c>
      <c r="K161" s="7" t="s">
        <v>36</v>
      </c>
      <c r="L161" s="7" t="s">
        <v>37</v>
      </c>
      <c r="M161" s="7" t="s">
        <v>38</v>
      </c>
      <c r="N161" s="5">
        <v>42752.0</v>
      </c>
      <c r="O161" s="8">
        <v>2682450.0</v>
      </c>
      <c r="P161" s="8">
        <v>6238200.0</v>
      </c>
      <c r="Q161" s="8">
        <f t="shared" si="2"/>
        <v>3555750</v>
      </c>
      <c r="R161" s="8">
        <v>2.0</v>
      </c>
      <c r="S161" s="8">
        <f t="shared" si="3"/>
        <v>12476400</v>
      </c>
      <c r="T161" s="9">
        <v>0.08</v>
      </c>
      <c r="U161" s="8">
        <f t="shared" si="4"/>
        <v>998112</v>
      </c>
      <c r="V161" s="8">
        <f t="shared" si="5"/>
        <v>11478288</v>
      </c>
      <c r="W161" s="10">
        <f t="shared" si="6"/>
        <v>5364900</v>
      </c>
      <c r="X161" s="10">
        <f t="shared" si="7"/>
        <v>6113388</v>
      </c>
      <c r="Y161" s="10"/>
      <c r="Z161" s="10"/>
      <c r="AA161" s="10"/>
      <c r="AB161" s="4" t="s">
        <v>694</v>
      </c>
      <c r="AC161" s="4" t="s">
        <v>691</v>
      </c>
      <c r="AD161" s="4">
        <v>42751.0</v>
      </c>
      <c r="AE161" s="4">
        <v>2017.0</v>
      </c>
      <c r="AF161" s="4" t="s">
        <v>692</v>
      </c>
      <c r="AG161" s="4" t="s">
        <v>693</v>
      </c>
      <c r="AH161" s="4" t="s">
        <v>50</v>
      </c>
      <c r="AI161" s="4" t="s">
        <v>51</v>
      </c>
      <c r="AJ161" s="4" t="s">
        <v>189</v>
      </c>
      <c r="AK161" s="4" t="s">
        <v>34</v>
      </c>
      <c r="AL161" s="4" t="s">
        <v>365</v>
      </c>
      <c r="AM161" s="4" t="s">
        <v>36</v>
      </c>
      <c r="AN161" s="4" t="s">
        <v>37</v>
      </c>
      <c r="AO161" s="4" t="s">
        <v>38</v>
      </c>
      <c r="AP161" s="4">
        <v>42752.0</v>
      </c>
      <c r="AQ161" s="4">
        <v>2682450.0</v>
      </c>
      <c r="AR161" s="4">
        <v>6238200.0</v>
      </c>
      <c r="AS161" s="4">
        <v>3555750.0</v>
      </c>
      <c r="AT161" s="4">
        <v>2.0</v>
      </c>
      <c r="AU161" s="4">
        <v>1.24764E7</v>
      </c>
      <c r="AV161" s="4">
        <v>0.08</v>
      </c>
      <c r="AW161" s="4">
        <v>998112.0</v>
      </c>
      <c r="AX161" s="4">
        <v>1.1478288E7</v>
      </c>
      <c r="AY161" s="4">
        <v>5364900.0</v>
      </c>
      <c r="AZ161" s="4">
        <v>6113388.0</v>
      </c>
    </row>
    <row r="162" ht="15.75" customHeight="1">
      <c r="A162" s="3" t="s">
        <v>695</v>
      </c>
      <c r="B162" s="5">
        <v>42752.0</v>
      </c>
      <c r="C162" s="6">
        <f t="shared" si="1"/>
        <v>2017</v>
      </c>
      <c r="D162" s="7" t="s">
        <v>696</v>
      </c>
      <c r="E162" s="7" t="s">
        <v>559</v>
      </c>
      <c r="F162" s="7" t="s">
        <v>50</v>
      </c>
      <c r="G162" s="5" t="s">
        <v>68</v>
      </c>
      <c r="H162" s="7" t="s">
        <v>98</v>
      </c>
      <c r="I162" s="7" t="s">
        <v>74</v>
      </c>
      <c r="J162" s="7" t="s">
        <v>697</v>
      </c>
      <c r="K162" s="7" t="s">
        <v>61</v>
      </c>
      <c r="L162" s="7" t="s">
        <v>37</v>
      </c>
      <c r="M162" s="7" t="s">
        <v>38</v>
      </c>
      <c r="N162" s="5">
        <v>42759.0</v>
      </c>
      <c r="O162" s="8">
        <v>619200.0</v>
      </c>
      <c r="P162" s="8">
        <v>1439850.0</v>
      </c>
      <c r="Q162" s="8">
        <f t="shared" si="2"/>
        <v>820650</v>
      </c>
      <c r="R162" s="8">
        <v>17.0</v>
      </c>
      <c r="S162" s="8">
        <f t="shared" si="3"/>
        <v>24477450</v>
      </c>
      <c r="T162" s="9">
        <v>0.09</v>
      </c>
      <c r="U162" s="8">
        <f t="shared" si="4"/>
        <v>2202970.5</v>
      </c>
      <c r="V162" s="8">
        <f t="shared" si="5"/>
        <v>22274479.5</v>
      </c>
      <c r="W162" s="10">
        <f t="shared" si="6"/>
        <v>10526400</v>
      </c>
      <c r="X162" s="10">
        <f t="shared" si="7"/>
        <v>11748079.5</v>
      </c>
      <c r="Y162" s="10"/>
      <c r="Z162" s="10"/>
      <c r="AA162" s="10"/>
      <c r="AB162" s="4" t="s">
        <v>698</v>
      </c>
      <c r="AC162" s="4" t="s">
        <v>695</v>
      </c>
      <c r="AD162" s="4">
        <v>42752.0</v>
      </c>
      <c r="AE162" s="4">
        <v>2017.0</v>
      </c>
      <c r="AF162" s="4" t="s">
        <v>696</v>
      </c>
      <c r="AG162" s="4" t="s">
        <v>559</v>
      </c>
      <c r="AH162" s="4" t="s">
        <v>50</v>
      </c>
      <c r="AI162" s="4" t="s">
        <v>68</v>
      </c>
      <c r="AJ162" s="4" t="s">
        <v>98</v>
      </c>
      <c r="AK162" s="4" t="s">
        <v>74</v>
      </c>
      <c r="AL162" s="4" t="s">
        <v>697</v>
      </c>
      <c r="AM162" s="4" t="s">
        <v>61</v>
      </c>
      <c r="AN162" s="4" t="s">
        <v>37</v>
      </c>
      <c r="AO162" s="4" t="s">
        <v>38</v>
      </c>
      <c r="AP162" s="4">
        <v>42759.0</v>
      </c>
      <c r="AQ162" s="4">
        <v>619200.0</v>
      </c>
      <c r="AR162" s="4">
        <v>1439850.0</v>
      </c>
      <c r="AS162" s="4">
        <v>820650.0</v>
      </c>
      <c r="AT162" s="4">
        <v>17.0</v>
      </c>
      <c r="AU162" s="4">
        <v>2.447745E7</v>
      </c>
      <c r="AV162" s="4">
        <v>0.09</v>
      </c>
      <c r="AW162" s="4">
        <v>2202970.5</v>
      </c>
      <c r="AX162" s="4">
        <v>2.22744795E7</v>
      </c>
      <c r="AY162" s="4">
        <v>1.05264E7</v>
      </c>
      <c r="AZ162" s="4">
        <v>1.17480795E7</v>
      </c>
    </row>
    <row r="163" ht="15.75" customHeight="1">
      <c r="A163" s="3" t="s">
        <v>699</v>
      </c>
      <c r="B163" s="5">
        <v>42752.0</v>
      </c>
      <c r="C163" s="6">
        <f t="shared" si="1"/>
        <v>2017</v>
      </c>
      <c r="D163" s="7" t="s">
        <v>348</v>
      </c>
      <c r="E163" s="7" t="s">
        <v>228</v>
      </c>
      <c r="F163" s="7" t="s">
        <v>50</v>
      </c>
      <c r="G163" s="5" t="s">
        <v>51</v>
      </c>
      <c r="H163" s="7" t="s">
        <v>140</v>
      </c>
      <c r="I163" s="7" t="s">
        <v>104</v>
      </c>
      <c r="J163" s="7" t="s">
        <v>412</v>
      </c>
      <c r="K163" s="7" t="s">
        <v>36</v>
      </c>
      <c r="L163" s="7" t="s">
        <v>37</v>
      </c>
      <c r="M163" s="7" t="s">
        <v>38</v>
      </c>
      <c r="N163" s="5">
        <v>42754.0</v>
      </c>
      <c r="O163" s="8">
        <v>19950.0</v>
      </c>
      <c r="P163" s="8">
        <v>31200.0</v>
      </c>
      <c r="Q163" s="8">
        <f t="shared" si="2"/>
        <v>11250</v>
      </c>
      <c r="R163" s="8">
        <v>16.0</v>
      </c>
      <c r="S163" s="8">
        <f t="shared" si="3"/>
        <v>499200</v>
      </c>
      <c r="T163" s="9">
        <v>0.04</v>
      </c>
      <c r="U163" s="8">
        <f t="shared" si="4"/>
        <v>19968</v>
      </c>
      <c r="V163" s="8">
        <f t="shared" si="5"/>
        <v>479232</v>
      </c>
      <c r="W163" s="10">
        <f t="shared" si="6"/>
        <v>319200</v>
      </c>
      <c r="X163" s="10">
        <f t="shared" si="7"/>
        <v>160032</v>
      </c>
      <c r="Y163" s="10"/>
      <c r="Z163" s="10"/>
      <c r="AA163" s="10"/>
      <c r="AB163" s="4" t="s">
        <v>700</v>
      </c>
      <c r="AC163" s="4" t="s">
        <v>699</v>
      </c>
      <c r="AD163" s="4">
        <v>42752.0</v>
      </c>
      <c r="AE163" s="4">
        <v>2017.0</v>
      </c>
      <c r="AF163" s="4" t="s">
        <v>348</v>
      </c>
      <c r="AG163" s="4" t="s">
        <v>228</v>
      </c>
      <c r="AH163" s="4" t="s">
        <v>50</v>
      </c>
      <c r="AI163" s="4" t="s">
        <v>51</v>
      </c>
      <c r="AJ163" s="4" t="s">
        <v>140</v>
      </c>
      <c r="AK163" s="4" t="s">
        <v>104</v>
      </c>
      <c r="AL163" s="4" t="s">
        <v>412</v>
      </c>
      <c r="AM163" s="4" t="s">
        <v>36</v>
      </c>
      <c r="AN163" s="4" t="s">
        <v>37</v>
      </c>
      <c r="AO163" s="4" t="s">
        <v>38</v>
      </c>
      <c r="AP163" s="4">
        <v>42754.0</v>
      </c>
      <c r="AQ163" s="4">
        <v>19950.0</v>
      </c>
      <c r="AR163" s="4">
        <v>31200.0</v>
      </c>
      <c r="AS163" s="4">
        <v>11250.0</v>
      </c>
      <c r="AT163" s="4">
        <v>16.0</v>
      </c>
      <c r="AU163" s="4">
        <v>499200.0</v>
      </c>
      <c r="AV163" s="4">
        <v>0.04</v>
      </c>
      <c r="AW163" s="4">
        <v>19968.0</v>
      </c>
      <c r="AX163" s="4">
        <v>479232.0</v>
      </c>
      <c r="AY163" s="4">
        <v>319200.0</v>
      </c>
      <c r="AZ163" s="4">
        <v>160032.0</v>
      </c>
    </row>
    <row r="164" ht="15.75" customHeight="1">
      <c r="A164" s="3" t="s">
        <v>701</v>
      </c>
      <c r="B164" s="5">
        <v>42753.0</v>
      </c>
      <c r="C164" s="6">
        <f t="shared" si="1"/>
        <v>2017</v>
      </c>
      <c r="D164" s="7" t="s">
        <v>275</v>
      </c>
      <c r="E164" s="7" t="s">
        <v>276</v>
      </c>
      <c r="F164" s="7" t="s">
        <v>50</v>
      </c>
      <c r="G164" s="5" t="s">
        <v>51</v>
      </c>
      <c r="H164" s="7" t="s">
        <v>110</v>
      </c>
      <c r="I164" s="7" t="s">
        <v>104</v>
      </c>
      <c r="J164" s="7" t="s">
        <v>243</v>
      </c>
      <c r="K164" s="7" t="s">
        <v>61</v>
      </c>
      <c r="L164" s="7" t="s">
        <v>244</v>
      </c>
      <c r="M164" s="7" t="s">
        <v>38</v>
      </c>
      <c r="N164" s="5">
        <v>42754.0</v>
      </c>
      <c r="O164" s="8">
        <v>132300.0</v>
      </c>
      <c r="P164" s="8">
        <v>314850.0</v>
      </c>
      <c r="Q164" s="8">
        <f t="shared" si="2"/>
        <v>182550</v>
      </c>
      <c r="R164" s="8">
        <v>25.0</v>
      </c>
      <c r="S164" s="8">
        <f t="shared" si="3"/>
        <v>7871250</v>
      </c>
      <c r="T164" s="9">
        <v>0.05</v>
      </c>
      <c r="U164" s="8">
        <f t="shared" si="4"/>
        <v>393562.5</v>
      </c>
      <c r="V164" s="8">
        <f t="shared" si="5"/>
        <v>7477687.5</v>
      </c>
      <c r="W164" s="10">
        <f t="shared" si="6"/>
        <v>3307500</v>
      </c>
      <c r="X164" s="10">
        <f t="shared" si="7"/>
        <v>4170187.5</v>
      </c>
      <c r="Y164" s="10"/>
      <c r="Z164" s="10"/>
      <c r="AA164" s="10"/>
      <c r="AB164" s="4" t="s">
        <v>702</v>
      </c>
      <c r="AC164" s="4" t="s">
        <v>701</v>
      </c>
      <c r="AD164" s="4">
        <v>42753.0</v>
      </c>
      <c r="AE164" s="4">
        <v>2017.0</v>
      </c>
      <c r="AF164" s="4" t="s">
        <v>275</v>
      </c>
      <c r="AG164" s="4" t="s">
        <v>276</v>
      </c>
      <c r="AH164" s="4" t="s">
        <v>50</v>
      </c>
      <c r="AI164" s="4" t="s">
        <v>51</v>
      </c>
      <c r="AJ164" s="4" t="s">
        <v>110</v>
      </c>
      <c r="AK164" s="4" t="s">
        <v>104</v>
      </c>
      <c r="AL164" s="4" t="s">
        <v>243</v>
      </c>
      <c r="AM164" s="4" t="s">
        <v>61</v>
      </c>
      <c r="AN164" s="4" t="s">
        <v>244</v>
      </c>
      <c r="AO164" s="4" t="s">
        <v>38</v>
      </c>
      <c r="AP164" s="4">
        <v>42754.0</v>
      </c>
      <c r="AQ164" s="4">
        <v>132300.0</v>
      </c>
      <c r="AR164" s="4">
        <v>314850.0</v>
      </c>
      <c r="AS164" s="4">
        <v>182550.0</v>
      </c>
      <c r="AT164" s="4">
        <v>25.0</v>
      </c>
      <c r="AU164" s="4">
        <v>7871250.0</v>
      </c>
      <c r="AV164" s="4">
        <v>0.05</v>
      </c>
      <c r="AW164" s="4">
        <v>393562.5</v>
      </c>
      <c r="AX164" s="4">
        <v>7477687.5</v>
      </c>
      <c r="AY164" s="4">
        <v>3307500.0</v>
      </c>
      <c r="AZ164" s="4">
        <v>4170187.5</v>
      </c>
    </row>
    <row r="165" ht="15.75" customHeight="1">
      <c r="A165" s="3" t="s">
        <v>703</v>
      </c>
      <c r="B165" s="5">
        <v>42756.0</v>
      </c>
      <c r="C165" s="6">
        <f t="shared" si="1"/>
        <v>2017</v>
      </c>
      <c r="D165" s="7" t="s">
        <v>704</v>
      </c>
      <c r="E165" s="7" t="s">
        <v>359</v>
      </c>
      <c r="F165" s="7" t="s">
        <v>50</v>
      </c>
      <c r="G165" s="5" t="s">
        <v>51</v>
      </c>
      <c r="H165" s="7" t="s">
        <v>360</v>
      </c>
      <c r="I165" s="7" t="s">
        <v>104</v>
      </c>
      <c r="J165" s="7" t="s">
        <v>533</v>
      </c>
      <c r="K165" s="7" t="s">
        <v>36</v>
      </c>
      <c r="L165" s="7" t="s">
        <v>45</v>
      </c>
      <c r="M165" s="7" t="s">
        <v>38</v>
      </c>
      <c r="N165" s="5">
        <v>42758.0</v>
      </c>
      <c r="O165" s="8">
        <v>22950.0</v>
      </c>
      <c r="P165" s="8">
        <v>41700.0</v>
      </c>
      <c r="Q165" s="8">
        <f t="shared" si="2"/>
        <v>18750</v>
      </c>
      <c r="R165" s="8">
        <v>6.0</v>
      </c>
      <c r="S165" s="8">
        <f t="shared" si="3"/>
        <v>250200</v>
      </c>
      <c r="T165" s="9">
        <v>0.01</v>
      </c>
      <c r="U165" s="8">
        <f t="shared" si="4"/>
        <v>2502</v>
      </c>
      <c r="V165" s="8">
        <f t="shared" si="5"/>
        <v>247698</v>
      </c>
      <c r="W165" s="10">
        <f t="shared" si="6"/>
        <v>137700</v>
      </c>
      <c r="X165" s="10">
        <f t="shared" si="7"/>
        <v>109998</v>
      </c>
      <c r="Y165" s="10"/>
      <c r="Z165" s="10"/>
      <c r="AA165" s="10"/>
      <c r="AB165" s="4" t="s">
        <v>705</v>
      </c>
      <c r="AC165" s="4" t="s">
        <v>703</v>
      </c>
      <c r="AD165" s="4">
        <v>42756.0</v>
      </c>
      <c r="AE165" s="4">
        <v>2017.0</v>
      </c>
      <c r="AF165" s="4" t="s">
        <v>704</v>
      </c>
      <c r="AG165" s="4" t="s">
        <v>359</v>
      </c>
      <c r="AH165" s="4" t="s">
        <v>50</v>
      </c>
      <c r="AI165" s="4" t="s">
        <v>51</v>
      </c>
      <c r="AJ165" s="4" t="s">
        <v>360</v>
      </c>
      <c r="AK165" s="4" t="s">
        <v>104</v>
      </c>
      <c r="AL165" s="4" t="s">
        <v>533</v>
      </c>
      <c r="AM165" s="4" t="s">
        <v>36</v>
      </c>
      <c r="AN165" s="4" t="s">
        <v>45</v>
      </c>
      <c r="AO165" s="4" t="s">
        <v>38</v>
      </c>
      <c r="AP165" s="4">
        <v>42758.0</v>
      </c>
      <c r="AQ165" s="4">
        <v>22950.0</v>
      </c>
      <c r="AR165" s="4">
        <v>41700.0</v>
      </c>
      <c r="AS165" s="4">
        <v>18750.0</v>
      </c>
      <c r="AT165" s="4">
        <v>6.0</v>
      </c>
      <c r="AU165" s="4">
        <v>250200.0</v>
      </c>
      <c r="AV165" s="4">
        <v>0.01</v>
      </c>
      <c r="AW165" s="4">
        <v>2502.0</v>
      </c>
      <c r="AX165" s="4">
        <v>247698.0</v>
      </c>
      <c r="AY165" s="4">
        <v>137700.0</v>
      </c>
      <c r="AZ165" s="4">
        <v>109998.0</v>
      </c>
    </row>
    <row r="166" ht="15.75" customHeight="1">
      <c r="A166" s="3" t="s">
        <v>706</v>
      </c>
      <c r="B166" s="5">
        <v>42758.0</v>
      </c>
      <c r="C166" s="6">
        <f t="shared" si="1"/>
        <v>2017</v>
      </c>
      <c r="D166" s="7" t="s">
        <v>707</v>
      </c>
      <c r="E166" s="7" t="s">
        <v>119</v>
      </c>
      <c r="F166" s="7" t="s">
        <v>31</v>
      </c>
      <c r="G166" s="5" t="s">
        <v>68</v>
      </c>
      <c r="H166" s="7" t="s">
        <v>33</v>
      </c>
      <c r="I166" s="7" t="s">
        <v>92</v>
      </c>
      <c r="J166" s="7" t="s">
        <v>613</v>
      </c>
      <c r="K166" s="7" t="s">
        <v>36</v>
      </c>
      <c r="L166" s="7" t="s">
        <v>37</v>
      </c>
      <c r="M166" s="7" t="s">
        <v>38</v>
      </c>
      <c r="N166" s="5">
        <v>42760.0</v>
      </c>
      <c r="O166" s="8">
        <v>36750.0</v>
      </c>
      <c r="P166" s="8">
        <v>58350.0</v>
      </c>
      <c r="Q166" s="8">
        <f t="shared" si="2"/>
        <v>21600</v>
      </c>
      <c r="R166" s="8">
        <v>2.0</v>
      </c>
      <c r="S166" s="8">
        <f t="shared" si="3"/>
        <v>116700</v>
      </c>
      <c r="T166" s="9">
        <v>0.07</v>
      </c>
      <c r="U166" s="8">
        <f t="shared" si="4"/>
        <v>8169</v>
      </c>
      <c r="V166" s="8">
        <f t="shared" si="5"/>
        <v>108531</v>
      </c>
      <c r="W166" s="10">
        <f t="shared" si="6"/>
        <v>73500</v>
      </c>
      <c r="X166" s="10">
        <f t="shared" si="7"/>
        <v>35031</v>
      </c>
      <c r="Y166" s="10"/>
      <c r="Z166" s="10"/>
      <c r="AA166" s="10"/>
      <c r="AB166" s="4" t="s">
        <v>708</v>
      </c>
      <c r="AC166" s="4" t="s">
        <v>706</v>
      </c>
      <c r="AD166" s="4">
        <v>42758.0</v>
      </c>
      <c r="AE166" s="4">
        <v>2017.0</v>
      </c>
      <c r="AF166" s="4" t="s">
        <v>707</v>
      </c>
      <c r="AG166" s="4" t="s">
        <v>119</v>
      </c>
      <c r="AH166" s="4" t="s">
        <v>31</v>
      </c>
      <c r="AI166" s="4" t="s">
        <v>68</v>
      </c>
      <c r="AJ166" s="4" t="s">
        <v>33</v>
      </c>
      <c r="AK166" s="4" t="s">
        <v>92</v>
      </c>
      <c r="AL166" s="4" t="s">
        <v>613</v>
      </c>
      <c r="AM166" s="4" t="s">
        <v>36</v>
      </c>
      <c r="AN166" s="4" t="s">
        <v>37</v>
      </c>
      <c r="AO166" s="4" t="s">
        <v>38</v>
      </c>
      <c r="AP166" s="4">
        <v>42760.0</v>
      </c>
      <c r="AQ166" s="4">
        <v>36750.0</v>
      </c>
      <c r="AR166" s="4">
        <v>58350.0</v>
      </c>
      <c r="AS166" s="4">
        <v>21600.0</v>
      </c>
      <c r="AT166" s="4">
        <v>2.0</v>
      </c>
      <c r="AU166" s="4">
        <v>116700.0</v>
      </c>
      <c r="AV166" s="4">
        <v>0.07</v>
      </c>
      <c r="AW166" s="4">
        <v>8169.0</v>
      </c>
      <c r="AX166" s="4">
        <v>108531.0</v>
      </c>
      <c r="AY166" s="4">
        <v>73500.0</v>
      </c>
      <c r="AZ166" s="4">
        <v>35031.0</v>
      </c>
    </row>
    <row r="167" ht="15.75" customHeight="1">
      <c r="A167" s="3" t="s">
        <v>709</v>
      </c>
      <c r="B167" s="5">
        <v>42758.0</v>
      </c>
      <c r="C167" s="6">
        <f t="shared" si="1"/>
        <v>2017</v>
      </c>
      <c r="D167" s="7" t="s">
        <v>707</v>
      </c>
      <c r="E167" s="7" t="s">
        <v>119</v>
      </c>
      <c r="F167" s="7" t="s">
        <v>31</v>
      </c>
      <c r="G167" s="5" t="s">
        <v>68</v>
      </c>
      <c r="H167" s="7" t="s">
        <v>33</v>
      </c>
      <c r="I167" s="7" t="s">
        <v>92</v>
      </c>
      <c r="J167" s="7" t="s">
        <v>571</v>
      </c>
      <c r="K167" s="7" t="s">
        <v>36</v>
      </c>
      <c r="L167" s="7" t="s">
        <v>37</v>
      </c>
      <c r="M167" s="7" t="s">
        <v>38</v>
      </c>
      <c r="N167" s="5">
        <v>42759.0</v>
      </c>
      <c r="O167" s="8">
        <v>1015950.0000000001</v>
      </c>
      <c r="P167" s="8">
        <v>2478000.0</v>
      </c>
      <c r="Q167" s="8">
        <f t="shared" si="2"/>
        <v>1462050</v>
      </c>
      <c r="R167" s="8">
        <v>6.0</v>
      </c>
      <c r="S167" s="8">
        <f t="shared" si="3"/>
        <v>14868000</v>
      </c>
      <c r="T167" s="9">
        <v>0.09</v>
      </c>
      <c r="U167" s="8">
        <f t="shared" si="4"/>
        <v>1338120</v>
      </c>
      <c r="V167" s="8">
        <f t="shared" si="5"/>
        <v>13529880</v>
      </c>
      <c r="W167" s="10">
        <f t="shared" si="6"/>
        <v>6095700</v>
      </c>
      <c r="X167" s="10">
        <f t="shared" si="7"/>
        <v>7434180</v>
      </c>
      <c r="Y167" s="10"/>
      <c r="Z167" s="10"/>
      <c r="AA167" s="10"/>
      <c r="AB167" s="4" t="s">
        <v>710</v>
      </c>
      <c r="AC167" s="4" t="s">
        <v>709</v>
      </c>
      <c r="AD167" s="4">
        <v>42758.0</v>
      </c>
      <c r="AE167" s="4">
        <v>2017.0</v>
      </c>
      <c r="AF167" s="4" t="s">
        <v>707</v>
      </c>
      <c r="AG167" s="4" t="s">
        <v>119</v>
      </c>
      <c r="AH167" s="4" t="s">
        <v>31</v>
      </c>
      <c r="AI167" s="4" t="s">
        <v>68</v>
      </c>
      <c r="AJ167" s="4" t="s">
        <v>33</v>
      </c>
      <c r="AK167" s="4" t="s">
        <v>92</v>
      </c>
      <c r="AL167" s="4" t="s">
        <v>571</v>
      </c>
      <c r="AM167" s="4" t="s">
        <v>36</v>
      </c>
      <c r="AN167" s="4" t="s">
        <v>37</v>
      </c>
      <c r="AO167" s="4" t="s">
        <v>38</v>
      </c>
      <c r="AP167" s="4">
        <v>42759.0</v>
      </c>
      <c r="AQ167" s="4">
        <v>1015950.0</v>
      </c>
      <c r="AR167" s="4">
        <v>2478000.0</v>
      </c>
      <c r="AS167" s="4">
        <v>1462050.0</v>
      </c>
      <c r="AT167" s="4">
        <v>6.0</v>
      </c>
      <c r="AU167" s="4">
        <v>1.4868E7</v>
      </c>
      <c r="AV167" s="4">
        <v>0.09</v>
      </c>
      <c r="AW167" s="4">
        <v>1338120.0</v>
      </c>
      <c r="AX167" s="4">
        <v>1.352988E7</v>
      </c>
      <c r="AY167" s="4">
        <v>6095700.0</v>
      </c>
      <c r="AZ167" s="4">
        <v>7434180.0</v>
      </c>
    </row>
    <row r="168" ht="15.75" customHeight="1">
      <c r="A168" s="3" t="s">
        <v>711</v>
      </c>
      <c r="B168" s="5">
        <v>42758.0</v>
      </c>
      <c r="C168" s="6">
        <f t="shared" si="1"/>
        <v>2017</v>
      </c>
      <c r="D168" s="7" t="s">
        <v>712</v>
      </c>
      <c r="E168" s="7" t="s">
        <v>621</v>
      </c>
      <c r="F168" s="7" t="s">
        <v>50</v>
      </c>
      <c r="G168" s="5" t="s">
        <v>91</v>
      </c>
      <c r="H168" s="7" t="s">
        <v>151</v>
      </c>
      <c r="I168" s="7" t="s">
        <v>53</v>
      </c>
      <c r="J168" s="7" t="s">
        <v>86</v>
      </c>
      <c r="K168" s="7" t="s">
        <v>36</v>
      </c>
      <c r="L168" s="7" t="s">
        <v>45</v>
      </c>
      <c r="M168" s="7" t="s">
        <v>38</v>
      </c>
      <c r="N168" s="5">
        <v>42759.0</v>
      </c>
      <c r="O168" s="8">
        <v>16350.000000000002</v>
      </c>
      <c r="P168" s="8">
        <v>25200.0</v>
      </c>
      <c r="Q168" s="8">
        <f t="shared" si="2"/>
        <v>8850</v>
      </c>
      <c r="R168" s="8">
        <v>38.0</v>
      </c>
      <c r="S168" s="8">
        <f t="shared" si="3"/>
        <v>957600</v>
      </c>
      <c r="T168" s="9">
        <v>0.07</v>
      </c>
      <c r="U168" s="8">
        <f t="shared" si="4"/>
        <v>67032</v>
      </c>
      <c r="V168" s="8">
        <f t="shared" si="5"/>
        <v>890568</v>
      </c>
      <c r="W168" s="10">
        <f t="shared" si="6"/>
        <v>621300</v>
      </c>
      <c r="X168" s="10">
        <f t="shared" si="7"/>
        <v>269268</v>
      </c>
      <c r="Y168" s="10"/>
      <c r="Z168" s="10"/>
      <c r="AA168" s="10"/>
      <c r="AB168" s="4" t="s">
        <v>713</v>
      </c>
      <c r="AC168" s="4" t="s">
        <v>711</v>
      </c>
      <c r="AD168" s="4">
        <v>42758.0</v>
      </c>
      <c r="AE168" s="4">
        <v>2017.0</v>
      </c>
      <c r="AF168" s="4" t="s">
        <v>712</v>
      </c>
      <c r="AG168" s="4" t="s">
        <v>621</v>
      </c>
      <c r="AH168" s="4" t="s">
        <v>50</v>
      </c>
      <c r="AI168" s="4" t="s">
        <v>91</v>
      </c>
      <c r="AJ168" s="4" t="s">
        <v>151</v>
      </c>
      <c r="AK168" s="4" t="s">
        <v>53</v>
      </c>
      <c r="AL168" s="4" t="s">
        <v>86</v>
      </c>
      <c r="AM168" s="4" t="s">
        <v>36</v>
      </c>
      <c r="AN168" s="4" t="s">
        <v>45</v>
      </c>
      <c r="AO168" s="4" t="s">
        <v>38</v>
      </c>
      <c r="AP168" s="4">
        <v>42759.0</v>
      </c>
      <c r="AQ168" s="4">
        <v>16350.0</v>
      </c>
      <c r="AR168" s="4">
        <v>25200.0</v>
      </c>
      <c r="AS168" s="4">
        <v>8850.0</v>
      </c>
      <c r="AT168" s="4">
        <v>38.0</v>
      </c>
      <c r="AU168" s="4">
        <v>957600.0</v>
      </c>
      <c r="AV168" s="4">
        <v>0.07</v>
      </c>
      <c r="AW168" s="4">
        <v>67032.0</v>
      </c>
      <c r="AX168" s="4">
        <v>890568.0</v>
      </c>
      <c r="AY168" s="4">
        <v>621300.0</v>
      </c>
      <c r="AZ168" s="4">
        <v>269268.0</v>
      </c>
    </row>
    <row r="169" ht="15.75" customHeight="1">
      <c r="A169" s="3" t="s">
        <v>714</v>
      </c>
      <c r="B169" s="5">
        <v>42760.0</v>
      </c>
      <c r="C169" s="6">
        <f t="shared" si="1"/>
        <v>2017</v>
      </c>
      <c r="D169" s="7" t="s">
        <v>715</v>
      </c>
      <c r="E169" s="7" t="s">
        <v>716</v>
      </c>
      <c r="F169" s="7" t="s">
        <v>289</v>
      </c>
      <c r="G169" s="5" t="s">
        <v>51</v>
      </c>
      <c r="H169" s="7" t="s">
        <v>140</v>
      </c>
      <c r="I169" s="7" t="s">
        <v>53</v>
      </c>
      <c r="J169" s="7" t="s">
        <v>717</v>
      </c>
      <c r="K169" s="7" t="s">
        <v>61</v>
      </c>
      <c r="L169" s="7" t="s">
        <v>37</v>
      </c>
      <c r="M169" s="7" t="s">
        <v>38</v>
      </c>
      <c r="N169" s="5">
        <v>42761.0</v>
      </c>
      <c r="O169" s="8">
        <v>936000.0</v>
      </c>
      <c r="P169" s="8">
        <v>2339850.0</v>
      </c>
      <c r="Q169" s="8">
        <f t="shared" si="2"/>
        <v>1403850</v>
      </c>
      <c r="R169" s="8">
        <v>48.0</v>
      </c>
      <c r="S169" s="8">
        <f t="shared" si="3"/>
        <v>112312800</v>
      </c>
      <c r="T169" s="9">
        <v>0.04</v>
      </c>
      <c r="U169" s="8">
        <f t="shared" si="4"/>
        <v>4492512</v>
      </c>
      <c r="V169" s="8">
        <f t="shared" si="5"/>
        <v>107820288</v>
      </c>
      <c r="W169" s="10">
        <f t="shared" si="6"/>
        <v>44928000</v>
      </c>
      <c r="X169" s="10">
        <f t="shared" si="7"/>
        <v>62892288</v>
      </c>
      <c r="Y169" s="10"/>
      <c r="Z169" s="10"/>
      <c r="AA169" s="10"/>
      <c r="AB169" s="4" t="s">
        <v>718</v>
      </c>
      <c r="AC169" s="4" t="s">
        <v>714</v>
      </c>
      <c r="AD169" s="4">
        <v>42760.0</v>
      </c>
      <c r="AE169" s="4">
        <v>2017.0</v>
      </c>
      <c r="AF169" s="4" t="s">
        <v>715</v>
      </c>
      <c r="AG169" s="4" t="s">
        <v>716</v>
      </c>
      <c r="AH169" s="4" t="s">
        <v>289</v>
      </c>
      <c r="AI169" s="4" t="s">
        <v>51</v>
      </c>
      <c r="AJ169" s="4" t="s">
        <v>140</v>
      </c>
      <c r="AK169" s="4" t="s">
        <v>53</v>
      </c>
      <c r="AL169" s="4" t="s">
        <v>717</v>
      </c>
      <c r="AM169" s="4" t="s">
        <v>61</v>
      </c>
      <c r="AN169" s="4" t="s">
        <v>37</v>
      </c>
      <c r="AO169" s="4" t="s">
        <v>38</v>
      </c>
      <c r="AP169" s="4">
        <v>42761.0</v>
      </c>
      <c r="AQ169" s="4">
        <v>936000.0</v>
      </c>
      <c r="AR169" s="4">
        <v>2339850.0</v>
      </c>
      <c r="AS169" s="4">
        <v>1403850.0</v>
      </c>
      <c r="AT169" s="4">
        <v>48.0</v>
      </c>
      <c r="AU169" s="4">
        <v>1.123128E8</v>
      </c>
      <c r="AV169" s="4">
        <v>0.04</v>
      </c>
      <c r="AW169" s="4">
        <v>4492512.0</v>
      </c>
      <c r="AX169" s="4">
        <v>1.07820288E8</v>
      </c>
      <c r="AY169" s="4">
        <v>4.4928E7</v>
      </c>
      <c r="AZ169" s="4">
        <v>6.2892288E7</v>
      </c>
    </row>
    <row r="170" ht="15.75" customHeight="1">
      <c r="A170" s="3" t="s">
        <v>719</v>
      </c>
      <c r="B170" s="5">
        <v>42760.0</v>
      </c>
      <c r="C170" s="6">
        <f t="shared" si="1"/>
        <v>2017</v>
      </c>
      <c r="D170" s="7" t="s">
        <v>715</v>
      </c>
      <c r="E170" s="7" t="s">
        <v>716</v>
      </c>
      <c r="F170" s="7" t="s">
        <v>289</v>
      </c>
      <c r="G170" s="5" t="s">
        <v>51</v>
      </c>
      <c r="H170" s="7" t="s">
        <v>140</v>
      </c>
      <c r="I170" s="7" t="s">
        <v>53</v>
      </c>
      <c r="J170" s="7" t="s">
        <v>399</v>
      </c>
      <c r="K170" s="7" t="s">
        <v>36</v>
      </c>
      <c r="L170" s="7" t="s">
        <v>37</v>
      </c>
      <c r="M170" s="7" t="s">
        <v>38</v>
      </c>
      <c r="N170" s="5">
        <v>42760.0</v>
      </c>
      <c r="O170" s="8">
        <v>51000.0</v>
      </c>
      <c r="P170" s="8">
        <v>81000.0</v>
      </c>
      <c r="Q170" s="8">
        <f t="shared" si="2"/>
        <v>30000</v>
      </c>
      <c r="R170" s="8">
        <v>8.0</v>
      </c>
      <c r="S170" s="8">
        <f t="shared" si="3"/>
        <v>648000</v>
      </c>
      <c r="T170" s="9">
        <v>0.08</v>
      </c>
      <c r="U170" s="8">
        <f t="shared" si="4"/>
        <v>51840</v>
      </c>
      <c r="V170" s="8">
        <f t="shared" si="5"/>
        <v>596160</v>
      </c>
      <c r="W170" s="10">
        <f t="shared" si="6"/>
        <v>408000</v>
      </c>
      <c r="X170" s="10">
        <f t="shared" si="7"/>
        <v>188160</v>
      </c>
      <c r="Y170" s="10"/>
      <c r="Z170" s="10"/>
      <c r="AA170" s="10"/>
      <c r="AB170" s="4" t="s">
        <v>720</v>
      </c>
      <c r="AC170" s="4" t="s">
        <v>719</v>
      </c>
      <c r="AD170" s="4">
        <v>42760.0</v>
      </c>
      <c r="AE170" s="4">
        <v>2017.0</v>
      </c>
      <c r="AF170" s="4" t="s">
        <v>715</v>
      </c>
      <c r="AG170" s="4" t="s">
        <v>716</v>
      </c>
      <c r="AH170" s="4" t="s">
        <v>289</v>
      </c>
      <c r="AI170" s="4" t="s">
        <v>51</v>
      </c>
      <c r="AJ170" s="4" t="s">
        <v>140</v>
      </c>
      <c r="AK170" s="4" t="s">
        <v>53</v>
      </c>
      <c r="AL170" s="4" t="s">
        <v>399</v>
      </c>
      <c r="AM170" s="4" t="s">
        <v>36</v>
      </c>
      <c r="AN170" s="4" t="s">
        <v>37</v>
      </c>
      <c r="AO170" s="4" t="s">
        <v>38</v>
      </c>
      <c r="AP170" s="4">
        <v>42760.0</v>
      </c>
      <c r="AQ170" s="4">
        <v>51000.0</v>
      </c>
      <c r="AR170" s="4">
        <v>81000.0</v>
      </c>
      <c r="AS170" s="4">
        <v>30000.0</v>
      </c>
      <c r="AT170" s="4">
        <v>8.0</v>
      </c>
      <c r="AU170" s="4">
        <v>648000.0</v>
      </c>
      <c r="AV170" s="4">
        <v>0.08</v>
      </c>
      <c r="AW170" s="4">
        <v>51840.0</v>
      </c>
      <c r="AX170" s="4">
        <v>596160.0</v>
      </c>
      <c r="AY170" s="4">
        <v>408000.0</v>
      </c>
      <c r="AZ170" s="4">
        <v>188160.0</v>
      </c>
    </row>
    <row r="171" ht="15.75" customHeight="1">
      <c r="A171" s="3" t="s">
        <v>721</v>
      </c>
      <c r="B171" s="5">
        <v>42767.0</v>
      </c>
      <c r="C171" s="6">
        <f t="shared" si="1"/>
        <v>2017</v>
      </c>
      <c r="D171" s="7" t="s">
        <v>722</v>
      </c>
      <c r="E171" s="7" t="s">
        <v>509</v>
      </c>
      <c r="F171" s="7" t="s">
        <v>31</v>
      </c>
      <c r="G171" s="5" t="s">
        <v>51</v>
      </c>
      <c r="H171" s="7" t="s">
        <v>33</v>
      </c>
      <c r="I171" s="7" t="s">
        <v>53</v>
      </c>
      <c r="J171" s="7" t="s">
        <v>75</v>
      </c>
      <c r="K171" s="7" t="s">
        <v>36</v>
      </c>
      <c r="L171" s="7" t="s">
        <v>45</v>
      </c>
      <c r="M171" s="7" t="s">
        <v>38</v>
      </c>
      <c r="N171" s="5">
        <v>42769.0</v>
      </c>
      <c r="O171" s="8">
        <v>16350.000000000002</v>
      </c>
      <c r="P171" s="8">
        <v>39000.0</v>
      </c>
      <c r="Q171" s="8">
        <f t="shared" si="2"/>
        <v>22650</v>
      </c>
      <c r="R171" s="8">
        <v>36.0</v>
      </c>
      <c r="S171" s="8">
        <f t="shared" si="3"/>
        <v>1404000</v>
      </c>
      <c r="T171" s="9">
        <v>0.0</v>
      </c>
      <c r="U171" s="8">
        <f t="shared" si="4"/>
        <v>0</v>
      </c>
      <c r="V171" s="8">
        <f t="shared" si="5"/>
        <v>1404000</v>
      </c>
      <c r="W171" s="10">
        <f t="shared" si="6"/>
        <v>588600</v>
      </c>
      <c r="X171" s="10">
        <f t="shared" si="7"/>
        <v>815400</v>
      </c>
      <c r="Y171" s="10"/>
      <c r="Z171" s="10"/>
      <c r="AA171" s="10"/>
      <c r="AB171" s="4" t="s">
        <v>723</v>
      </c>
      <c r="AC171" s="4" t="s">
        <v>721</v>
      </c>
      <c r="AD171" s="4">
        <v>42767.0</v>
      </c>
      <c r="AE171" s="4">
        <v>2017.0</v>
      </c>
      <c r="AF171" s="4" t="s">
        <v>722</v>
      </c>
      <c r="AG171" s="4" t="s">
        <v>509</v>
      </c>
      <c r="AH171" s="4" t="s">
        <v>31</v>
      </c>
      <c r="AI171" s="4" t="s">
        <v>51</v>
      </c>
      <c r="AJ171" s="4" t="s">
        <v>33</v>
      </c>
      <c r="AK171" s="4" t="s">
        <v>53</v>
      </c>
      <c r="AL171" s="4" t="s">
        <v>75</v>
      </c>
      <c r="AM171" s="4" t="s">
        <v>36</v>
      </c>
      <c r="AN171" s="4" t="s">
        <v>45</v>
      </c>
      <c r="AO171" s="4" t="s">
        <v>38</v>
      </c>
      <c r="AP171" s="4">
        <v>42769.0</v>
      </c>
      <c r="AQ171" s="4">
        <v>16350.0</v>
      </c>
      <c r="AR171" s="4">
        <v>39000.0</v>
      </c>
      <c r="AS171" s="4">
        <v>22650.0</v>
      </c>
      <c r="AT171" s="4">
        <v>36.0</v>
      </c>
      <c r="AU171" s="4">
        <v>1404000.0</v>
      </c>
      <c r="AV171" s="4">
        <v>0.0</v>
      </c>
      <c r="AW171" s="4">
        <v>0.0</v>
      </c>
      <c r="AX171" s="4">
        <v>1404000.0</v>
      </c>
      <c r="AY171" s="4">
        <v>588600.0</v>
      </c>
      <c r="AZ171" s="4">
        <v>815400.0</v>
      </c>
    </row>
    <row r="172" ht="15.75" customHeight="1">
      <c r="A172" s="3" t="s">
        <v>724</v>
      </c>
      <c r="B172" s="5">
        <v>42767.0</v>
      </c>
      <c r="C172" s="6">
        <f t="shared" si="1"/>
        <v>2017</v>
      </c>
      <c r="D172" s="7" t="s">
        <v>725</v>
      </c>
      <c r="E172" s="7" t="s">
        <v>726</v>
      </c>
      <c r="F172" s="7" t="s">
        <v>50</v>
      </c>
      <c r="G172" s="5" t="s">
        <v>51</v>
      </c>
      <c r="H172" s="7" t="s">
        <v>52</v>
      </c>
      <c r="I172" s="7" t="s">
        <v>53</v>
      </c>
      <c r="J172" s="7" t="s">
        <v>184</v>
      </c>
      <c r="K172" s="7" t="s">
        <v>36</v>
      </c>
      <c r="L172" s="7" t="s">
        <v>37</v>
      </c>
      <c r="M172" s="7" t="s">
        <v>55</v>
      </c>
      <c r="N172" s="5">
        <v>42767.0</v>
      </c>
      <c r="O172" s="8">
        <v>23850.0</v>
      </c>
      <c r="P172" s="8">
        <v>39150.0</v>
      </c>
      <c r="Q172" s="8">
        <f t="shared" si="2"/>
        <v>15300</v>
      </c>
      <c r="R172" s="8">
        <v>1.0</v>
      </c>
      <c r="S172" s="8">
        <f t="shared" si="3"/>
        <v>39150</v>
      </c>
      <c r="T172" s="9">
        <v>0.06</v>
      </c>
      <c r="U172" s="8">
        <f t="shared" si="4"/>
        <v>2349</v>
      </c>
      <c r="V172" s="8">
        <f t="shared" si="5"/>
        <v>36801</v>
      </c>
      <c r="W172" s="10">
        <f t="shared" si="6"/>
        <v>23850</v>
      </c>
      <c r="X172" s="10">
        <f t="shared" si="7"/>
        <v>12951</v>
      </c>
      <c r="Y172" s="10"/>
      <c r="Z172" s="10"/>
      <c r="AA172" s="10"/>
      <c r="AB172" s="4" t="s">
        <v>727</v>
      </c>
      <c r="AC172" s="4" t="s">
        <v>724</v>
      </c>
      <c r="AD172" s="4">
        <v>42767.0</v>
      </c>
      <c r="AE172" s="4">
        <v>2017.0</v>
      </c>
      <c r="AF172" s="4" t="s">
        <v>725</v>
      </c>
      <c r="AG172" s="4" t="s">
        <v>726</v>
      </c>
      <c r="AH172" s="4" t="s">
        <v>50</v>
      </c>
      <c r="AI172" s="4" t="s">
        <v>51</v>
      </c>
      <c r="AJ172" s="4" t="s">
        <v>52</v>
      </c>
      <c r="AK172" s="4" t="s">
        <v>53</v>
      </c>
      <c r="AL172" s="4" t="s">
        <v>184</v>
      </c>
      <c r="AM172" s="4" t="s">
        <v>36</v>
      </c>
      <c r="AN172" s="4" t="s">
        <v>37</v>
      </c>
      <c r="AO172" s="4" t="s">
        <v>55</v>
      </c>
      <c r="AP172" s="4">
        <v>42767.0</v>
      </c>
      <c r="AQ172" s="4">
        <v>23850.0</v>
      </c>
      <c r="AR172" s="4">
        <v>39150.0</v>
      </c>
      <c r="AS172" s="4">
        <v>15300.0</v>
      </c>
      <c r="AT172" s="4">
        <v>1.0</v>
      </c>
      <c r="AU172" s="4">
        <v>39150.0</v>
      </c>
      <c r="AV172" s="4">
        <v>0.06</v>
      </c>
      <c r="AW172" s="4">
        <v>2349.0</v>
      </c>
      <c r="AX172" s="4">
        <v>36801.0</v>
      </c>
      <c r="AY172" s="4">
        <v>23850.0</v>
      </c>
      <c r="AZ172" s="4">
        <v>12951.0</v>
      </c>
    </row>
    <row r="173" ht="15.75" customHeight="1">
      <c r="A173" s="3" t="s">
        <v>728</v>
      </c>
      <c r="B173" s="5">
        <v>42767.0</v>
      </c>
      <c r="C173" s="6">
        <f t="shared" si="1"/>
        <v>2017</v>
      </c>
      <c r="D173" s="7" t="s">
        <v>729</v>
      </c>
      <c r="E173" s="7" t="s">
        <v>85</v>
      </c>
      <c r="F173" s="7" t="s">
        <v>50</v>
      </c>
      <c r="G173" s="5" t="s">
        <v>51</v>
      </c>
      <c r="H173" s="7" t="s">
        <v>80</v>
      </c>
      <c r="I173" s="7" t="s">
        <v>104</v>
      </c>
      <c r="J173" s="7" t="s">
        <v>497</v>
      </c>
      <c r="K173" s="7" t="s">
        <v>36</v>
      </c>
      <c r="L173" s="7" t="s">
        <v>37</v>
      </c>
      <c r="M173" s="7" t="s">
        <v>38</v>
      </c>
      <c r="N173" s="5">
        <v>42768.0</v>
      </c>
      <c r="O173" s="8">
        <v>54750.0</v>
      </c>
      <c r="P173" s="8">
        <v>89700.0</v>
      </c>
      <c r="Q173" s="8">
        <f t="shared" si="2"/>
        <v>34950</v>
      </c>
      <c r="R173" s="8">
        <v>21.0</v>
      </c>
      <c r="S173" s="8">
        <f t="shared" si="3"/>
        <v>1883700</v>
      </c>
      <c r="T173" s="9">
        <v>0.02</v>
      </c>
      <c r="U173" s="8">
        <f t="shared" si="4"/>
        <v>37674</v>
      </c>
      <c r="V173" s="8">
        <f t="shared" si="5"/>
        <v>1846026</v>
      </c>
      <c r="W173" s="10">
        <f t="shared" si="6"/>
        <v>1149750</v>
      </c>
      <c r="X173" s="10">
        <f t="shared" si="7"/>
        <v>696276</v>
      </c>
      <c r="Y173" s="10"/>
      <c r="Z173" s="10"/>
      <c r="AA173" s="10"/>
      <c r="AB173" s="4" t="s">
        <v>730</v>
      </c>
      <c r="AC173" s="4" t="s">
        <v>728</v>
      </c>
      <c r="AD173" s="4">
        <v>42767.0</v>
      </c>
      <c r="AE173" s="4">
        <v>2017.0</v>
      </c>
      <c r="AF173" s="4" t="s">
        <v>729</v>
      </c>
      <c r="AG173" s="4" t="s">
        <v>85</v>
      </c>
      <c r="AH173" s="4" t="s">
        <v>50</v>
      </c>
      <c r="AI173" s="4" t="s">
        <v>51</v>
      </c>
      <c r="AJ173" s="4" t="s">
        <v>80</v>
      </c>
      <c r="AK173" s="4" t="s">
        <v>104</v>
      </c>
      <c r="AL173" s="4" t="s">
        <v>497</v>
      </c>
      <c r="AM173" s="4" t="s">
        <v>36</v>
      </c>
      <c r="AN173" s="4" t="s">
        <v>37</v>
      </c>
      <c r="AO173" s="4" t="s">
        <v>38</v>
      </c>
      <c r="AP173" s="4">
        <v>42768.0</v>
      </c>
      <c r="AQ173" s="4">
        <v>54750.0</v>
      </c>
      <c r="AR173" s="4">
        <v>89700.0</v>
      </c>
      <c r="AS173" s="4">
        <v>34950.0</v>
      </c>
      <c r="AT173" s="4">
        <v>21.0</v>
      </c>
      <c r="AU173" s="4">
        <v>1883700.0</v>
      </c>
      <c r="AV173" s="4">
        <v>0.02</v>
      </c>
      <c r="AW173" s="4">
        <v>37674.0</v>
      </c>
      <c r="AX173" s="4">
        <v>1846026.0</v>
      </c>
      <c r="AY173" s="4">
        <v>1149750.0</v>
      </c>
      <c r="AZ173" s="4">
        <v>696276.0</v>
      </c>
    </row>
    <row r="174" ht="15.75" customHeight="1">
      <c r="A174" s="3" t="s">
        <v>731</v>
      </c>
      <c r="B174" s="5">
        <v>42768.0</v>
      </c>
      <c r="C174" s="6">
        <f t="shared" si="1"/>
        <v>2017</v>
      </c>
      <c r="D174" s="7" t="s">
        <v>732</v>
      </c>
      <c r="E174" s="7" t="s">
        <v>85</v>
      </c>
      <c r="F174" s="7" t="s">
        <v>50</v>
      </c>
      <c r="G174" s="5" t="s">
        <v>68</v>
      </c>
      <c r="H174" s="7" t="s">
        <v>80</v>
      </c>
      <c r="I174" s="7" t="s">
        <v>92</v>
      </c>
      <c r="J174" s="7" t="s">
        <v>497</v>
      </c>
      <c r="K174" s="7" t="s">
        <v>36</v>
      </c>
      <c r="L174" s="7" t="s">
        <v>37</v>
      </c>
      <c r="M174" s="7" t="s">
        <v>38</v>
      </c>
      <c r="N174" s="5">
        <v>42770.0</v>
      </c>
      <c r="O174" s="8">
        <v>54750.0</v>
      </c>
      <c r="P174" s="8">
        <v>89700.0</v>
      </c>
      <c r="Q174" s="8">
        <f t="shared" si="2"/>
        <v>34950</v>
      </c>
      <c r="R174" s="8">
        <v>40.0</v>
      </c>
      <c r="S174" s="8">
        <f t="shared" si="3"/>
        <v>3588000</v>
      </c>
      <c r="T174" s="9">
        <v>0.0</v>
      </c>
      <c r="U174" s="8">
        <f t="shared" si="4"/>
        <v>0</v>
      </c>
      <c r="V174" s="8">
        <f t="shared" si="5"/>
        <v>3588000</v>
      </c>
      <c r="W174" s="10">
        <f t="shared" si="6"/>
        <v>2190000</v>
      </c>
      <c r="X174" s="10">
        <f t="shared" si="7"/>
        <v>1398000</v>
      </c>
      <c r="Y174" s="10"/>
      <c r="Z174" s="10"/>
      <c r="AA174" s="10"/>
      <c r="AB174" s="4" t="s">
        <v>733</v>
      </c>
      <c r="AC174" s="4" t="s">
        <v>731</v>
      </c>
      <c r="AD174" s="4">
        <v>42768.0</v>
      </c>
      <c r="AE174" s="4">
        <v>2017.0</v>
      </c>
      <c r="AF174" s="4" t="s">
        <v>732</v>
      </c>
      <c r="AG174" s="4" t="s">
        <v>85</v>
      </c>
      <c r="AH174" s="4" t="s">
        <v>50</v>
      </c>
      <c r="AI174" s="4" t="s">
        <v>68</v>
      </c>
      <c r="AJ174" s="4" t="s">
        <v>80</v>
      </c>
      <c r="AK174" s="4" t="s">
        <v>92</v>
      </c>
      <c r="AL174" s="4" t="s">
        <v>497</v>
      </c>
      <c r="AM174" s="4" t="s">
        <v>36</v>
      </c>
      <c r="AN174" s="4" t="s">
        <v>37</v>
      </c>
      <c r="AO174" s="4" t="s">
        <v>38</v>
      </c>
      <c r="AP174" s="4">
        <v>42770.0</v>
      </c>
      <c r="AQ174" s="4">
        <v>54750.0</v>
      </c>
      <c r="AR174" s="4">
        <v>89700.0</v>
      </c>
      <c r="AS174" s="4">
        <v>34950.0</v>
      </c>
      <c r="AT174" s="4">
        <v>40.0</v>
      </c>
      <c r="AU174" s="4">
        <v>3588000.0</v>
      </c>
      <c r="AV174" s="4">
        <v>0.0</v>
      </c>
      <c r="AW174" s="4">
        <v>0.0</v>
      </c>
      <c r="AX174" s="4">
        <v>3588000.0</v>
      </c>
      <c r="AY174" s="4">
        <v>2190000.0</v>
      </c>
      <c r="AZ174" s="4">
        <v>1398000.0</v>
      </c>
    </row>
    <row r="175" ht="15.75" customHeight="1">
      <c r="A175" s="3" t="s">
        <v>734</v>
      </c>
      <c r="B175" s="5">
        <v>42768.0</v>
      </c>
      <c r="C175" s="6">
        <f t="shared" si="1"/>
        <v>2017</v>
      </c>
      <c r="D175" s="7" t="s">
        <v>712</v>
      </c>
      <c r="E175" s="7" t="s">
        <v>42</v>
      </c>
      <c r="F175" s="7" t="s">
        <v>50</v>
      </c>
      <c r="G175" s="5" t="s">
        <v>91</v>
      </c>
      <c r="H175" s="7" t="s">
        <v>151</v>
      </c>
      <c r="I175" s="7" t="s">
        <v>92</v>
      </c>
      <c r="J175" s="7" t="s">
        <v>294</v>
      </c>
      <c r="K175" s="7" t="s">
        <v>36</v>
      </c>
      <c r="L175" s="7" t="s">
        <v>37</v>
      </c>
      <c r="M175" s="7" t="s">
        <v>38</v>
      </c>
      <c r="N175" s="5">
        <v>42770.0</v>
      </c>
      <c r="O175" s="8">
        <v>17700.0</v>
      </c>
      <c r="P175" s="8">
        <v>28200.0</v>
      </c>
      <c r="Q175" s="8">
        <f t="shared" si="2"/>
        <v>10500</v>
      </c>
      <c r="R175" s="8">
        <v>33.0</v>
      </c>
      <c r="S175" s="8">
        <f t="shared" si="3"/>
        <v>930600</v>
      </c>
      <c r="T175" s="9">
        <v>0.07</v>
      </c>
      <c r="U175" s="8">
        <f t="shared" si="4"/>
        <v>65142</v>
      </c>
      <c r="V175" s="8">
        <f t="shared" si="5"/>
        <v>865458</v>
      </c>
      <c r="W175" s="10">
        <f t="shared" si="6"/>
        <v>584100</v>
      </c>
      <c r="X175" s="10">
        <f t="shared" si="7"/>
        <v>281358</v>
      </c>
      <c r="Y175" s="10"/>
      <c r="Z175" s="10"/>
      <c r="AA175" s="10"/>
      <c r="AB175" s="4" t="s">
        <v>735</v>
      </c>
      <c r="AC175" s="4" t="s">
        <v>734</v>
      </c>
      <c r="AD175" s="4">
        <v>42768.0</v>
      </c>
      <c r="AE175" s="4">
        <v>2017.0</v>
      </c>
      <c r="AF175" s="4" t="s">
        <v>712</v>
      </c>
      <c r="AG175" s="4" t="s">
        <v>42</v>
      </c>
      <c r="AH175" s="4" t="s">
        <v>50</v>
      </c>
      <c r="AI175" s="4" t="s">
        <v>91</v>
      </c>
      <c r="AJ175" s="4" t="s">
        <v>151</v>
      </c>
      <c r="AK175" s="4" t="s">
        <v>92</v>
      </c>
      <c r="AL175" s="4" t="s">
        <v>294</v>
      </c>
      <c r="AM175" s="4" t="s">
        <v>36</v>
      </c>
      <c r="AN175" s="4" t="s">
        <v>37</v>
      </c>
      <c r="AO175" s="4" t="s">
        <v>38</v>
      </c>
      <c r="AP175" s="4">
        <v>42770.0</v>
      </c>
      <c r="AQ175" s="4">
        <v>17700.0</v>
      </c>
      <c r="AR175" s="4">
        <v>28200.0</v>
      </c>
      <c r="AS175" s="4">
        <v>10500.0</v>
      </c>
      <c r="AT175" s="4">
        <v>33.0</v>
      </c>
      <c r="AU175" s="4">
        <v>930600.0</v>
      </c>
      <c r="AV175" s="4">
        <v>0.07</v>
      </c>
      <c r="AW175" s="4">
        <v>65142.0</v>
      </c>
      <c r="AX175" s="4">
        <v>865458.0</v>
      </c>
      <c r="AY175" s="4">
        <v>584100.0</v>
      </c>
      <c r="AZ175" s="4">
        <v>281358.0</v>
      </c>
    </row>
    <row r="176" ht="15.75" customHeight="1">
      <c r="A176" s="3" t="s">
        <v>736</v>
      </c>
      <c r="B176" s="5">
        <v>42771.0</v>
      </c>
      <c r="C176" s="6">
        <f t="shared" si="1"/>
        <v>2017</v>
      </c>
      <c r="D176" s="7" t="s">
        <v>737</v>
      </c>
      <c r="E176" s="7" t="s">
        <v>738</v>
      </c>
      <c r="F176" s="7" t="s">
        <v>50</v>
      </c>
      <c r="G176" s="5" t="s">
        <v>91</v>
      </c>
      <c r="H176" s="7" t="s">
        <v>200</v>
      </c>
      <c r="I176" s="7" t="s">
        <v>34</v>
      </c>
      <c r="J176" s="7" t="s">
        <v>739</v>
      </c>
      <c r="K176" s="7" t="s">
        <v>36</v>
      </c>
      <c r="L176" s="7" t="s">
        <v>37</v>
      </c>
      <c r="M176" s="7" t="s">
        <v>38</v>
      </c>
      <c r="N176" s="5">
        <v>42774.0</v>
      </c>
      <c r="O176" s="8">
        <v>67950.0</v>
      </c>
      <c r="P176" s="8">
        <v>109500.0</v>
      </c>
      <c r="Q176" s="8">
        <f t="shared" si="2"/>
        <v>41550</v>
      </c>
      <c r="R176" s="8">
        <v>31.0</v>
      </c>
      <c r="S176" s="8">
        <f t="shared" si="3"/>
        <v>3394500</v>
      </c>
      <c r="T176" s="9">
        <v>0.03</v>
      </c>
      <c r="U176" s="8">
        <f t="shared" si="4"/>
        <v>101835</v>
      </c>
      <c r="V176" s="8">
        <f t="shared" si="5"/>
        <v>3292665</v>
      </c>
      <c r="W176" s="10">
        <f t="shared" si="6"/>
        <v>2106450</v>
      </c>
      <c r="X176" s="10">
        <f t="shared" si="7"/>
        <v>1186215</v>
      </c>
      <c r="Y176" s="10"/>
      <c r="Z176" s="10"/>
      <c r="AA176" s="10"/>
      <c r="AB176" s="4" t="s">
        <v>740</v>
      </c>
      <c r="AC176" s="4" t="s">
        <v>736</v>
      </c>
      <c r="AD176" s="4">
        <v>42771.0</v>
      </c>
      <c r="AE176" s="4">
        <v>2017.0</v>
      </c>
      <c r="AF176" s="4" t="s">
        <v>737</v>
      </c>
      <c r="AG176" s="4" t="s">
        <v>738</v>
      </c>
      <c r="AH176" s="4" t="s">
        <v>50</v>
      </c>
      <c r="AI176" s="4" t="s">
        <v>91</v>
      </c>
      <c r="AJ176" s="4" t="s">
        <v>200</v>
      </c>
      <c r="AK176" s="4" t="s">
        <v>34</v>
      </c>
      <c r="AL176" s="4" t="s">
        <v>739</v>
      </c>
      <c r="AM176" s="4" t="s">
        <v>36</v>
      </c>
      <c r="AN176" s="4" t="s">
        <v>37</v>
      </c>
      <c r="AO176" s="4" t="s">
        <v>38</v>
      </c>
      <c r="AP176" s="4">
        <v>42774.0</v>
      </c>
      <c r="AQ176" s="4">
        <v>67950.0</v>
      </c>
      <c r="AR176" s="4">
        <v>109500.0</v>
      </c>
      <c r="AS176" s="4">
        <v>41550.0</v>
      </c>
      <c r="AT176" s="4">
        <v>31.0</v>
      </c>
      <c r="AU176" s="4">
        <v>3394500.0</v>
      </c>
      <c r="AV176" s="4">
        <v>0.03</v>
      </c>
      <c r="AW176" s="4">
        <v>101835.0</v>
      </c>
      <c r="AX176" s="4">
        <v>3292665.0</v>
      </c>
      <c r="AY176" s="4">
        <v>2106450.0</v>
      </c>
      <c r="AZ176" s="4">
        <v>1186215.0</v>
      </c>
    </row>
    <row r="177" ht="15.75" customHeight="1">
      <c r="A177" s="3" t="s">
        <v>741</v>
      </c>
      <c r="B177" s="5">
        <v>42772.0</v>
      </c>
      <c r="C177" s="6">
        <f t="shared" si="1"/>
        <v>2017</v>
      </c>
      <c r="D177" s="7" t="s">
        <v>742</v>
      </c>
      <c r="E177" s="7" t="s">
        <v>726</v>
      </c>
      <c r="F177" s="7" t="s">
        <v>50</v>
      </c>
      <c r="G177" s="5" t="s">
        <v>91</v>
      </c>
      <c r="H177" s="7" t="s">
        <v>52</v>
      </c>
      <c r="I177" s="7" t="s">
        <v>34</v>
      </c>
      <c r="J177" s="7" t="s">
        <v>743</v>
      </c>
      <c r="K177" s="7" t="s">
        <v>36</v>
      </c>
      <c r="L177" s="7" t="s">
        <v>37</v>
      </c>
      <c r="M177" s="7" t="s">
        <v>38</v>
      </c>
      <c r="N177" s="5">
        <v>42774.0</v>
      </c>
      <c r="O177" s="8">
        <v>165600.0</v>
      </c>
      <c r="P177" s="8">
        <v>254700.0</v>
      </c>
      <c r="Q177" s="8">
        <f t="shared" si="2"/>
        <v>89100</v>
      </c>
      <c r="R177" s="8">
        <v>27.0</v>
      </c>
      <c r="S177" s="8">
        <f t="shared" si="3"/>
        <v>6876900</v>
      </c>
      <c r="T177" s="9">
        <v>0.1</v>
      </c>
      <c r="U177" s="8">
        <f t="shared" si="4"/>
        <v>687690</v>
      </c>
      <c r="V177" s="8">
        <f t="shared" si="5"/>
        <v>6189210</v>
      </c>
      <c r="W177" s="10">
        <f t="shared" si="6"/>
        <v>4471200</v>
      </c>
      <c r="X177" s="10">
        <f t="shared" si="7"/>
        <v>1718010</v>
      </c>
      <c r="Y177" s="10"/>
      <c r="Z177" s="10"/>
      <c r="AA177" s="10"/>
      <c r="AB177" s="4" t="s">
        <v>744</v>
      </c>
      <c r="AC177" s="4" t="s">
        <v>741</v>
      </c>
      <c r="AD177" s="4">
        <v>42772.0</v>
      </c>
      <c r="AE177" s="4">
        <v>2017.0</v>
      </c>
      <c r="AF177" s="4" t="s">
        <v>742</v>
      </c>
      <c r="AG177" s="4" t="s">
        <v>726</v>
      </c>
      <c r="AH177" s="4" t="s">
        <v>50</v>
      </c>
      <c r="AI177" s="4" t="s">
        <v>91</v>
      </c>
      <c r="AJ177" s="4" t="s">
        <v>52</v>
      </c>
      <c r="AK177" s="4" t="s">
        <v>34</v>
      </c>
      <c r="AL177" s="4" t="s">
        <v>743</v>
      </c>
      <c r="AM177" s="4" t="s">
        <v>36</v>
      </c>
      <c r="AN177" s="4" t="s">
        <v>37</v>
      </c>
      <c r="AO177" s="4" t="s">
        <v>38</v>
      </c>
      <c r="AP177" s="4">
        <v>42774.0</v>
      </c>
      <c r="AQ177" s="4">
        <v>165600.0</v>
      </c>
      <c r="AR177" s="4">
        <v>254700.0</v>
      </c>
      <c r="AS177" s="4">
        <v>89100.0</v>
      </c>
      <c r="AT177" s="4">
        <v>27.0</v>
      </c>
      <c r="AU177" s="4">
        <v>6876900.0</v>
      </c>
      <c r="AV177" s="4">
        <v>0.1</v>
      </c>
      <c r="AW177" s="4">
        <v>687690.0</v>
      </c>
      <c r="AX177" s="4">
        <v>6189210.0</v>
      </c>
      <c r="AY177" s="4">
        <v>4471200.0</v>
      </c>
      <c r="AZ177" s="4">
        <v>1718010.0</v>
      </c>
    </row>
    <row r="178" ht="15.75" customHeight="1">
      <c r="A178" s="3" t="s">
        <v>745</v>
      </c>
      <c r="B178" s="5">
        <v>42773.0</v>
      </c>
      <c r="C178" s="6">
        <f t="shared" si="1"/>
        <v>2017</v>
      </c>
      <c r="D178" s="7" t="s">
        <v>746</v>
      </c>
      <c r="E178" s="7" t="s">
        <v>747</v>
      </c>
      <c r="F178" s="7" t="s">
        <v>50</v>
      </c>
      <c r="G178" s="5" t="s">
        <v>68</v>
      </c>
      <c r="H178" s="7" t="s">
        <v>200</v>
      </c>
      <c r="I178" s="7" t="s">
        <v>92</v>
      </c>
      <c r="J178" s="7" t="s">
        <v>399</v>
      </c>
      <c r="K178" s="7" t="s">
        <v>36</v>
      </c>
      <c r="L178" s="7" t="s">
        <v>37</v>
      </c>
      <c r="M178" s="7" t="s">
        <v>38</v>
      </c>
      <c r="N178" s="5">
        <v>42775.0</v>
      </c>
      <c r="O178" s="8">
        <v>51000.0</v>
      </c>
      <c r="P178" s="8">
        <v>81000.0</v>
      </c>
      <c r="Q178" s="8">
        <f t="shared" si="2"/>
        <v>30000</v>
      </c>
      <c r="R178" s="8">
        <v>47.0</v>
      </c>
      <c r="S178" s="8">
        <f t="shared" si="3"/>
        <v>3807000</v>
      </c>
      <c r="T178" s="9">
        <v>0.03</v>
      </c>
      <c r="U178" s="8">
        <f t="shared" si="4"/>
        <v>114210</v>
      </c>
      <c r="V178" s="8">
        <f t="shared" si="5"/>
        <v>3692790</v>
      </c>
      <c r="W178" s="10">
        <f t="shared" si="6"/>
        <v>2397000</v>
      </c>
      <c r="X178" s="10">
        <f t="shared" si="7"/>
        <v>1295790</v>
      </c>
      <c r="Y178" s="10"/>
      <c r="Z178" s="10"/>
      <c r="AA178" s="10"/>
      <c r="AB178" s="4" t="s">
        <v>748</v>
      </c>
      <c r="AC178" s="4" t="s">
        <v>745</v>
      </c>
      <c r="AD178" s="4">
        <v>42773.0</v>
      </c>
      <c r="AE178" s="4">
        <v>2017.0</v>
      </c>
      <c r="AF178" s="4" t="s">
        <v>746</v>
      </c>
      <c r="AG178" s="4" t="s">
        <v>747</v>
      </c>
      <c r="AH178" s="4" t="s">
        <v>50</v>
      </c>
      <c r="AI178" s="4" t="s">
        <v>68</v>
      </c>
      <c r="AJ178" s="4" t="s">
        <v>200</v>
      </c>
      <c r="AK178" s="4" t="s">
        <v>92</v>
      </c>
      <c r="AL178" s="4" t="s">
        <v>399</v>
      </c>
      <c r="AM178" s="4" t="s">
        <v>36</v>
      </c>
      <c r="AN178" s="4" t="s">
        <v>37</v>
      </c>
      <c r="AO178" s="4" t="s">
        <v>38</v>
      </c>
      <c r="AP178" s="4">
        <v>42775.0</v>
      </c>
      <c r="AQ178" s="4">
        <v>51000.0</v>
      </c>
      <c r="AR178" s="4">
        <v>81000.0</v>
      </c>
      <c r="AS178" s="4">
        <v>30000.0</v>
      </c>
      <c r="AT178" s="4">
        <v>47.0</v>
      </c>
      <c r="AU178" s="4">
        <v>3807000.0</v>
      </c>
      <c r="AV178" s="4">
        <v>0.03</v>
      </c>
      <c r="AW178" s="4">
        <v>114210.0</v>
      </c>
      <c r="AX178" s="4">
        <v>3692790.0</v>
      </c>
      <c r="AY178" s="4">
        <v>2397000.0</v>
      </c>
      <c r="AZ178" s="4">
        <v>1295790.0</v>
      </c>
    </row>
    <row r="179" ht="15.75" customHeight="1">
      <c r="A179" s="3" t="s">
        <v>749</v>
      </c>
      <c r="B179" s="5">
        <v>42775.0</v>
      </c>
      <c r="C179" s="6">
        <f t="shared" si="1"/>
        <v>2017</v>
      </c>
      <c r="D179" s="7" t="s">
        <v>750</v>
      </c>
      <c r="E179" s="7" t="s">
        <v>542</v>
      </c>
      <c r="F179" s="7" t="s">
        <v>31</v>
      </c>
      <c r="G179" s="5" t="s">
        <v>51</v>
      </c>
      <c r="H179" s="7" t="s">
        <v>43</v>
      </c>
      <c r="I179" s="7" t="s">
        <v>34</v>
      </c>
      <c r="J179" s="7" t="s">
        <v>229</v>
      </c>
      <c r="K179" s="7" t="s">
        <v>61</v>
      </c>
      <c r="L179" s="7" t="s">
        <v>127</v>
      </c>
      <c r="M179" s="7" t="s">
        <v>38</v>
      </c>
      <c r="N179" s="5">
        <v>42776.0</v>
      </c>
      <c r="O179" s="8">
        <v>28050.0</v>
      </c>
      <c r="P179" s="8">
        <v>121799.99999999999</v>
      </c>
      <c r="Q179" s="8">
        <f t="shared" si="2"/>
        <v>93750</v>
      </c>
      <c r="R179" s="8">
        <v>37.0</v>
      </c>
      <c r="S179" s="8">
        <f t="shared" si="3"/>
        <v>4506600</v>
      </c>
      <c r="T179" s="9">
        <v>0.0</v>
      </c>
      <c r="U179" s="8">
        <f t="shared" si="4"/>
        <v>0</v>
      </c>
      <c r="V179" s="8">
        <f t="shared" si="5"/>
        <v>4506600</v>
      </c>
      <c r="W179" s="10">
        <f t="shared" si="6"/>
        <v>1037850</v>
      </c>
      <c r="X179" s="10">
        <f t="shared" si="7"/>
        <v>3468750</v>
      </c>
      <c r="Y179" s="10"/>
      <c r="Z179" s="10"/>
      <c r="AA179" s="10"/>
      <c r="AB179" s="4" t="s">
        <v>751</v>
      </c>
      <c r="AC179" s="4" t="s">
        <v>749</v>
      </c>
      <c r="AD179" s="4">
        <v>42775.0</v>
      </c>
      <c r="AE179" s="4">
        <v>2017.0</v>
      </c>
      <c r="AF179" s="4" t="s">
        <v>750</v>
      </c>
      <c r="AG179" s="4" t="s">
        <v>542</v>
      </c>
      <c r="AH179" s="4" t="s">
        <v>31</v>
      </c>
      <c r="AI179" s="4" t="s">
        <v>51</v>
      </c>
      <c r="AJ179" s="4" t="s">
        <v>43</v>
      </c>
      <c r="AK179" s="4" t="s">
        <v>34</v>
      </c>
      <c r="AL179" s="4" t="s">
        <v>229</v>
      </c>
      <c r="AM179" s="4" t="s">
        <v>61</v>
      </c>
      <c r="AN179" s="4" t="s">
        <v>127</v>
      </c>
      <c r="AO179" s="4" t="s">
        <v>38</v>
      </c>
      <c r="AP179" s="4">
        <v>42776.0</v>
      </c>
      <c r="AQ179" s="4">
        <v>28050.0</v>
      </c>
      <c r="AR179" s="4">
        <v>121800.0</v>
      </c>
      <c r="AS179" s="4">
        <v>93750.0</v>
      </c>
      <c r="AT179" s="4">
        <v>37.0</v>
      </c>
      <c r="AU179" s="4">
        <v>4506600.0</v>
      </c>
      <c r="AV179" s="4">
        <v>0.0</v>
      </c>
      <c r="AW179" s="4">
        <v>0.0</v>
      </c>
      <c r="AX179" s="4">
        <v>4506600.0</v>
      </c>
      <c r="AY179" s="4">
        <v>1037850.0</v>
      </c>
      <c r="AZ179" s="4">
        <v>3468750.0</v>
      </c>
    </row>
    <row r="180" ht="15.75" customHeight="1">
      <c r="A180" s="3" t="s">
        <v>752</v>
      </c>
      <c r="B180" s="5">
        <v>42775.0</v>
      </c>
      <c r="C180" s="6">
        <f t="shared" si="1"/>
        <v>2017</v>
      </c>
      <c r="D180" s="7" t="s">
        <v>102</v>
      </c>
      <c r="E180" s="7" t="s">
        <v>103</v>
      </c>
      <c r="F180" s="7" t="s">
        <v>31</v>
      </c>
      <c r="G180" s="5" t="s">
        <v>51</v>
      </c>
      <c r="H180" s="7" t="s">
        <v>43</v>
      </c>
      <c r="I180" s="7" t="s">
        <v>34</v>
      </c>
      <c r="J180" s="7" t="s">
        <v>753</v>
      </c>
      <c r="K180" s="7" t="s">
        <v>36</v>
      </c>
      <c r="L180" s="7" t="s">
        <v>127</v>
      </c>
      <c r="M180" s="7" t="s">
        <v>55</v>
      </c>
      <c r="N180" s="5">
        <v>42776.0</v>
      </c>
      <c r="O180" s="8">
        <v>252000.0</v>
      </c>
      <c r="P180" s="8">
        <v>614550.0</v>
      </c>
      <c r="Q180" s="8">
        <f t="shared" si="2"/>
        <v>362550</v>
      </c>
      <c r="R180" s="8">
        <v>11.0</v>
      </c>
      <c r="S180" s="8">
        <f t="shared" si="3"/>
        <v>6760050</v>
      </c>
      <c r="T180" s="9">
        <v>0.03</v>
      </c>
      <c r="U180" s="8">
        <f t="shared" si="4"/>
        <v>202801.5</v>
      </c>
      <c r="V180" s="8">
        <f t="shared" si="5"/>
        <v>6557248.5</v>
      </c>
      <c r="W180" s="10">
        <f t="shared" si="6"/>
        <v>2772000</v>
      </c>
      <c r="X180" s="10">
        <f t="shared" si="7"/>
        <v>3785248.5</v>
      </c>
      <c r="Y180" s="10"/>
      <c r="Z180" s="10"/>
      <c r="AA180" s="10"/>
      <c r="AB180" s="4" t="s">
        <v>754</v>
      </c>
      <c r="AC180" s="4" t="s">
        <v>752</v>
      </c>
      <c r="AD180" s="4">
        <v>42775.0</v>
      </c>
      <c r="AE180" s="4">
        <v>2017.0</v>
      </c>
      <c r="AF180" s="4" t="s">
        <v>102</v>
      </c>
      <c r="AG180" s="4" t="s">
        <v>103</v>
      </c>
      <c r="AH180" s="4" t="s">
        <v>31</v>
      </c>
      <c r="AI180" s="4" t="s">
        <v>51</v>
      </c>
      <c r="AJ180" s="4" t="s">
        <v>43</v>
      </c>
      <c r="AK180" s="4" t="s">
        <v>34</v>
      </c>
      <c r="AL180" s="4" t="s">
        <v>753</v>
      </c>
      <c r="AM180" s="4" t="s">
        <v>36</v>
      </c>
      <c r="AN180" s="4" t="s">
        <v>127</v>
      </c>
      <c r="AO180" s="4" t="s">
        <v>55</v>
      </c>
      <c r="AP180" s="4">
        <v>42776.0</v>
      </c>
      <c r="AQ180" s="4">
        <v>252000.0</v>
      </c>
      <c r="AR180" s="4">
        <v>614550.0</v>
      </c>
      <c r="AS180" s="4">
        <v>362550.0</v>
      </c>
      <c r="AT180" s="4">
        <v>11.0</v>
      </c>
      <c r="AU180" s="4">
        <v>6760050.0</v>
      </c>
      <c r="AV180" s="4">
        <v>0.03</v>
      </c>
      <c r="AW180" s="4">
        <v>202801.5</v>
      </c>
      <c r="AX180" s="4">
        <v>6557248.5</v>
      </c>
      <c r="AY180" s="4">
        <v>2772000.0</v>
      </c>
      <c r="AZ180" s="4">
        <v>3785248.5</v>
      </c>
    </row>
    <row r="181" ht="15.75" customHeight="1">
      <c r="A181" s="3" t="s">
        <v>755</v>
      </c>
      <c r="B181" s="5">
        <v>42776.0</v>
      </c>
      <c r="C181" s="6">
        <f t="shared" si="1"/>
        <v>2017</v>
      </c>
      <c r="D181" s="7" t="s">
        <v>756</v>
      </c>
      <c r="E181" s="7" t="s">
        <v>757</v>
      </c>
      <c r="F181" s="7" t="s">
        <v>50</v>
      </c>
      <c r="G181" s="5" t="s">
        <v>32</v>
      </c>
      <c r="H181" s="7" t="s">
        <v>110</v>
      </c>
      <c r="I181" s="7" t="s">
        <v>53</v>
      </c>
      <c r="J181" s="7" t="s">
        <v>516</v>
      </c>
      <c r="K181" s="7" t="s">
        <v>36</v>
      </c>
      <c r="L181" s="7" t="s">
        <v>37</v>
      </c>
      <c r="M181" s="7" t="s">
        <v>38</v>
      </c>
      <c r="N181" s="5">
        <v>42777.0</v>
      </c>
      <c r="O181" s="8">
        <v>29100.0</v>
      </c>
      <c r="P181" s="8">
        <v>46200.0</v>
      </c>
      <c r="Q181" s="8">
        <f t="shared" si="2"/>
        <v>17100</v>
      </c>
      <c r="R181" s="8">
        <v>41.0</v>
      </c>
      <c r="S181" s="8">
        <f t="shared" si="3"/>
        <v>1894200</v>
      </c>
      <c r="T181" s="9">
        <v>0.04</v>
      </c>
      <c r="U181" s="8">
        <f t="shared" si="4"/>
        <v>75768</v>
      </c>
      <c r="V181" s="8">
        <f t="shared" si="5"/>
        <v>1818432</v>
      </c>
      <c r="W181" s="10">
        <f t="shared" si="6"/>
        <v>1193100</v>
      </c>
      <c r="X181" s="10">
        <f t="shared" si="7"/>
        <v>625332</v>
      </c>
      <c r="Y181" s="10"/>
      <c r="Z181" s="10"/>
      <c r="AA181" s="10"/>
      <c r="AB181" s="4" t="s">
        <v>758</v>
      </c>
      <c r="AC181" s="4" t="s">
        <v>755</v>
      </c>
      <c r="AD181" s="4">
        <v>42776.0</v>
      </c>
      <c r="AE181" s="4">
        <v>2017.0</v>
      </c>
      <c r="AF181" s="4" t="s">
        <v>756</v>
      </c>
      <c r="AG181" s="4" t="s">
        <v>757</v>
      </c>
      <c r="AH181" s="4" t="s">
        <v>50</v>
      </c>
      <c r="AI181" s="4" t="s">
        <v>32</v>
      </c>
      <c r="AJ181" s="4" t="s">
        <v>110</v>
      </c>
      <c r="AK181" s="4" t="s">
        <v>53</v>
      </c>
      <c r="AL181" s="4" t="s">
        <v>516</v>
      </c>
      <c r="AM181" s="4" t="s">
        <v>36</v>
      </c>
      <c r="AN181" s="4" t="s">
        <v>37</v>
      </c>
      <c r="AO181" s="4" t="s">
        <v>38</v>
      </c>
      <c r="AP181" s="4">
        <v>42777.0</v>
      </c>
      <c r="AQ181" s="4">
        <v>29100.0</v>
      </c>
      <c r="AR181" s="4">
        <v>46200.0</v>
      </c>
      <c r="AS181" s="4">
        <v>17100.0</v>
      </c>
      <c r="AT181" s="4">
        <v>41.0</v>
      </c>
      <c r="AU181" s="4">
        <v>1894200.0</v>
      </c>
      <c r="AV181" s="4">
        <v>0.04</v>
      </c>
      <c r="AW181" s="4">
        <v>75768.0</v>
      </c>
      <c r="AX181" s="4">
        <v>1818432.0</v>
      </c>
      <c r="AY181" s="4">
        <v>1193100.0</v>
      </c>
      <c r="AZ181" s="4">
        <v>625332.0</v>
      </c>
    </row>
    <row r="182" ht="15.75" customHeight="1">
      <c r="A182" s="3" t="s">
        <v>759</v>
      </c>
      <c r="B182" s="5">
        <v>42779.0</v>
      </c>
      <c r="C182" s="6">
        <f t="shared" si="1"/>
        <v>2017</v>
      </c>
      <c r="D182" s="7" t="s">
        <v>760</v>
      </c>
      <c r="E182" s="7" t="s">
        <v>738</v>
      </c>
      <c r="F182" s="7" t="s">
        <v>50</v>
      </c>
      <c r="G182" s="5" t="s">
        <v>68</v>
      </c>
      <c r="H182" s="7" t="s">
        <v>200</v>
      </c>
      <c r="I182" s="7" t="s">
        <v>53</v>
      </c>
      <c r="J182" s="7" t="s">
        <v>229</v>
      </c>
      <c r="K182" s="7" t="s">
        <v>61</v>
      </c>
      <c r="L182" s="7" t="s">
        <v>127</v>
      </c>
      <c r="M182" s="7" t="s">
        <v>38</v>
      </c>
      <c r="N182" s="5">
        <v>42780.0</v>
      </c>
      <c r="O182" s="8">
        <v>28050.0</v>
      </c>
      <c r="P182" s="8">
        <v>121799.99999999999</v>
      </c>
      <c r="Q182" s="8">
        <f t="shared" si="2"/>
        <v>93750</v>
      </c>
      <c r="R182" s="8">
        <v>16.0</v>
      </c>
      <c r="S182" s="8">
        <f t="shared" si="3"/>
        <v>1948800</v>
      </c>
      <c r="T182" s="9">
        <v>0.03</v>
      </c>
      <c r="U182" s="8">
        <f t="shared" si="4"/>
        <v>58464</v>
      </c>
      <c r="V182" s="8">
        <f t="shared" si="5"/>
        <v>1890336</v>
      </c>
      <c r="W182" s="10">
        <f t="shared" si="6"/>
        <v>448800</v>
      </c>
      <c r="X182" s="10">
        <f t="shared" si="7"/>
        <v>1441536</v>
      </c>
      <c r="Y182" s="10"/>
      <c r="Z182" s="10"/>
      <c r="AA182" s="10"/>
      <c r="AB182" s="4" t="s">
        <v>761</v>
      </c>
      <c r="AC182" s="4" t="s">
        <v>759</v>
      </c>
      <c r="AD182" s="4">
        <v>42779.0</v>
      </c>
      <c r="AE182" s="4">
        <v>2017.0</v>
      </c>
      <c r="AF182" s="4" t="s">
        <v>760</v>
      </c>
      <c r="AG182" s="4" t="s">
        <v>738</v>
      </c>
      <c r="AH182" s="4" t="s">
        <v>50</v>
      </c>
      <c r="AI182" s="4" t="s">
        <v>68</v>
      </c>
      <c r="AJ182" s="4" t="s">
        <v>200</v>
      </c>
      <c r="AK182" s="4" t="s">
        <v>53</v>
      </c>
      <c r="AL182" s="4" t="s">
        <v>229</v>
      </c>
      <c r="AM182" s="4" t="s">
        <v>61</v>
      </c>
      <c r="AN182" s="4" t="s">
        <v>127</v>
      </c>
      <c r="AO182" s="4" t="s">
        <v>38</v>
      </c>
      <c r="AP182" s="4">
        <v>42780.0</v>
      </c>
      <c r="AQ182" s="4">
        <v>28050.0</v>
      </c>
      <c r="AR182" s="4">
        <v>121800.0</v>
      </c>
      <c r="AS182" s="4">
        <v>93750.0</v>
      </c>
      <c r="AT182" s="4">
        <v>16.0</v>
      </c>
      <c r="AU182" s="4">
        <v>1948800.0</v>
      </c>
      <c r="AV182" s="4">
        <v>0.03</v>
      </c>
      <c r="AW182" s="4">
        <v>58464.0</v>
      </c>
      <c r="AX182" s="4">
        <v>1890336.0</v>
      </c>
      <c r="AY182" s="4">
        <v>448800.0</v>
      </c>
      <c r="AZ182" s="4">
        <v>1441536.0</v>
      </c>
    </row>
    <row r="183" ht="15.75" customHeight="1">
      <c r="A183" s="3" t="s">
        <v>762</v>
      </c>
      <c r="B183" s="5">
        <v>42780.0</v>
      </c>
      <c r="C183" s="6">
        <f t="shared" si="1"/>
        <v>2017</v>
      </c>
      <c r="D183" s="7" t="s">
        <v>411</v>
      </c>
      <c r="E183" s="7" t="s">
        <v>103</v>
      </c>
      <c r="F183" s="7" t="s">
        <v>31</v>
      </c>
      <c r="G183" s="5" t="s">
        <v>32</v>
      </c>
      <c r="H183" s="7" t="s">
        <v>33</v>
      </c>
      <c r="I183" s="7" t="s">
        <v>104</v>
      </c>
      <c r="J183" s="7" t="s">
        <v>739</v>
      </c>
      <c r="K183" s="7" t="s">
        <v>36</v>
      </c>
      <c r="L183" s="7" t="s">
        <v>37</v>
      </c>
      <c r="M183" s="7" t="s">
        <v>38</v>
      </c>
      <c r="N183" s="5">
        <v>42781.0</v>
      </c>
      <c r="O183" s="8">
        <v>67950.0</v>
      </c>
      <c r="P183" s="8">
        <v>109500.0</v>
      </c>
      <c r="Q183" s="8">
        <f t="shared" si="2"/>
        <v>41550</v>
      </c>
      <c r="R183" s="8">
        <v>45.0</v>
      </c>
      <c r="S183" s="8">
        <f t="shared" si="3"/>
        <v>4927500</v>
      </c>
      <c r="T183" s="9">
        <v>0.04</v>
      </c>
      <c r="U183" s="8">
        <f t="shared" si="4"/>
        <v>197100</v>
      </c>
      <c r="V183" s="8">
        <f t="shared" si="5"/>
        <v>4730400</v>
      </c>
      <c r="W183" s="10">
        <f t="shared" si="6"/>
        <v>3057750</v>
      </c>
      <c r="X183" s="10">
        <f t="shared" si="7"/>
        <v>1672650</v>
      </c>
      <c r="Y183" s="10"/>
      <c r="Z183" s="10"/>
      <c r="AA183" s="10"/>
      <c r="AB183" s="4" t="s">
        <v>763</v>
      </c>
      <c r="AC183" s="4" t="s">
        <v>762</v>
      </c>
      <c r="AD183" s="4">
        <v>42780.0</v>
      </c>
      <c r="AE183" s="4">
        <v>2017.0</v>
      </c>
      <c r="AF183" s="4" t="s">
        <v>411</v>
      </c>
      <c r="AG183" s="4" t="s">
        <v>103</v>
      </c>
      <c r="AH183" s="4" t="s">
        <v>31</v>
      </c>
      <c r="AI183" s="4" t="s">
        <v>32</v>
      </c>
      <c r="AJ183" s="4" t="s">
        <v>33</v>
      </c>
      <c r="AK183" s="4" t="s">
        <v>104</v>
      </c>
      <c r="AL183" s="4" t="s">
        <v>739</v>
      </c>
      <c r="AM183" s="4" t="s">
        <v>36</v>
      </c>
      <c r="AN183" s="4" t="s">
        <v>37</v>
      </c>
      <c r="AO183" s="4" t="s">
        <v>38</v>
      </c>
      <c r="AP183" s="4">
        <v>42781.0</v>
      </c>
      <c r="AQ183" s="4">
        <v>67950.0</v>
      </c>
      <c r="AR183" s="4">
        <v>109500.0</v>
      </c>
      <c r="AS183" s="4">
        <v>41550.0</v>
      </c>
      <c r="AT183" s="4">
        <v>45.0</v>
      </c>
      <c r="AU183" s="4">
        <v>4927500.0</v>
      </c>
      <c r="AV183" s="4">
        <v>0.04</v>
      </c>
      <c r="AW183" s="4">
        <v>197100.0</v>
      </c>
      <c r="AX183" s="4">
        <v>4730400.0</v>
      </c>
      <c r="AY183" s="4">
        <v>3057750.0</v>
      </c>
      <c r="AZ183" s="4">
        <v>1672650.0</v>
      </c>
    </row>
    <row r="184" ht="15.75" customHeight="1">
      <c r="A184" s="3" t="s">
        <v>764</v>
      </c>
      <c r="B184" s="5">
        <v>42781.0</v>
      </c>
      <c r="C184" s="6">
        <f t="shared" si="1"/>
        <v>2017</v>
      </c>
      <c r="D184" s="7" t="s">
        <v>765</v>
      </c>
      <c r="E184" s="7" t="s">
        <v>766</v>
      </c>
      <c r="F184" s="7" t="s">
        <v>50</v>
      </c>
      <c r="G184" s="5" t="s">
        <v>51</v>
      </c>
      <c r="H184" s="7" t="s">
        <v>189</v>
      </c>
      <c r="I184" s="7" t="s">
        <v>53</v>
      </c>
      <c r="J184" s="7" t="s">
        <v>595</v>
      </c>
      <c r="K184" s="7" t="s">
        <v>36</v>
      </c>
      <c r="L184" s="7" t="s">
        <v>127</v>
      </c>
      <c r="M184" s="7" t="s">
        <v>38</v>
      </c>
      <c r="N184" s="5">
        <v>42781.0</v>
      </c>
      <c r="O184" s="8">
        <v>77850.0</v>
      </c>
      <c r="P184" s="8">
        <v>194700.0</v>
      </c>
      <c r="Q184" s="8">
        <f t="shared" si="2"/>
        <v>116850</v>
      </c>
      <c r="R184" s="8">
        <v>40.0</v>
      </c>
      <c r="S184" s="8">
        <f t="shared" si="3"/>
        <v>7788000</v>
      </c>
      <c r="T184" s="9">
        <v>0.05</v>
      </c>
      <c r="U184" s="8">
        <f t="shared" si="4"/>
        <v>389400</v>
      </c>
      <c r="V184" s="8">
        <f t="shared" si="5"/>
        <v>7398600</v>
      </c>
      <c r="W184" s="10">
        <f t="shared" si="6"/>
        <v>3114000</v>
      </c>
      <c r="X184" s="10">
        <f t="shared" si="7"/>
        <v>4284600</v>
      </c>
      <c r="Y184" s="10"/>
      <c r="Z184" s="10"/>
      <c r="AA184" s="10"/>
      <c r="AB184" s="4" t="s">
        <v>767</v>
      </c>
      <c r="AC184" s="4" t="s">
        <v>764</v>
      </c>
      <c r="AD184" s="4">
        <v>42781.0</v>
      </c>
      <c r="AE184" s="4">
        <v>2017.0</v>
      </c>
      <c r="AF184" s="4" t="s">
        <v>765</v>
      </c>
      <c r="AG184" s="4" t="s">
        <v>766</v>
      </c>
      <c r="AH184" s="4" t="s">
        <v>50</v>
      </c>
      <c r="AI184" s="4" t="s">
        <v>51</v>
      </c>
      <c r="AJ184" s="4" t="s">
        <v>189</v>
      </c>
      <c r="AK184" s="4" t="s">
        <v>53</v>
      </c>
      <c r="AL184" s="4" t="s">
        <v>595</v>
      </c>
      <c r="AM184" s="4" t="s">
        <v>36</v>
      </c>
      <c r="AN184" s="4" t="s">
        <v>127</v>
      </c>
      <c r="AO184" s="4" t="s">
        <v>38</v>
      </c>
      <c r="AP184" s="4">
        <v>42781.0</v>
      </c>
      <c r="AQ184" s="4">
        <v>77850.0</v>
      </c>
      <c r="AR184" s="4">
        <v>194700.0</v>
      </c>
      <c r="AS184" s="4">
        <v>116850.0</v>
      </c>
      <c r="AT184" s="4">
        <v>40.0</v>
      </c>
      <c r="AU184" s="4">
        <v>7788000.0</v>
      </c>
      <c r="AV184" s="4">
        <v>0.05</v>
      </c>
      <c r="AW184" s="4">
        <v>389400.0</v>
      </c>
      <c r="AX184" s="4">
        <v>7398600.0</v>
      </c>
      <c r="AY184" s="4">
        <v>3114000.0</v>
      </c>
      <c r="AZ184" s="4">
        <v>4284600.0</v>
      </c>
    </row>
    <row r="185" ht="15.75" customHeight="1">
      <c r="A185" s="3" t="s">
        <v>768</v>
      </c>
      <c r="B185" s="5">
        <v>42783.0</v>
      </c>
      <c r="C185" s="6">
        <f t="shared" si="1"/>
        <v>2017</v>
      </c>
      <c r="D185" s="7" t="s">
        <v>769</v>
      </c>
      <c r="E185" s="7" t="s">
        <v>770</v>
      </c>
      <c r="F185" s="7" t="s">
        <v>289</v>
      </c>
      <c r="G185" s="5" t="s">
        <v>51</v>
      </c>
      <c r="H185" s="7" t="s">
        <v>98</v>
      </c>
      <c r="I185" s="7" t="s">
        <v>92</v>
      </c>
      <c r="J185" s="7" t="s">
        <v>771</v>
      </c>
      <c r="K185" s="7" t="s">
        <v>36</v>
      </c>
      <c r="L185" s="7" t="s">
        <v>37</v>
      </c>
      <c r="M185" s="7" t="s">
        <v>38</v>
      </c>
      <c r="N185" s="5">
        <v>42785.0</v>
      </c>
      <c r="O185" s="8">
        <v>34350.0</v>
      </c>
      <c r="P185" s="8">
        <v>55350.0</v>
      </c>
      <c r="Q185" s="8">
        <f t="shared" si="2"/>
        <v>21000</v>
      </c>
      <c r="R185" s="8">
        <v>42.0</v>
      </c>
      <c r="S185" s="8">
        <f t="shared" si="3"/>
        <v>2324700</v>
      </c>
      <c r="T185" s="9">
        <v>0.04</v>
      </c>
      <c r="U185" s="8">
        <f t="shared" si="4"/>
        <v>92988</v>
      </c>
      <c r="V185" s="8">
        <f t="shared" si="5"/>
        <v>2231712</v>
      </c>
      <c r="W185" s="10">
        <f t="shared" si="6"/>
        <v>1442700</v>
      </c>
      <c r="X185" s="10">
        <f t="shared" si="7"/>
        <v>789012</v>
      </c>
      <c r="Y185" s="10"/>
      <c r="Z185" s="10"/>
      <c r="AA185" s="10"/>
      <c r="AB185" s="4" t="s">
        <v>772</v>
      </c>
      <c r="AC185" s="4" t="s">
        <v>768</v>
      </c>
      <c r="AD185" s="4">
        <v>42783.0</v>
      </c>
      <c r="AE185" s="4">
        <v>2017.0</v>
      </c>
      <c r="AF185" s="4" t="s">
        <v>769</v>
      </c>
      <c r="AG185" s="4" t="s">
        <v>770</v>
      </c>
      <c r="AH185" s="4" t="s">
        <v>289</v>
      </c>
      <c r="AI185" s="4" t="s">
        <v>51</v>
      </c>
      <c r="AJ185" s="4" t="s">
        <v>98</v>
      </c>
      <c r="AK185" s="4" t="s">
        <v>92</v>
      </c>
      <c r="AL185" s="4" t="s">
        <v>771</v>
      </c>
      <c r="AM185" s="4" t="s">
        <v>36</v>
      </c>
      <c r="AN185" s="4" t="s">
        <v>37</v>
      </c>
      <c r="AO185" s="4" t="s">
        <v>38</v>
      </c>
      <c r="AP185" s="4">
        <v>42785.0</v>
      </c>
      <c r="AQ185" s="4">
        <v>34350.0</v>
      </c>
      <c r="AR185" s="4">
        <v>55350.0</v>
      </c>
      <c r="AS185" s="4">
        <v>21000.0</v>
      </c>
      <c r="AT185" s="4">
        <v>42.0</v>
      </c>
      <c r="AU185" s="4">
        <v>2324700.0</v>
      </c>
      <c r="AV185" s="4">
        <v>0.04</v>
      </c>
      <c r="AW185" s="4">
        <v>92988.0</v>
      </c>
      <c r="AX185" s="4">
        <v>2231712.0</v>
      </c>
      <c r="AY185" s="4">
        <v>1442700.0</v>
      </c>
      <c r="AZ185" s="4">
        <v>789012.0</v>
      </c>
    </row>
    <row r="186" ht="15.75" customHeight="1">
      <c r="A186" s="3" t="s">
        <v>773</v>
      </c>
      <c r="B186" s="5">
        <v>42783.0</v>
      </c>
      <c r="C186" s="6">
        <f t="shared" si="1"/>
        <v>2017</v>
      </c>
      <c r="D186" s="7" t="s">
        <v>774</v>
      </c>
      <c r="E186" s="7" t="s">
        <v>775</v>
      </c>
      <c r="F186" s="7" t="s">
        <v>50</v>
      </c>
      <c r="G186" s="5" t="s">
        <v>51</v>
      </c>
      <c r="H186" s="7" t="s">
        <v>80</v>
      </c>
      <c r="I186" s="7" t="s">
        <v>53</v>
      </c>
      <c r="J186" s="7" t="s">
        <v>776</v>
      </c>
      <c r="K186" s="7" t="s">
        <v>36</v>
      </c>
      <c r="L186" s="7" t="s">
        <v>45</v>
      </c>
      <c r="M186" s="7" t="s">
        <v>38</v>
      </c>
      <c r="N186" s="5">
        <v>42784.0</v>
      </c>
      <c r="O186" s="8">
        <v>78300.0</v>
      </c>
      <c r="P186" s="8">
        <v>147750.0</v>
      </c>
      <c r="Q186" s="8">
        <f t="shared" si="2"/>
        <v>69450</v>
      </c>
      <c r="R186" s="8">
        <v>27.0</v>
      </c>
      <c r="S186" s="8">
        <f t="shared" si="3"/>
        <v>3989250</v>
      </c>
      <c r="T186" s="9">
        <v>0.1</v>
      </c>
      <c r="U186" s="8">
        <f t="shared" si="4"/>
        <v>398925</v>
      </c>
      <c r="V186" s="8">
        <f t="shared" si="5"/>
        <v>3590325</v>
      </c>
      <c r="W186" s="10">
        <f t="shared" si="6"/>
        <v>2114100</v>
      </c>
      <c r="X186" s="10">
        <f t="shared" si="7"/>
        <v>1476225</v>
      </c>
      <c r="Y186" s="10"/>
      <c r="Z186" s="10"/>
      <c r="AA186" s="10"/>
      <c r="AB186" s="4" t="s">
        <v>777</v>
      </c>
      <c r="AC186" s="4" t="s">
        <v>773</v>
      </c>
      <c r="AD186" s="4">
        <v>42783.0</v>
      </c>
      <c r="AE186" s="4">
        <v>2017.0</v>
      </c>
      <c r="AF186" s="4" t="s">
        <v>774</v>
      </c>
      <c r="AG186" s="4" t="s">
        <v>775</v>
      </c>
      <c r="AH186" s="4" t="s">
        <v>50</v>
      </c>
      <c r="AI186" s="4" t="s">
        <v>51</v>
      </c>
      <c r="AJ186" s="4" t="s">
        <v>80</v>
      </c>
      <c r="AK186" s="4" t="s">
        <v>53</v>
      </c>
      <c r="AL186" s="4" t="s">
        <v>776</v>
      </c>
      <c r="AM186" s="4" t="s">
        <v>36</v>
      </c>
      <c r="AN186" s="4" t="s">
        <v>45</v>
      </c>
      <c r="AO186" s="4" t="s">
        <v>38</v>
      </c>
      <c r="AP186" s="4">
        <v>42784.0</v>
      </c>
      <c r="AQ186" s="4">
        <v>78300.0</v>
      </c>
      <c r="AR186" s="4">
        <v>147750.0</v>
      </c>
      <c r="AS186" s="4">
        <v>69450.0</v>
      </c>
      <c r="AT186" s="4">
        <v>27.0</v>
      </c>
      <c r="AU186" s="4">
        <v>3989250.0</v>
      </c>
      <c r="AV186" s="4">
        <v>0.1</v>
      </c>
      <c r="AW186" s="4">
        <v>398925.0</v>
      </c>
      <c r="AX186" s="4">
        <v>3590325.0</v>
      </c>
      <c r="AY186" s="4">
        <v>2114100.0</v>
      </c>
      <c r="AZ186" s="4">
        <v>1476225.0</v>
      </c>
    </row>
    <row r="187" ht="15.75" customHeight="1">
      <c r="A187" s="3" t="s">
        <v>778</v>
      </c>
      <c r="B187" s="5">
        <v>42785.0</v>
      </c>
      <c r="C187" s="6">
        <f t="shared" si="1"/>
        <v>2017</v>
      </c>
      <c r="D187" s="7" t="s">
        <v>779</v>
      </c>
      <c r="E187" s="7" t="s">
        <v>780</v>
      </c>
      <c r="F187" s="7" t="s">
        <v>50</v>
      </c>
      <c r="G187" s="5" t="s">
        <v>91</v>
      </c>
      <c r="H187" s="7" t="s">
        <v>98</v>
      </c>
      <c r="I187" s="7" t="s">
        <v>104</v>
      </c>
      <c r="J187" s="7" t="s">
        <v>272</v>
      </c>
      <c r="K187" s="7" t="s">
        <v>36</v>
      </c>
      <c r="L187" s="7" t="s">
        <v>45</v>
      </c>
      <c r="M187" s="7" t="s">
        <v>55</v>
      </c>
      <c r="N187" s="5">
        <v>42786.0</v>
      </c>
      <c r="O187" s="8">
        <v>56250.0</v>
      </c>
      <c r="P187" s="8">
        <v>106200.0</v>
      </c>
      <c r="Q187" s="8">
        <f t="shared" si="2"/>
        <v>49950</v>
      </c>
      <c r="R187" s="8">
        <v>29.0</v>
      </c>
      <c r="S187" s="8">
        <f t="shared" si="3"/>
        <v>3079800</v>
      </c>
      <c r="T187" s="9">
        <v>0.07</v>
      </c>
      <c r="U187" s="8">
        <f t="shared" si="4"/>
        <v>215586</v>
      </c>
      <c r="V187" s="8">
        <f t="shared" si="5"/>
        <v>2864214</v>
      </c>
      <c r="W187" s="10">
        <f t="shared" si="6"/>
        <v>1631250</v>
      </c>
      <c r="X187" s="10">
        <f t="shared" si="7"/>
        <v>1232964</v>
      </c>
      <c r="Y187" s="10"/>
      <c r="Z187" s="10"/>
      <c r="AA187" s="10"/>
      <c r="AB187" s="4" t="s">
        <v>781</v>
      </c>
      <c r="AC187" s="4" t="s">
        <v>778</v>
      </c>
      <c r="AD187" s="4">
        <v>42785.0</v>
      </c>
      <c r="AE187" s="4">
        <v>2017.0</v>
      </c>
      <c r="AF187" s="4" t="s">
        <v>779</v>
      </c>
      <c r="AG187" s="4" t="s">
        <v>780</v>
      </c>
      <c r="AH187" s="4" t="s">
        <v>50</v>
      </c>
      <c r="AI187" s="4" t="s">
        <v>91</v>
      </c>
      <c r="AJ187" s="4" t="s">
        <v>98</v>
      </c>
      <c r="AK187" s="4" t="s">
        <v>104</v>
      </c>
      <c r="AL187" s="4" t="s">
        <v>272</v>
      </c>
      <c r="AM187" s="4" t="s">
        <v>36</v>
      </c>
      <c r="AN187" s="4" t="s">
        <v>45</v>
      </c>
      <c r="AO187" s="4" t="s">
        <v>55</v>
      </c>
      <c r="AP187" s="4">
        <v>42786.0</v>
      </c>
      <c r="AQ187" s="4">
        <v>56250.0</v>
      </c>
      <c r="AR187" s="4">
        <v>106200.0</v>
      </c>
      <c r="AS187" s="4">
        <v>49950.0</v>
      </c>
      <c r="AT187" s="4">
        <v>29.0</v>
      </c>
      <c r="AU187" s="4">
        <v>3079800.0</v>
      </c>
      <c r="AV187" s="4">
        <v>0.07</v>
      </c>
      <c r="AW187" s="4">
        <v>215586.0</v>
      </c>
      <c r="AX187" s="4">
        <v>2864214.0</v>
      </c>
      <c r="AY187" s="4">
        <v>1631250.0</v>
      </c>
      <c r="AZ187" s="4">
        <v>1232964.0</v>
      </c>
    </row>
    <row r="188" ht="15.75" customHeight="1">
      <c r="A188" s="3" t="s">
        <v>782</v>
      </c>
      <c r="B188" s="5">
        <v>42787.0</v>
      </c>
      <c r="C188" s="6">
        <f t="shared" si="1"/>
        <v>2017</v>
      </c>
      <c r="D188" s="7" t="s">
        <v>783</v>
      </c>
      <c r="E188" s="7" t="s">
        <v>183</v>
      </c>
      <c r="F188" s="7" t="s">
        <v>31</v>
      </c>
      <c r="G188" s="5" t="s">
        <v>91</v>
      </c>
      <c r="H188" s="7" t="s">
        <v>43</v>
      </c>
      <c r="I188" s="7" t="s">
        <v>74</v>
      </c>
      <c r="J188" s="7" t="s">
        <v>627</v>
      </c>
      <c r="K188" s="7" t="s">
        <v>36</v>
      </c>
      <c r="L188" s="7" t="s">
        <v>45</v>
      </c>
      <c r="M188" s="7" t="s">
        <v>38</v>
      </c>
      <c r="N188" s="5">
        <v>42787.0</v>
      </c>
      <c r="O188" s="8">
        <v>49800.0</v>
      </c>
      <c r="P188" s="8">
        <v>77700.0</v>
      </c>
      <c r="Q188" s="8">
        <f t="shared" si="2"/>
        <v>27900</v>
      </c>
      <c r="R188" s="8">
        <v>8.0</v>
      </c>
      <c r="S188" s="8">
        <f t="shared" si="3"/>
        <v>621600</v>
      </c>
      <c r="T188" s="9">
        <v>0.06</v>
      </c>
      <c r="U188" s="8">
        <f t="shared" si="4"/>
        <v>37296</v>
      </c>
      <c r="V188" s="8">
        <f t="shared" si="5"/>
        <v>584304</v>
      </c>
      <c r="W188" s="10">
        <f t="shared" si="6"/>
        <v>398400</v>
      </c>
      <c r="X188" s="10">
        <f t="shared" si="7"/>
        <v>185904</v>
      </c>
      <c r="Y188" s="10"/>
      <c r="Z188" s="10"/>
      <c r="AA188" s="10"/>
      <c r="AB188" s="4" t="s">
        <v>784</v>
      </c>
      <c r="AC188" s="4" t="s">
        <v>782</v>
      </c>
      <c r="AD188" s="4">
        <v>42787.0</v>
      </c>
      <c r="AE188" s="4">
        <v>2017.0</v>
      </c>
      <c r="AF188" s="4" t="s">
        <v>783</v>
      </c>
      <c r="AG188" s="4" t="s">
        <v>183</v>
      </c>
      <c r="AH188" s="4" t="s">
        <v>31</v>
      </c>
      <c r="AI188" s="4" t="s">
        <v>91</v>
      </c>
      <c r="AJ188" s="4" t="s">
        <v>43</v>
      </c>
      <c r="AK188" s="4" t="s">
        <v>74</v>
      </c>
      <c r="AL188" s="4" t="s">
        <v>627</v>
      </c>
      <c r="AM188" s="4" t="s">
        <v>36</v>
      </c>
      <c r="AN188" s="4" t="s">
        <v>45</v>
      </c>
      <c r="AO188" s="4" t="s">
        <v>38</v>
      </c>
      <c r="AP188" s="4">
        <v>42787.0</v>
      </c>
      <c r="AQ188" s="4">
        <v>49800.0</v>
      </c>
      <c r="AR188" s="4">
        <v>77700.0</v>
      </c>
      <c r="AS188" s="4">
        <v>27900.0</v>
      </c>
      <c r="AT188" s="4">
        <v>8.0</v>
      </c>
      <c r="AU188" s="4">
        <v>621600.0</v>
      </c>
      <c r="AV188" s="4">
        <v>0.06</v>
      </c>
      <c r="AW188" s="4">
        <v>37296.0</v>
      </c>
      <c r="AX188" s="4">
        <v>584304.0</v>
      </c>
      <c r="AY188" s="4">
        <v>398400.0</v>
      </c>
      <c r="AZ188" s="4">
        <v>185904.0</v>
      </c>
    </row>
    <row r="189" ht="15.75" customHeight="1">
      <c r="A189" s="3" t="s">
        <v>785</v>
      </c>
      <c r="B189" s="5">
        <v>42790.0</v>
      </c>
      <c r="C189" s="6">
        <f t="shared" si="1"/>
        <v>2017</v>
      </c>
      <c r="D189" s="7" t="s">
        <v>786</v>
      </c>
      <c r="E189" s="7" t="s">
        <v>59</v>
      </c>
      <c r="F189" s="7" t="s">
        <v>31</v>
      </c>
      <c r="G189" s="5" t="s">
        <v>51</v>
      </c>
      <c r="H189" s="7" t="s">
        <v>33</v>
      </c>
      <c r="I189" s="7" t="s">
        <v>104</v>
      </c>
      <c r="J189" s="7" t="s">
        <v>787</v>
      </c>
      <c r="K189" s="7" t="s">
        <v>36</v>
      </c>
      <c r="L189" s="7" t="s">
        <v>37</v>
      </c>
      <c r="M189" s="7" t="s">
        <v>38</v>
      </c>
      <c r="N189" s="5">
        <v>42792.0</v>
      </c>
      <c r="O189" s="8">
        <v>50550.0</v>
      </c>
      <c r="P189" s="8">
        <v>82950.0</v>
      </c>
      <c r="Q189" s="8">
        <f t="shared" si="2"/>
        <v>32400</v>
      </c>
      <c r="R189" s="8">
        <v>17.0</v>
      </c>
      <c r="S189" s="8">
        <f t="shared" si="3"/>
        <v>1410150</v>
      </c>
      <c r="T189" s="9">
        <v>0.02</v>
      </c>
      <c r="U189" s="8">
        <f t="shared" si="4"/>
        <v>28203</v>
      </c>
      <c r="V189" s="8">
        <f t="shared" si="5"/>
        <v>1381947</v>
      </c>
      <c r="W189" s="10">
        <f t="shared" si="6"/>
        <v>859350</v>
      </c>
      <c r="X189" s="10">
        <f t="shared" si="7"/>
        <v>522597</v>
      </c>
      <c r="Y189" s="10"/>
      <c r="Z189" s="10"/>
      <c r="AA189" s="10"/>
      <c r="AB189" s="4" t="s">
        <v>788</v>
      </c>
      <c r="AC189" s="4" t="s">
        <v>785</v>
      </c>
      <c r="AD189" s="4">
        <v>42790.0</v>
      </c>
      <c r="AE189" s="4">
        <v>2017.0</v>
      </c>
      <c r="AF189" s="4" t="s">
        <v>786</v>
      </c>
      <c r="AG189" s="4" t="s">
        <v>59</v>
      </c>
      <c r="AH189" s="4" t="s">
        <v>31</v>
      </c>
      <c r="AI189" s="4" t="s">
        <v>51</v>
      </c>
      <c r="AJ189" s="4" t="s">
        <v>33</v>
      </c>
      <c r="AK189" s="4" t="s">
        <v>104</v>
      </c>
      <c r="AL189" s="4" t="s">
        <v>787</v>
      </c>
      <c r="AM189" s="4" t="s">
        <v>36</v>
      </c>
      <c r="AN189" s="4" t="s">
        <v>37</v>
      </c>
      <c r="AO189" s="4" t="s">
        <v>38</v>
      </c>
      <c r="AP189" s="4">
        <v>42792.0</v>
      </c>
      <c r="AQ189" s="4">
        <v>50550.0</v>
      </c>
      <c r="AR189" s="4">
        <v>82950.0</v>
      </c>
      <c r="AS189" s="4">
        <v>32400.0</v>
      </c>
      <c r="AT189" s="4">
        <v>17.0</v>
      </c>
      <c r="AU189" s="4">
        <v>1410150.0</v>
      </c>
      <c r="AV189" s="4">
        <v>0.02</v>
      </c>
      <c r="AW189" s="4">
        <v>28203.0</v>
      </c>
      <c r="AX189" s="4">
        <v>1381947.0</v>
      </c>
      <c r="AY189" s="4">
        <v>859350.0</v>
      </c>
      <c r="AZ189" s="4">
        <v>522597.0</v>
      </c>
    </row>
    <row r="190" ht="15.75" customHeight="1">
      <c r="A190" s="3" t="s">
        <v>789</v>
      </c>
      <c r="B190" s="5">
        <v>42793.0</v>
      </c>
      <c r="C190" s="6">
        <f t="shared" si="1"/>
        <v>2017</v>
      </c>
      <c r="D190" s="7" t="s">
        <v>634</v>
      </c>
      <c r="E190" s="7" t="s">
        <v>85</v>
      </c>
      <c r="F190" s="7" t="s">
        <v>50</v>
      </c>
      <c r="G190" s="5" t="s">
        <v>68</v>
      </c>
      <c r="H190" s="7" t="s">
        <v>80</v>
      </c>
      <c r="I190" s="7" t="s">
        <v>92</v>
      </c>
      <c r="J190" s="7" t="s">
        <v>322</v>
      </c>
      <c r="K190" s="7" t="s">
        <v>36</v>
      </c>
      <c r="L190" s="7" t="s">
        <v>37</v>
      </c>
      <c r="M190" s="7" t="s">
        <v>38</v>
      </c>
      <c r="N190" s="5">
        <v>42795.0</v>
      </c>
      <c r="O190" s="8">
        <v>185850.0</v>
      </c>
      <c r="P190" s="8">
        <v>299700.0</v>
      </c>
      <c r="Q190" s="8">
        <f t="shared" si="2"/>
        <v>113850</v>
      </c>
      <c r="R190" s="8">
        <v>47.0</v>
      </c>
      <c r="S190" s="8">
        <f t="shared" si="3"/>
        <v>14085900</v>
      </c>
      <c r="T190" s="9">
        <v>0.04</v>
      </c>
      <c r="U190" s="8">
        <f t="shared" si="4"/>
        <v>563436</v>
      </c>
      <c r="V190" s="8">
        <f t="shared" si="5"/>
        <v>13522464</v>
      </c>
      <c r="W190" s="10">
        <f t="shared" si="6"/>
        <v>8734950</v>
      </c>
      <c r="X190" s="10">
        <f t="shared" si="7"/>
        <v>4787514</v>
      </c>
      <c r="Y190" s="10"/>
      <c r="Z190" s="10"/>
      <c r="AA190" s="10"/>
      <c r="AB190" s="4" t="s">
        <v>790</v>
      </c>
      <c r="AC190" s="4" t="s">
        <v>789</v>
      </c>
      <c r="AD190" s="4">
        <v>42793.0</v>
      </c>
      <c r="AE190" s="4">
        <v>2017.0</v>
      </c>
      <c r="AF190" s="4" t="s">
        <v>634</v>
      </c>
      <c r="AG190" s="4" t="s">
        <v>85</v>
      </c>
      <c r="AH190" s="4" t="s">
        <v>50</v>
      </c>
      <c r="AI190" s="4" t="s">
        <v>68</v>
      </c>
      <c r="AJ190" s="4" t="s">
        <v>80</v>
      </c>
      <c r="AK190" s="4" t="s">
        <v>92</v>
      </c>
      <c r="AL190" s="4" t="s">
        <v>322</v>
      </c>
      <c r="AM190" s="4" t="s">
        <v>36</v>
      </c>
      <c r="AN190" s="4" t="s">
        <v>37</v>
      </c>
      <c r="AO190" s="4" t="s">
        <v>38</v>
      </c>
      <c r="AP190" s="4">
        <v>42795.0</v>
      </c>
      <c r="AQ190" s="4">
        <v>185850.0</v>
      </c>
      <c r="AR190" s="4">
        <v>299700.0</v>
      </c>
      <c r="AS190" s="4">
        <v>113850.0</v>
      </c>
      <c r="AT190" s="4">
        <v>47.0</v>
      </c>
      <c r="AU190" s="4">
        <v>1.40859E7</v>
      </c>
      <c r="AV190" s="4">
        <v>0.04</v>
      </c>
      <c r="AW190" s="4">
        <v>563436.0</v>
      </c>
      <c r="AX190" s="4">
        <v>1.3522464E7</v>
      </c>
      <c r="AY190" s="4">
        <v>8734950.0</v>
      </c>
      <c r="AZ190" s="4">
        <v>4787514.0</v>
      </c>
    </row>
    <row r="191" ht="15.75" customHeight="1">
      <c r="A191" s="3" t="s">
        <v>791</v>
      </c>
      <c r="B191" s="5">
        <v>42794.0</v>
      </c>
      <c r="C191" s="6">
        <f t="shared" si="1"/>
        <v>2017</v>
      </c>
      <c r="D191" s="7" t="s">
        <v>203</v>
      </c>
      <c r="E191" s="7" t="s">
        <v>90</v>
      </c>
      <c r="F191" s="7" t="s">
        <v>50</v>
      </c>
      <c r="G191" s="5" t="s">
        <v>68</v>
      </c>
      <c r="H191" s="7" t="s">
        <v>52</v>
      </c>
      <c r="I191" s="7" t="s">
        <v>92</v>
      </c>
      <c r="J191" s="7" t="s">
        <v>277</v>
      </c>
      <c r="K191" s="7" t="s">
        <v>278</v>
      </c>
      <c r="L191" s="7" t="s">
        <v>127</v>
      </c>
      <c r="M191" s="7" t="s">
        <v>38</v>
      </c>
      <c r="N191" s="5">
        <v>42794.0</v>
      </c>
      <c r="O191" s="8">
        <v>82500.0</v>
      </c>
      <c r="P191" s="8">
        <v>183300.0</v>
      </c>
      <c r="Q191" s="8">
        <f t="shared" si="2"/>
        <v>100800</v>
      </c>
      <c r="R191" s="8">
        <v>27.0</v>
      </c>
      <c r="S191" s="8">
        <f t="shared" si="3"/>
        <v>4949100</v>
      </c>
      <c r="T191" s="9">
        <v>0.07</v>
      </c>
      <c r="U191" s="8">
        <f t="shared" si="4"/>
        <v>346437</v>
      </c>
      <c r="V191" s="8">
        <f t="shared" si="5"/>
        <v>4602663</v>
      </c>
      <c r="W191" s="10">
        <f t="shared" si="6"/>
        <v>2227500</v>
      </c>
      <c r="X191" s="10">
        <f t="shared" si="7"/>
        <v>2375163</v>
      </c>
      <c r="Y191" s="10"/>
      <c r="Z191" s="10"/>
      <c r="AA191" s="10"/>
      <c r="AB191" s="4" t="s">
        <v>792</v>
      </c>
      <c r="AC191" s="4" t="s">
        <v>791</v>
      </c>
      <c r="AD191" s="4">
        <v>42794.0</v>
      </c>
      <c r="AE191" s="4">
        <v>2017.0</v>
      </c>
      <c r="AF191" s="4" t="s">
        <v>203</v>
      </c>
      <c r="AG191" s="4" t="s">
        <v>90</v>
      </c>
      <c r="AH191" s="4" t="s">
        <v>50</v>
      </c>
      <c r="AI191" s="4" t="s">
        <v>68</v>
      </c>
      <c r="AJ191" s="4" t="s">
        <v>52</v>
      </c>
      <c r="AK191" s="4" t="s">
        <v>92</v>
      </c>
      <c r="AL191" s="4" t="s">
        <v>277</v>
      </c>
      <c r="AM191" s="4" t="s">
        <v>278</v>
      </c>
      <c r="AN191" s="4" t="s">
        <v>127</v>
      </c>
      <c r="AO191" s="4" t="s">
        <v>38</v>
      </c>
      <c r="AP191" s="4">
        <v>42794.0</v>
      </c>
      <c r="AQ191" s="4">
        <v>82500.0</v>
      </c>
      <c r="AR191" s="4">
        <v>183300.0</v>
      </c>
      <c r="AS191" s="4">
        <v>100800.0</v>
      </c>
      <c r="AT191" s="4">
        <v>27.0</v>
      </c>
      <c r="AU191" s="4">
        <v>4949100.0</v>
      </c>
      <c r="AV191" s="4">
        <v>0.07</v>
      </c>
      <c r="AW191" s="4">
        <v>346437.0</v>
      </c>
      <c r="AX191" s="4">
        <v>4602663.0</v>
      </c>
      <c r="AY191" s="4">
        <v>2227500.0</v>
      </c>
      <c r="AZ191" s="4">
        <v>2375163.0</v>
      </c>
    </row>
    <row r="192" ht="15.75" customHeight="1">
      <c r="A192" s="3" t="s">
        <v>793</v>
      </c>
      <c r="B192" s="5">
        <v>42794.0</v>
      </c>
      <c r="C192" s="6">
        <f t="shared" si="1"/>
        <v>2017</v>
      </c>
      <c r="D192" s="7" t="s">
        <v>794</v>
      </c>
      <c r="E192" s="7" t="s">
        <v>795</v>
      </c>
      <c r="F192" s="7" t="s">
        <v>50</v>
      </c>
      <c r="G192" s="5" t="s">
        <v>51</v>
      </c>
      <c r="H192" s="7" t="s">
        <v>344</v>
      </c>
      <c r="I192" s="7" t="s">
        <v>53</v>
      </c>
      <c r="J192" s="7" t="s">
        <v>796</v>
      </c>
      <c r="K192" s="7" t="s">
        <v>36</v>
      </c>
      <c r="L192" s="7" t="s">
        <v>45</v>
      </c>
      <c r="M192" s="7" t="s">
        <v>38</v>
      </c>
      <c r="N192" s="5">
        <v>42795.0</v>
      </c>
      <c r="O192" s="8">
        <v>26400.0</v>
      </c>
      <c r="P192" s="8">
        <v>44100.0</v>
      </c>
      <c r="Q192" s="8">
        <f t="shared" si="2"/>
        <v>17700</v>
      </c>
      <c r="R192" s="8">
        <v>23.0</v>
      </c>
      <c r="S192" s="8">
        <f t="shared" si="3"/>
        <v>1014300</v>
      </c>
      <c r="T192" s="9">
        <v>0.07</v>
      </c>
      <c r="U192" s="8">
        <f t="shared" si="4"/>
        <v>71001</v>
      </c>
      <c r="V192" s="8">
        <f t="shared" si="5"/>
        <v>943299</v>
      </c>
      <c r="W192" s="10">
        <f t="shared" si="6"/>
        <v>607200</v>
      </c>
      <c r="X192" s="10">
        <f t="shared" si="7"/>
        <v>336099</v>
      </c>
      <c r="Y192" s="10"/>
      <c r="Z192" s="10"/>
      <c r="AA192" s="10"/>
      <c r="AB192" s="4" t="s">
        <v>797</v>
      </c>
      <c r="AC192" s="4" t="s">
        <v>793</v>
      </c>
      <c r="AD192" s="4">
        <v>42794.0</v>
      </c>
      <c r="AE192" s="4">
        <v>2017.0</v>
      </c>
      <c r="AF192" s="4" t="s">
        <v>794</v>
      </c>
      <c r="AG192" s="4" t="s">
        <v>795</v>
      </c>
      <c r="AH192" s="4" t="s">
        <v>50</v>
      </c>
      <c r="AI192" s="4" t="s">
        <v>51</v>
      </c>
      <c r="AJ192" s="4" t="s">
        <v>344</v>
      </c>
      <c r="AK192" s="4" t="s">
        <v>53</v>
      </c>
      <c r="AL192" s="4" t="s">
        <v>796</v>
      </c>
      <c r="AM192" s="4" t="s">
        <v>36</v>
      </c>
      <c r="AN192" s="4" t="s">
        <v>45</v>
      </c>
      <c r="AO192" s="4" t="s">
        <v>38</v>
      </c>
      <c r="AP192" s="4">
        <v>42795.0</v>
      </c>
      <c r="AQ192" s="4">
        <v>26400.0</v>
      </c>
      <c r="AR192" s="4">
        <v>44100.0</v>
      </c>
      <c r="AS192" s="4">
        <v>17700.0</v>
      </c>
      <c r="AT192" s="4">
        <v>23.0</v>
      </c>
      <c r="AU192" s="4">
        <v>1014300.0</v>
      </c>
      <c r="AV192" s="4">
        <v>0.07</v>
      </c>
      <c r="AW192" s="4">
        <v>71001.0</v>
      </c>
      <c r="AX192" s="4">
        <v>943299.0</v>
      </c>
      <c r="AY192" s="4">
        <v>607200.0</v>
      </c>
      <c r="AZ192" s="4">
        <v>336099.0</v>
      </c>
    </row>
    <row r="193" ht="15.75" customHeight="1">
      <c r="A193" s="3" t="s">
        <v>798</v>
      </c>
      <c r="B193" s="5">
        <v>42795.0</v>
      </c>
      <c r="C193" s="6">
        <f t="shared" si="1"/>
        <v>2017</v>
      </c>
      <c r="D193" s="7" t="s">
        <v>799</v>
      </c>
      <c r="E193" s="7" t="s">
        <v>49</v>
      </c>
      <c r="F193" s="7" t="s">
        <v>50</v>
      </c>
      <c r="G193" s="5" t="s">
        <v>68</v>
      </c>
      <c r="H193" s="7" t="s">
        <v>52</v>
      </c>
      <c r="I193" s="7" t="s">
        <v>53</v>
      </c>
      <c r="J193" s="7" t="s">
        <v>195</v>
      </c>
      <c r="K193" s="7" t="s">
        <v>61</v>
      </c>
      <c r="L193" s="7" t="s">
        <v>37</v>
      </c>
      <c r="M193" s="7" t="s">
        <v>55</v>
      </c>
      <c r="N193" s="5">
        <v>42797.0</v>
      </c>
      <c r="O193" s="8">
        <v>594600.0</v>
      </c>
      <c r="P193" s="8">
        <v>2287200.0</v>
      </c>
      <c r="Q193" s="8">
        <f t="shared" si="2"/>
        <v>1692600</v>
      </c>
      <c r="R193" s="8">
        <v>2.0</v>
      </c>
      <c r="S193" s="8">
        <f t="shared" si="3"/>
        <v>4574400</v>
      </c>
      <c r="T193" s="9">
        <v>0.02</v>
      </c>
      <c r="U193" s="8">
        <f t="shared" si="4"/>
        <v>91488</v>
      </c>
      <c r="V193" s="8">
        <f t="shared" si="5"/>
        <v>4482912</v>
      </c>
      <c r="W193" s="10">
        <f t="shared" si="6"/>
        <v>1189200</v>
      </c>
      <c r="X193" s="10">
        <f t="shared" si="7"/>
        <v>3293712</v>
      </c>
      <c r="Y193" s="10"/>
      <c r="Z193" s="10"/>
      <c r="AA193" s="10"/>
      <c r="AB193" s="4" t="s">
        <v>800</v>
      </c>
      <c r="AC193" s="4" t="s">
        <v>798</v>
      </c>
      <c r="AD193" s="4">
        <v>42795.0</v>
      </c>
      <c r="AE193" s="4">
        <v>2017.0</v>
      </c>
      <c r="AF193" s="4" t="s">
        <v>799</v>
      </c>
      <c r="AG193" s="4" t="s">
        <v>49</v>
      </c>
      <c r="AH193" s="4" t="s">
        <v>50</v>
      </c>
      <c r="AI193" s="4" t="s">
        <v>68</v>
      </c>
      <c r="AJ193" s="4" t="s">
        <v>52</v>
      </c>
      <c r="AK193" s="4" t="s">
        <v>53</v>
      </c>
      <c r="AL193" s="4" t="s">
        <v>195</v>
      </c>
      <c r="AM193" s="4" t="s">
        <v>61</v>
      </c>
      <c r="AN193" s="4" t="s">
        <v>37</v>
      </c>
      <c r="AO193" s="4" t="s">
        <v>55</v>
      </c>
      <c r="AP193" s="4">
        <v>42797.0</v>
      </c>
      <c r="AQ193" s="4">
        <v>594600.0</v>
      </c>
      <c r="AR193" s="4">
        <v>2287200.0</v>
      </c>
      <c r="AS193" s="4">
        <v>1692600.0</v>
      </c>
      <c r="AT193" s="4">
        <v>2.0</v>
      </c>
      <c r="AU193" s="4">
        <v>4574400.0</v>
      </c>
      <c r="AV193" s="4">
        <v>0.02</v>
      </c>
      <c r="AW193" s="4">
        <v>91488.0</v>
      </c>
      <c r="AX193" s="4">
        <v>4482912.0</v>
      </c>
      <c r="AY193" s="4">
        <v>1189200.0</v>
      </c>
      <c r="AZ193" s="4">
        <v>3293712.0</v>
      </c>
    </row>
    <row r="194" ht="15.75" customHeight="1">
      <c r="A194" s="3" t="s">
        <v>801</v>
      </c>
      <c r="B194" s="5">
        <v>42795.0</v>
      </c>
      <c r="C194" s="6">
        <f t="shared" si="1"/>
        <v>2017</v>
      </c>
      <c r="D194" s="7" t="s">
        <v>802</v>
      </c>
      <c r="E194" s="7" t="s">
        <v>42</v>
      </c>
      <c r="F194" s="7" t="s">
        <v>31</v>
      </c>
      <c r="G194" s="5" t="s">
        <v>32</v>
      </c>
      <c r="H194" s="7" t="s">
        <v>43</v>
      </c>
      <c r="I194" s="7" t="s">
        <v>53</v>
      </c>
      <c r="J194" s="7" t="s">
        <v>803</v>
      </c>
      <c r="K194" s="7" t="s">
        <v>36</v>
      </c>
      <c r="L194" s="7" t="s">
        <v>127</v>
      </c>
      <c r="M194" s="7" t="s">
        <v>38</v>
      </c>
      <c r="N194" s="5">
        <v>42796.0</v>
      </c>
      <c r="O194" s="8">
        <v>52650.0</v>
      </c>
      <c r="P194" s="8">
        <v>128550.0</v>
      </c>
      <c r="Q194" s="8">
        <f t="shared" si="2"/>
        <v>75900</v>
      </c>
      <c r="R194" s="8">
        <v>24.0</v>
      </c>
      <c r="S194" s="8">
        <f t="shared" si="3"/>
        <v>3085200</v>
      </c>
      <c r="T194" s="9">
        <v>0.06</v>
      </c>
      <c r="U194" s="8">
        <f t="shared" si="4"/>
        <v>185112</v>
      </c>
      <c r="V194" s="8">
        <f t="shared" si="5"/>
        <v>2900088</v>
      </c>
      <c r="W194" s="10">
        <f t="shared" si="6"/>
        <v>1263600</v>
      </c>
      <c r="X194" s="10">
        <f t="shared" si="7"/>
        <v>1636488</v>
      </c>
      <c r="Y194" s="10"/>
      <c r="Z194" s="10"/>
      <c r="AA194" s="10"/>
      <c r="AB194" s="4" t="s">
        <v>804</v>
      </c>
      <c r="AC194" s="4" t="s">
        <v>801</v>
      </c>
      <c r="AD194" s="4">
        <v>42795.0</v>
      </c>
      <c r="AE194" s="4">
        <v>2017.0</v>
      </c>
      <c r="AF194" s="4" t="s">
        <v>802</v>
      </c>
      <c r="AG194" s="4" t="s">
        <v>42</v>
      </c>
      <c r="AH194" s="4" t="s">
        <v>31</v>
      </c>
      <c r="AI194" s="4" t="s">
        <v>32</v>
      </c>
      <c r="AJ194" s="4" t="s">
        <v>43</v>
      </c>
      <c r="AK194" s="4" t="s">
        <v>53</v>
      </c>
      <c r="AL194" s="4" t="s">
        <v>803</v>
      </c>
      <c r="AM194" s="4" t="s">
        <v>36</v>
      </c>
      <c r="AN194" s="4" t="s">
        <v>127</v>
      </c>
      <c r="AO194" s="4" t="s">
        <v>38</v>
      </c>
      <c r="AP194" s="4">
        <v>42796.0</v>
      </c>
      <c r="AQ194" s="4">
        <v>52650.0</v>
      </c>
      <c r="AR194" s="4">
        <v>128550.0</v>
      </c>
      <c r="AS194" s="4">
        <v>75900.0</v>
      </c>
      <c r="AT194" s="4">
        <v>24.0</v>
      </c>
      <c r="AU194" s="4">
        <v>3085200.0</v>
      </c>
      <c r="AV194" s="4">
        <v>0.06</v>
      </c>
      <c r="AW194" s="4">
        <v>185112.0</v>
      </c>
      <c r="AX194" s="4">
        <v>2900088.0</v>
      </c>
      <c r="AY194" s="4">
        <v>1263600.0</v>
      </c>
      <c r="AZ194" s="4">
        <v>1636488.0</v>
      </c>
    </row>
    <row r="195" ht="15.75" customHeight="1">
      <c r="A195" s="3" t="s">
        <v>805</v>
      </c>
      <c r="B195" s="5">
        <v>42795.0</v>
      </c>
      <c r="C195" s="6">
        <f t="shared" si="1"/>
        <v>2017</v>
      </c>
      <c r="D195" s="7" t="s">
        <v>806</v>
      </c>
      <c r="E195" s="7" t="s">
        <v>542</v>
      </c>
      <c r="F195" s="7" t="s">
        <v>31</v>
      </c>
      <c r="G195" s="5" t="s">
        <v>51</v>
      </c>
      <c r="H195" s="7" t="s">
        <v>43</v>
      </c>
      <c r="I195" s="7" t="s">
        <v>34</v>
      </c>
      <c r="J195" s="7" t="s">
        <v>613</v>
      </c>
      <c r="K195" s="7" t="s">
        <v>36</v>
      </c>
      <c r="L195" s="7" t="s">
        <v>37</v>
      </c>
      <c r="M195" s="7" t="s">
        <v>38</v>
      </c>
      <c r="N195" s="5">
        <v>42795.0</v>
      </c>
      <c r="O195" s="8">
        <v>36750.0</v>
      </c>
      <c r="P195" s="8">
        <v>58350.0</v>
      </c>
      <c r="Q195" s="8">
        <f t="shared" si="2"/>
        <v>21600</v>
      </c>
      <c r="R195" s="8">
        <v>47.0</v>
      </c>
      <c r="S195" s="8">
        <f t="shared" si="3"/>
        <v>2742450</v>
      </c>
      <c r="T195" s="9">
        <v>0.0</v>
      </c>
      <c r="U195" s="8">
        <f t="shared" si="4"/>
        <v>0</v>
      </c>
      <c r="V195" s="8">
        <f t="shared" si="5"/>
        <v>2742450</v>
      </c>
      <c r="W195" s="10">
        <f t="shared" si="6"/>
        <v>1727250</v>
      </c>
      <c r="X195" s="10">
        <f t="shared" si="7"/>
        <v>1015200</v>
      </c>
      <c r="Y195" s="10"/>
      <c r="Z195" s="10"/>
      <c r="AA195" s="10"/>
      <c r="AB195" s="4" t="s">
        <v>807</v>
      </c>
      <c r="AC195" s="4" t="s">
        <v>805</v>
      </c>
      <c r="AD195" s="4">
        <v>42795.0</v>
      </c>
      <c r="AE195" s="4">
        <v>2017.0</v>
      </c>
      <c r="AF195" s="4" t="s">
        <v>806</v>
      </c>
      <c r="AG195" s="4" t="s">
        <v>542</v>
      </c>
      <c r="AH195" s="4" t="s">
        <v>31</v>
      </c>
      <c r="AI195" s="4" t="s">
        <v>51</v>
      </c>
      <c r="AJ195" s="4" t="s">
        <v>43</v>
      </c>
      <c r="AK195" s="4" t="s">
        <v>34</v>
      </c>
      <c r="AL195" s="4" t="s">
        <v>613</v>
      </c>
      <c r="AM195" s="4" t="s">
        <v>36</v>
      </c>
      <c r="AN195" s="4" t="s">
        <v>37</v>
      </c>
      <c r="AO195" s="4" t="s">
        <v>38</v>
      </c>
      <c r="AP195" s="4">
        <v>42795.0</v>
      </c>
      <c r="AQ195" s="4">
        <v>36750.0</v>
      </c>
      <c r="AR195" s="4">
        <v>58350.0</v>
      </c>
      <c r="AS195" s="4">
        <v>21600.0</v>
      </c>
      <c r="AT195" s="4">
        <v>47.0</v>
      </c>
      <c r="AU195" s="4">
        <v>2742450.0</v>
      </c>
      <c r="AV195" s="4">
        <v>0.0</v>
      </c>
      <c r="AW195" s="4">
        <v>0.0</v>
      </c>
      <c r="AX195" s="4">
        <v>2742450.0</v>
      </c>
      <c r="AY195" s="4">
        <v>1727250.0</v>
      </c>
      <c r="AZ195" s="4">
        <v>1015200.0</v>
      </c>
    </row>
    <row r="196" ht="15.75" customHeight="1">
      <c r="A196" s="3" t="s">
        <v>808</v>
      </c>
      <c r="B196" s="5">
        <v>42796.0</v>
      </c>
      <c r="C196" s="6">
        <f t="shared" si="1"/>
        <v>2017</v>
      </c>
      <c r="D196" s="7" t="s">
        <v>809</v>
      </c>
      <c r="E196" s="7" t="s">
        <v>164</v>
      </c>
      <c r="F196" s="7" t="s">
        <v>50</v>
      </c>
      <c r="G196" s="5" t="s">
        <v>91</v>
      </c>
      <c r="H196" s="7" t="s">
        <v>69</v>
      </c>
      <c r="I196" s="7" t="s">
        <v>74</v>
      </c>
      <c r="J196" s="7" t="s">
        <v>394</v>
      </c>
      <c r="K196" s="7" t="s">
        <v>36</v>
      </c>
      <c r="L196" s="7" t="s">
        <v>45</v>
      </c>
      <c r="M196" s="7" t="s">
        <v>38</v>
      </c>
      <c r="N196" s="5">
        <v>42798.0</v>
      </c>
      <c r="O196" s="8">
        <v>24000.0</v>
      </c>
      <c r="P196" s="8">
        <v>39300.0</v>
      </c>
      <c r="Q196" s="8">
        <f t="shared" si="2"/>
        <v>15300</v>
      </c>
      <c r="R196" s="8">
        <v>26.0</v>
      </c>
      <c r="S196" s="8">
        <f t="shared" si="3"/>
        <v>1021800</v>
      </c>
      <c r="T196" s="9">
        <v>0.09</v>
      </c>
      <c r="U196" s="8">
        <f t="shared" si="4"/>
        <v>91962</v>
      </c>
      <c r="V196" s="8">
        <f t="shared" si="5"/>
        <v>929838</v>
      </c>
      <c r="W196" s="10">
        <f t="shared" si="6"/>
        <v>624000</v>
      </c>
      <c r="X196" s="10">
        <f t="shared" si="7"/>
        <v>305838</v>
      </c>
      <c r="Y196" s="10"/>
      <c r="Z196" s="10"/>
      <c r="AA196" s="10"/>
      <c r="AB196" s="4" t="s">
        <v>810</v>
      </c>
      <c r="AC196" s="4" t="s">
        <v>808</v>
      </c>
      <c r="AD196" s="4">
        <v>42796.0</v>
      </c>
      <c r="AE196" s="4">
        <v>2017.0</v>
      </c>
      <c r="AF196" s="4" t="s">
        <v>809</v>
      </c>
      <c r="AG196" s="4" t="s">
        <v>164</v>
      </c>
      <c r="AH196" s="4" t="s">
        <v>50</v>
      </c>
      <c r="AI196" s="4" t="s">
        <v>91</v>
      </c>
      <c r="AJ196" s="4" t="s">
        <v>69</v>
      </c>
      <c r="AK196" s="4" t="s">
        <v>74</v>
      </c>
      <c r="AL196" s="4" t="s">
        <v>394</v>
      </c>
      <c r="AM196" s="4" t="s">
        <v>36</v>
      </c>
      <c r="AN196" s="4" t="s">
        <v>45</v>
      </c>
      <c r="AO196" s="4" t="s">
        <v>38</v>
      </c>
      <c r="AP196" s="4">
        <v>42798.0</v>
      </c>
      <c r="AQ196" s="4">
        <v>24000.0</v>
      </c>
      <c r="AR196" s="4">
        <v>39300.0</v>
      </c>
      <c r="AS196" s="4">
        <v>15300.0</v>
      </c>
      <c r="AT196" s="4">
        <v>26.0</v>
      </c>
      <c r="AU196" s="4">
        <v>1021800.0</v>
      </c>
      <c r="AV196" s="4">
        <v>0.09</v>
      </c>
      <c r="AW196" s="4">
        <v>91962.0</v>
      </c>
      <c r="AX196" s="4">
        <v>929838.0</v>
      </c>
      <c r="AY196" s="4">
        <v>624000.0</v>
      </c>
      <c r="AZ196" s="4">
        <v>305838.0</v>
      </c>
    </row>
    <row r="197" ht="15.75" customHeight="1">
      <c r="A197" s="3" t="s">
        <v>811</v>
      </c>
      <c r="B197" s="5">
        <v>42796.0</v>
      </c>
      <c r="C197" s="6">
        <f t="shared" si="1"/>
        <v>2017</v>
      </c>
      <c r="D197" s="7" t="s">
        <v>812</v>
      </c>
      <c r="E197" s="3" t="s">
        <v>813</v>
      </c>
      <c r="F197" s="7" t="s">
        <v>289</v>
      </c>
      <c r="G197" s="5" t="s">
        <v>51</v>
      </c>
      <c r="H197" s="7" t="s">
        <v>200</v>
      </c>
      <c r="I197" s="7" t="s">
        <v>34</v>
      </c>
      <c r="J197" s="7" t="s">
        <v>445</v>
      </c>
      <c r="K197" s="7" t="s">
        <v>36</v>
      </c>
      <c r="L197" s="7" t="s">
        <v>37</v>
      </c>
      <c r="M197" s="7" t="s">
        <v>38</v>
      </c>
      <c r="N197" s="5">
        <v>42798.0</v>
      </c>
      <c r="O197" s="8">
        <v>323400.0</v>
      </c>
      <c r="P197" s="8">
        <v>539100.0</v>
      </c>
      <c r="Q197" s="8">
        <f t="shared" si="2"/>
        <v>215700</v>
      </c>
      <c r="R197" s="8">
        <v>19.0</v>
      </c>
      <c r="S197" s="8">
        <f t="shared" si="3"/>
        <v>10242900</v>
      </c>
      <c r="T197" s="9">
        <v>0.09</v>
      </c>
      <c r="U197" s="8">
        <f t="shared" si="4"/>
        <v>921861</v>
      </c>
      <c r="V197" s="8">
        <f t="shared" si="5"/>
        <v>9321039</v>
      </c>
      <c r="W197" s="10">
        <f t="shared" si="6"/>
        <v>6144600</v>
      </c>
      <c r="X197" s="10">
        <f t="shared" si="7"/>
        <v>3176439</v>
      </c>
      <c r="Y197" s="10"/>
      <c r="Z197" s="10"/>
      <c r="AA197" s="10"/>
      <c r="AB197" s="4" t="s">
        <v>814</v>
      </c>
      <c r="AC197" s="4" t="s">
        <v>811</v>
      </c>
      <c r="AD197" s="4">
        <v>42796.0</v>
      </c>
      <c r="AE197" s="4">
        <v>2017.0</v>
      </c>
      <c r="AF197" s="4" t="s">
        <v>812</v>
      </c>
      <c r="AG197" s="4" t="s">
        <v>813</v>
      </c>
      <c r="AH197" s="4" t="s">
        <v>289</v>
      </c>
      <c r="AI197" s="4" t="s">
        <v>51</v>
      </c>
      <c r="AJ197" s="4" t="s">
        <v>200</v>
      </c>
      <c r="AK197" s="4" t="s">
        <v>34</v>
      </c>
      <c r="AL197" s="4" t="s">
        <v>445</v>
      </c>
      <c r="AM197" s="4" t="s">
        <v>36</v>
      </c>
      <c r="AN197" s="4" t="s">
        <v>37</v>
      </c>
      <c r="AO197" s="4" t="s">
        <v>38</v>
      </c>
      <c r="AP197" s="4">
        <v>42798.0</v>
      </c>
      <c r="AQ197" s="4">
        <v>323400.0</v>
      </c>
      <c r="AR197" s="4">
        <v>539100.0</v>
      </c>
      <c r="AS197" s="4">
        <v>215700.0</v>
      </c>
      <c r="AT197" s="4">
        <v>19.0</v>
      </c>
      <c r="AU197" s="4">
        <v>1.02429E7</v>
      </c>
      <c r="AV197" s="4">
        <v>0.09</v>
      </c>
      <c r="AW197" s="4">
        <v>921861.0</v>
      </c>
      <c r="AX197" s="4">
        <v>9321039.0</v>
      </c>
      <c r="AY197" s="4">
        <v>6144600.0</v>
      </c>
      <c r="AZ197" s="4">
        <v>3176439.0</v>
      </c>
    </row>
    <row r="198" ht="15.75" customHeight="1">
      <c r="A198" s="3" t="s">
        <v>815</v>
      </c>
      <c r="B198" s="5">
        <v>42797.0</v>
      </c>
      <c r="C198" s="6">
        <f t="shared" si="1"/>
        <v>2017</v>
      </c>
      <c r="D198" s="7" t="s">
        <v>532</v>
      </c>
      <c r="E198" s="7" t="s">
        <v>216</v>
      </c>
      <c r="F198" s="7" t="s">
        <v>50</v>
      </c>
      <c r="G198" s="5" t="s">
        <v>51</v>
      </c>
      <c r="H198" s="7" t="s">
        <v>151</v>
      </c>
      <c r="I198" s="7" t="s">
        <v>104</v>
      </c>
      <c r="J198" s="7" t="s">
        <v>135</v>
      </c>
      <c r="K198" s="7" t="s">
        <v>36</v>
      </c>
      <c r="L198" s="7" t="s">
        <v>37</v>
      </c>
      <c r="M198" s="7" t="s">
        <v>38</v>
      </c>
      <c r="N198" s="5">
        <v>42799.0</v>
      </c>
      <c r="O198" s="8">
        <v>68850.0</v>
      </c>
      <c r="P198" s="8">
        <v>109200.0</v>
      </c>
      <c r="Q198" s="8">
        <f t="shared" si="2"/>
        <v>40350</v>
      </c>
      <c r="R198" s="8">
        <v>3.0</v>
      </c>
      <c r="S198" s="8">
        <f t="shared" si="3"/>
        <v>327600</v>
      </c>
      <c r="T198" s="9">
        <v>0.01</v>
      </c>
      <c r="U198" s="8">
        <f t="shared" si="4"/>
        <v>3276</v>
      </c>
      <c r="V198" s="8">
        <f t="shared" si="5"/>
        <v>324324</v>
      </c>
      <c r="W198" s="10">
        <f t="shared" si="6"/>
        <v>206550</v>
      </c>
      <c r="X198" s="10">
        <f t="shared" si="7"/>
        <v>117774</v>
      </c>
      <c r="Y198" s="10"/>
      <c r="Z198" s="10"/>
      <c r="AA198" s="10"/>
      <c r="AB198" s="4" t="s">
        <v>816</v>
      </c>
      <c r="AC198" s="4" t="s">
        <v>815</v>
      </c>
      <c r="AD198" s="4">
        <v>42797.0</v>
      </c>
      <c r="AE198" s="4">
        <v>2017.0</v>
      </c>
      <c r="AF198" s="4" t="s">
        <v>532</v>
      </c>
      <c r="AG198" s="4" t="s">
        <v>216</v>
      </c>
      <c r="AH198" s="4" t="s">
        <v>50</v>
      </c>
      <c r="AI198" s="4" t="s">
        <v>51</v>
      </c>
      <c r="AJ198" s="4" t="s">
        <v>151</v>
      </c>
      <c r="AK198" s="4" t="s">
        <v>104</v>
      </c>
      <c r="AL198" s="4" t="s">
        <v>135</v>
      </c>
      <c r="AM198" s="4" t="s">
        <v>36</v>
      </c>
      <c r="AN198" s="4" t="s">
        <v>37</v>
      </c>
      <c r="AO198" s="4" t="s">
        <v>38</v>
      </c>
      <c r="AP198" s="4">
        <v>42799.0</v>
      </c>
      <c r="AQ198" s="4">
        <v>68850.0</v>
      </c>
      <c r="AR198" s="4">
        <v>109200.0</v>
      </c>
      <c r="AS198" s="4">
        <v>40350.0</v>
      </c>
      <c r="AT198" s="4">
        <v>3.0</v>
      </c>
      <c r="AU198" s="4">
        <v>327600.0</v>
      </c>
      <c r="AV198" s="4">
        <v>0.01</v>
      </c>
      <c r="AW198" s="4">
        <v>3276.0</v>
      </c>
      <c r="AX198" s="4">
        <v>324324.0</v>
      </c>
      <c r="AY198" s="4">
        <v>206550.0</v>
      </c>
      <c r="AZ198" s="4">
        <v>117774.0</v>
      </c>
    </row>
    <row r="199" ht="15.75" customHeight="1">
      <c r="A199" s="3" t="s">
        <v>817</v>
      </c>
      <c r="B199" s="5">
        <v>42798.0</v>
      </c>
      <c r="C199" s="6">
        <f t="shared" si="1"/>
        <v>2017</v>
      </c>
      <c r="D199" s="7" t="s">
        <v>725</v>
      </c>
      <c r="E199" s="7" t="s">
        <v>726</v>
      </c>
      <c r="F199" s="7" t="s">
        <v>50</v>
      </c>
      <c r="G199" s="5" t="s">
        <v>68</v>
      </c>
      <c r="H199" s="7" t="s">
        <v>52</v>
      </c>
      <c r="I199" s="7" t="s">
        <v>74</v>
      </c>
      <c r="J199" s="7" t="s">
        <v>521</v>
      </c>
      <c r="K199" s="7" t="s">
        <v>61</v>
      </c>
      <c r="L199" s="7" t="s">
        <v>62</v>
      </c>
      <c r="M199" s="7" t="s">
        <v>63</v>
      </c>
      <c r="N199" s="5">
        <v>42805.0</v>
      </c>
      <c r="O199" s="8">
        <v>1151850.0</v>
      </c>
      <c r="P199" s="8">
        <v>1799850.0</v>
      </c>
      <c r="Q199" s="8">
        <f t="shared" si="2"/>
        <v>648000</v>
      </c>
      <c r="R199" s="8">
        <v>4.0</v>
      </c>
      <c r="S199" s="8">
        <f t="shared" si="3"/>
        <v>7199400</v>
      </c>
      <c r="T199" s="9">
        <v>0.06</v>
      </c>
      <c r="U199" s="8">
        <f t="shared" si="4"/>
        <v>431964</v>
      </c>
      <c r="V199" s="8">
        <f t="shared" si="5"/>
        <v>6767436</v>
      </c>
      <c r="W199" s="10">
        <f t="shared" si="6"/>
        <v>4607400</v>
      </c>
      <c r="X199" s="10">
        <f t="shared" si="7"/>
        <v>2160036</v>
      </c>
      <c r="Y199" s="10"/>
      <c r="Z199" s="10"/>
      <c r="AA199" s="10"/>
      <c r="AB199" s="4" t="s">
        <v>818</v>
      </c>
      <c r="AC199" s="4" t="s">
        <v>817</v>
      </c>
      <c r="AD199" s="4">
        <v>42798.0</v>
      </c>
      <c r="AE199" s="4">
        <v>2017.0</v>
      </c>
      <c r="AF199" s="4" t="s">
        <v>725</v>
      </c>
      <c r="AG199" s="4" t="s">
        <v>726</v>
      </c>
      <c r="AH199" s="4" t="s">
        <v>50</v>
      </c>
      <c r="AI199" s="4" t="s">
        <v>68</v>
      </c>
      <c r="AJ199" s="4" t="s">
        <v>52</v>
      </c>
      <c r="AK199" s="4" t="s">
        <v>74</v>
      </c>
      <c r="AL199" s="4" t="s">
        <v>521</v>
      </c>
      <c r="AM199" s="4" t="s">
        <v>61</v>
      </c>
      <c r="AN199" s="4" t="s">
        <v>62</v>
      </c>
      <c r="AO199" s="4" t="s">
        <v>63</v>
      </c>
      <c r="AP199" s="4">
        <v>42805.0</v>
      </c>
      <c r="AQ199" s="4">
        <v>1151850.0</v>
      </c>
      <c r="AR199" s="4">
        <v>1799850.0</v>
      </c>
      <c r="AS199" s="4">
        <v>648000.0</v>
      </c>
      <c r="AT199" s="4">
        <v>4.0</v>
      </c>
      <c r="AU199" s="4">
        <v>7199400.0</v>
      </c>
      <c r="AV199" s="4">
        <v>0.06</v>
      </c>
      <c r="AW199" s="4">
        <v>431964.0</v>
      </c>
      <c r="AX199" s="4">
        <v>6767436.0</v>
      </c>
      <c r="AY199" s="4">
        <v>4607400.0</v>
      </c>
      <c r="AZ199" s="4">
        <v>2160036.0</v>
      </c>
    </row>
    <row r="200" ht="15.75" customHeight="1">
      <c r="A200" s="3" t="s">
        <v>819</v>
      </c>
      <c r="B200" s="5">
        <v>42798.0</v>
      </c>
      <c r="C200" s="6">
        <f t="shared" si="1"/>
        <v>2017</v>
      </c>
      <c r="D200" s="7" t="s">
        <v>750</v>
      </c>
      <c r="E200" s="7" t="s">
        <v>542</v>
      </c>
      <c r="F200" s="7" t="s">
        <v>31</v>
      </c>
      <c r="G200" s="5" t="s">
        <v>51</v>
      </c>
      <c r="H200" s="7" t="s">
        <v>43</v>
      </c>
      <c r="I200" s="7" t="s">
        <v>92</v>
      </c>
      <c r="J200" s="7" t="s">
        <v>224</v>
      </c>
      <c r="K200" s="7" t="s">
        <v>36</v>
      </c>
      <c r="L200" s="7" t="s">
        <v>45</v>
      </c>
      <c r="M200" s="7" t="s">
        <v>38</v>
      </c>
      <c r="N200" s="5">
        <v>42799.0</v>
      </c>
      <c r="O200" s="8">
        <v>52050.0</v>
      </c>
      <c r="P200" s="8">
        <v>100200.0</v>
      </c>
      <c r="Q200" s="8">
        <f t="shared" si="2"/>
        <v>48150</v>
      </c>
      <c r="R200" s="8">
        <v>15.0</v>
      </c>
      <c r="S200" s="8">
        <f t="shared" si="3"/>
        <v>1503000</v>
      </c>
      <c r="T200" s="9">
        <v>0.03</v>
      </c>
      <c r="U200" s="8">
        <f t="shared" si="4"/>
        <v>45090</v>
      </c>
      <c r="V200" s="8">
        <f t="shared" si="5"/>
        <v>1457910</v>
      </c>
      <c r="W200" s="10">
        <f t="shared" si="6"/>
        <v>780750</v>
      </c>
      <c r="X200" s="10">
        <f t="shared" si="7"/>
        <v>677160</v>
      </c>
      <c r="Y200" s="10"/>
      <c r="Z200" s="10"/>
      <c r="AA200" s="10"/>
      <c r="AB200" s="4" t="s">
        <v>820</v>
      </c>
      <c r="AC200" s="4" t="s">
        <v>819</v>
      </c>
      <c r="AD200" s="4">
        <v>42798.0</v>
      </c>
      <c r="AE200" s="4">
        <v>2017.0</v>
      </c>
      <c r="AF200" s="4" t="s">
        <v>750</v>
      </c>
      <c r="AG200" s="4" t="s">
        <v>542</v>
      </c>
      <c r="AH200" s="4" t="s">
        <v>31</v>
      </c>
      <c r="AI200" s="4" t="s">
        <v>51</v>
      </c>
      <c r="AJ200" s="4" t="s">
        <v>43</v>
      </c>
      <c r="AK200" s="4" t="s">
        <v>92</v>
      </c>
      <c r="AL200" s="4" t="s">
        <v>224</v>
      </c>
      <c r="AM200" s="4" t="s">
        <v>36</v>
      </c>
      <c r="AN200" s="4" t="s">
        <v>45</v>
      </c>
      <c r="AO200" s="4" t="s">
        <v>38</v>
      </c>
      <c r="AP200" s="4">
        <v>42799.0</v>
      </c>
      <c r="AQ200" s="4">
        <v>52050.0</v>
      </c>
      <c r="AR200" s="4">
        <v>100200.0</v>
      </c>
      <c r="AS200" s="4">
        <v>48150.0</v>
      </c>
      <c r="AT200" s="4">
        <v>15.0</v>
      </c>
      <c r="AU200" s="4">
        <v>1503000.0</v>
      </c>
      <c r="AV200" s="4">
        <v>0.03</v>
      </c>
      <c r="AW200" s="4">
        <v>45090.0</v>
      </c>
      <c r="AX200" s="4">
        <v>1457910.0</v>
      </c>
      <c r="AY200" s="4">
        <v>780750.0</v>
      </c>
      <c r="AZ200" s="4">
        <v>677160.0</v>
      </c>
    </row>
    <row r="201" ht="15.75" customHeight="1">
      <c r="A201" s="3" t="s">
        <v>821</v>
      </c>
      <c r="B201" s="5">
        <v>42801.0</v>
      </c>
      <c r="C201" s="6">
        <f t="shared" si="1"/>
        <v>2017</v>
      </c>
      <c r="D201" s="7" t="s">
        <v>822</v>
      </c>
      <c r="E201" s="7" t="s">
        <v>823</v>
      </c>
      <c r="F201" s="7" t="s">
        <v>50</v>
      </c>
      <c r="G201" s="5" t="s">
        <v>68</v>
      </c>
      <c r="H201" s="7" t="s">
        <v>80</v>
      </c>
      <c r="I201" s="7" t="s">
        <v>92</v>
      </c>
      <c r="J201" s="7" t="s">
        <v>824</v>
      </c>
      <c r="K201" s="7" t="s">
        <v>278</v>
      </c>
      <c r="L201" s="7" t="s">
        <v>127</v>
      </c>
      <c r="M201" s="7" t="s">
        <v>38</v>
      </c>
      <c r="N201" s="5">
        <v>42802.0</v>
      </c>
      <c r="O201" s="8">
        <v>170700.0</v>
      </c>
      <c r="P201" s="8">
        <v>279750.0</v>
      </c>
      <c r="Q201" s="8">
        <f t="shared" si="2"/>
        <v>109050</v>
      </c>
      <c r="R201" s="8">
        <v>19.0</v>
      </c>
      <c r="S201" s="8">
        <f t="shared" si="3"/>
        <v>5315250</v>
      </c>
      <c r="T201" s="9">
        <v>0.07</v>
      </c>
      <c r="U201" s="8">
        <f t="shared" si="4"/>
        <v>372067.5</v>
      </c>
      <c r="V201" s="8">
        <f t="shared" si="5"/>
        <v>4943182.5</v>
      </c>
      <c r="W201" s="10">
        <f t="shared" si="6"/>
        <v>3243300</v>
      </c>
      <c r="X201" s="10">
        <f t="shared" si="7"/>
        <v>1699882.5</v>
      </c>
      <c r="Y201" s="10"/>
      <c r="Z201" s="10"/>
      <c r="AA201" s="10"/>
      <c r="AB201" s="4" t="s">
        <v>825</v>
      </c>
      <c r="AC201" s="4" t="s">
        <v>821</v>
      </c>
      <c r="AD201" s="4">
        <v>42801.0</v>
      </c>
      <c r="AE201" s="4">
        <v>2017.0</v>
      </c>
      <c r="AF201" s="4" t="s">
        <v>822</v>
      </c>
      <c r="AG201" s="4" t="s">
        <v>823</v>
      </c>
      <c r="AH201" s="4" t="s">
        <v>50</v>
      </c>
      <c r="AI201" s="4" t="s">
        <v>68</v>
      </c>
      <c r="AJ201" s="4" t="s">
        <v>80</v>
      </c>
      <c r="AK201" s="4" t="s">
        <v>92</v>
      </c>
      <c r="AL201" s="4" t="s">
        <v>824</v>
      </c>
      <c r="AM201" s="4" t="s">
        <v>278</v>
      </c>
      <c r="AN201" s="4" t="s">
        <v>127</v>
      </c>
      <c r="AO201" s="4" t="s">
        <v>38</v>
      </c>
      <c r="AP201" s="4">
        <v>42802.0</v>
      </c>
      <c r="AQ201" s="4">
        <v>170700.0</v>
      </c>
      <c r="AR201" s="4">
        <v>279750.0</v>
      </c>
      <c r="AS201" s="4">
        <v>109050.0</v>
      </c>
      <c r="AT201" s="4">
        <v>19.0</v>
      </c>
      <c r="AU201" s="4">
        <v>5315250.0</v>
      </c>
      <c r="AV201" s="4">
        <v>0.07</v>
      </c>
      <c r="AW201" s="4">
        <v>372067.5</v>
      </c>
      <c r="AX201" s="4">
        <v>4943182.5</v>
      </c>
      <c r="AY201" s="4">
        <v>3243300.0</v>
      </c>
      <c r="AZ201" s="4">
        <v>1699882.5</v>
      </c>
    </row>
    <row r="202" ht="15.75" customHeight="1">
      <c r="A202" s="3" t="s">
        <v>826</v>
      </c>
      <c r="B202" s="5">
        <v>42801.0</v>
      </c>
      <c r="C202" s="6">
        <f t="shared" si="1"/>
        <v>2017</v>
      </c>
      <c r="D202" s="7" t="s">
        <v>827</v>
      </c>
      <c r="E202" s="7" t="s">
        <v>85</v>
      </c>
      <c r="F202" s="7" t="s">
        <v>50</v>
      </c>
      <c r="G202" s="5" t="s">
        <v>51</v>
      </c>
      <c r="H202" s="7" t="s">
        <v>80</v>
      </c>
      <c r="I202" s="7" t="s">
        <v>104</v>
      </c>
      <c r="J202" s="7" t="s">
        <v>563</v>
      </c>
      <c r="K202" s="7" t="s">
        <v>36</v>
      </c>
      <c r="L202" s="7" t="s">
        <v>37</v>
      </c>
      <c r="M202" s="7" t="s">
        <v>55</v>
      </c>
      <c r="N202" s="5">
        <v>42803.0</v>
      </c>
      <c r="O202" s="8">
        <v>52500.0</v>
      </c>
      <c r="P202" s="8">
        <v>86100.0</v>
      </c>
      <c r="Q202" s="8">
        <f t="shared" si="2"/>
        <v>33600</v>
      </c>
      <c r="R202" s="8">
        <v>27.0</v>
      </c>
      <c r="S202" s="8">
        <f t="shared" si="3"/>
        <v>2324700</v>
      </c>
      <c r="T202" s="9">
        <v>0.08</v>
      </c>
      <c r="U202" s="8">
        <f t="shared" si="4"/>
        <v>185976</v>
      </c>
      <c r="V202" s="8">
        <f t="shared" si="5"/>
        <v>2138724</v>
      </c>
      <c r="W202" s="10">
        <f t="shared" si="6"/>
        <v>1417500</v>
      </c>
      <c r="X202" s="10">
        <f t="shared" si="7"/>
        <v>721224</v>
      </c>
      <c r="Y202" s="10"/>
      <c r="Z202" s="10"/>
      <c r="AA202" s="10"/>
      <c r="AB202" s="4" t="s">
        <v>828</v>
      </c>
      <c r="AC202" s="4" t="s">
        <v>826</v>
      </c>
      <c r="AD202" s="4">
        <v>42801.0</v>
      </c>
      <c r="AE202" s="4">
        <v>2017.0</v>
      </c>
      <c r="AF202" s="4" t="s">
        <v>827</v>
      </c>
      <c r="AG202" s="4" t="s">
        <v>85</v>
      </c>
      <c r="AH202" s="4" t="s">
        <v>50</v>
      </c>
      <c r="AI202" s="4" t="s">
        <v>51</v>
      </c>
      <c r="AJ202" s="4" t="s">
        <v>80</v>
      </c>
      <c r="AK202" s="4" t="s">
        <v>104</v>
      </c>
      <c r="AL202" s="4" t="s">
        <v>563</v>
      </c>
      <c r="AM202" s="4" t="s">
        <v>36</v>
      </c>
      <c r="AN202" s="4" t="s">
        <v>37</v>
      </c>
      <c r="AO202" s="4" t="s">
        <v>55</v>
      </c>
      <c r="AP202" s="4">
        <v>42803.0</v>
      </c>
      <c r="AQ202" s="4">
        <v>52500.0</v>
      </c>
      <c r="AR202" s="4">
        <v>86100.0</v>
      </c>
      <c r="AS202" s="4">
        <v>33600.0</v>
      </c>
      <c r="AT202" s="4">
        <v>27.0</v>
      </c>
      <c r="AU202" s="4">
        <v>2324700.0</v>
      </c>
      <c r="AV202" s="4">
        <v>0.08</v>
      </c>
      <c r="AW202" s="4">
        <v>185976.0</v>
      </c>
      <c r="AX202" s="4">
        <v>2138724.0</v>
      </c>
      <c r="AY202" s="4">
        <v>1417500.0</v>
      </c>
      <c r="AZ202" s="4">
        <v>721224.0</v>
      </c>
    </row>
    <row r="203" ht="15.75" customHeight="1">
      <c r="A203" s="3" t="s">
        <v>829</v>
      </c>
      <c r="B203" s="5">
        <v>42805.0</v>
      </c>
      <c r="C203" s="6">
        <f t="shared" si="1"/>
        <v>2017</v>
      </c>
      <c r="D203" s="7" t="s">
        <v>830</v>
      </c>
      <c r="E203" s="7" t="s">
        <v>537</v>
      </c>
      <c r="F203" s="7" t="s">
        <v>31</v>
      </c>
      <c r="G203" s="5" t="s">
        <v>68</v>
      </c>
      <c r="H203" s="7" t="s">
        <v>33</v>
      </c>
      <c r="I203" s="7" t="s">
        <v>53</v>
      </c>
      <c r="J203" s="7" t="s">
        <v>152</v>
      </c>
      <c r="K203" s="7" t="s">
        <v>61</v>
      </c>
      <c r="L203" s="7" t="s">
        <v>37</v>
      </c>
      <c r="M203" s="7" t="s">
        <v>38</v>
      </c>
      <c r="N203" s="5">
        <v>42807.0</v>
      </c>
      <c r="O203" s="8">
        <v>1223850.0</v>
      </c>
      <c r="P203" s="8">
        <v>2399850.0</v>
      </c>
      <c r="Q203" s="8">
        <f t="shared" si="2"/>
        <v>1176000</v>
      </c>
      <c r="R203" s="8">
        <v>50.0</v>
      </c>
      <c r="S203" s="8">
        <f t="shared" si="3"/>
        <v>119992500</v>
      </c>
      <c r="T203" s="9">
        <v>0.05</v>
      </c>
      <c r="U203" s="8">
        <f t="shared" si="4"/>
        <v>5999625</v>
      </c>
      <c r="V203" s="8">
        <f t="shared" si="5"/>
        <v>113992875</v>
      </c>
      <c r="W203" s="10">
        <f t="shared" si="6"/>
        <v>61192500</v>
      </c>
      <c r="X203" s="10">
        <f t="shared" si="7"/>
        <v>52800375</v>
      </c>
      <c r="Y203" s="10"/>
      <c r="Z203" s="10"/>
      <c r="AA203" s="10"/>
      <c r="AB203" s="4" t="s">
        <v>831</v>
      </c>
      <c r="AC203" s="4" t="s">
        <v>829</v>
      </c>
      <c r="AD203" s="4">
        <v>42805.0</v>
      </c>
      <c r="AE203" s="4">
        <v>2017.0</v>
      </c>
      <c r="AF203" s="4" t="s">
        <v>830</v>
      </c>
      <c r="AG203" s="4" t="s">
        <v>537</v>
      </c>
      <c r="AH203" s="4" t="s">
        <v>31</v>
      </c>
      <c r="AI203" s="4" t="s">
        <v>68</v>
      </c>
      <c r="AJ203" s="4" t="s">
        <v>33</v>
      </c>
      <c r="AK203" s="4" t="s">
        <v>53</v>
      </c>
      <c r="AL203" s="4" t="s">
        <v>152</v>
      </c>
      <c r="AM203" s="4" t="s">
        <v>61</v>
      </c>
      <c r="AN203" s="4" t="s">
        <v>37</v>
      </c>
      <c r="AO203" s="4" t="s">
        <v>38</v>
      </c>
      <c r="AP203" s="4">
        <v>42807.0</v>
      </c>
      <c r="AQ203" s="4">
        <v>1223850.0</v>
      </c>
      <c r="AR203" s="4">
        <v>2399850.0</v>
      </c>
      <c r="AS203" s="4">
        <v>1176000.0</v>
      </c>
      <c r="AT203" s="4">
        <v>50.0</v>
      </c>
      <c r="AU203" s="4">
        <v>1.199925E8</v>
      </c>
      <c r="AV203" s="4">
        <v>0.05</v>
      </c>
      <c r="AW203" s="4">
        <v>5999625.0</v>
      </c>
      <c r="AX203" s="4">
        <v>1.13992875E8</v>
      </c>
      <c r="AY203" s="4">
        <v>6.11925E7</v>
      </c>
      <c r="AZ203" s="4">
        <v>5.2800375E7</v>
      </c>
    </row>
    <row r="204" ht="15.75" customHeight="1">
      <c r="A204" s="3" t="s">
        <v>832</v>
      </c>
      <c r="B204" s="5">
        <v>42807.0</v>
      </c>
      <c r="C204" s="6">
        <f t="shared" si="1"/>
        <v>2017</v>
      </c>
      <c r="D204" s="7" t="s">
        <v>833</v>
      </c>
      <c r="E204" s="7" t="s">
        <v>90</v>
      </c>
      <c r="F204" s="7" t="s">
        <v>50</v>
      </c>
      <c r="G204" s="5" t="s">
        <v>51</v>
      </c>
      <c r="H204" s="7" t="s">
        <v>52</v>
      </c>
      <c r="I204" s="7" t="s">
        <v>34</v>
      </c>
      <c r="J204" s="7" t="s">
        <v>521</v>
      </c>
      <c r="K204" s="7" t="s">
        <v>61</v>
      </c>
      <c r="L204" s="7" t="s">
        <v>62</v>
      </c>
      <c r="M204" s="7" t="s">
        <v>63</v>
      </c>
      <c r="N204" s="5">
        <v>42809.0</v>
      </c>
      <c r="O204" s="8">
        <v>1151850.0</v>
      </c>
      <c r="P204" s="8">
        <v>1799850.0</v>
      </c>
      <c r="Q204" s="8">
        <f t="shared" si="2"/>
        <v>648000</v>
      </c>
      <c r="R204" s="8">
        <v>8.0</v>
      </c>
      <c r="S204" s="8">
        <f t="shared" si="3"/>
        <v>14398800</v>
      </c>
      <c r="T204" s="9">
        <v>0.09</v>
      </c>
      <c r="U204" s="8">
        <f t="shared" si="4"/>
        <v>1295892</v>
      </c>
      <c r="V204" s="8">
        <f t="shared" si="5"/>
        <v>13102908</v>
      </c>
      <c r="W204" s="10">
        <f t="shared" si="6"/>
        <v>9214800</v>
      </c>
      <c r="X204" s="10">
        <f t="shared" si="7"/>
        <v>3888108</v>
      </c>
      <c r="Y204" s="10"/>
      <c r="Z204" s="10"/>
      <c r="AA204" s="10"/>
      <c r="AB204" s="4" t="s">
        <v>834</v>
      </c>
      <c r="AC204" s="4" t="s">
        <v>832</v>
      </c>
      <c r="AD204" s="4">
        <v>42807.0</v>
      </c>
      <c r="AE204" s="4">
        <v>2017.0</v>
      </c>
      <c r="AF204" s="4" t="s">
        <v>833</v>
      </c>
      <c r="AG204" s="4" t="s">
        <v>90</v>
      </c>
      <c r="AH204" s="4" t="s">
        <v>50</v>
      </c>
      <c r="AI204" s="4" t="s">
        <v>51</v>
      </c>
      <c r="AJ204" s="4" t="s">
        <v>52</v>
      </c>
      <c r="AK204" s="4" t="s">
        <v>34</v>
      </c>
      <c r="AL204" s="4" t="s">
        <v>521</v>
      </c>
      <c r="AM204" s="4" t="s">
        <v>61</v>
      </c>
      <c r="AN204" s="4" t="s">
        <v>62</v>
      </c>
      <c r="AO204" s="4" t="s">
        <v>63</v>
      </c>
      <c r="AP204" s="4">
        <v>42809.0</v>
      </c>
      <c r="AQ204" s="4">
        <v>1151850.0</v>
      </c>
      <c r="AR204" s="4">
        <v>1799850.0</v>
      </c>
      <c r="AS204" s="4">
        <v>648000.0</v>
      </c>
      <c r="AT204" s="4">
        <v>8.0</v>
      </c>
      <c r="AU204" s="4">
        <v>1.43988E7</v>
      </c>
      <c r="AV204" s="4">
        <v>0.09</v>
      </c>
      <c r="AW204" s="4">
        <v>1295892.0</v>
      </c>
      <c r="AX204" s="4">
        <v>1.3102908E7</v>
      </c>
      <c r="AY204" s="4">
        <v>9214800.0</v>
      </c>
      <c r="AZ204" s="4">
        <v>3888108.0</v>
      </c>
    </row>
    <row r="205" ht="15.75" customHeight="1">
      <c r="A205" s="3" t="s">
        <v>835</v>
      </c>
      <c r="B205" s="5">
        <v>42813.0</v>
      </c>
      <c r="C205" s="6">
        <f t="shared" si="1"/>
        <v>2017</v>
      </c>
      <c r="D205" s="7" t="s">
        <v>836</v>
      </c>
      <c r="E205" s="7" t="s">
        <v>393</v>
      </c>
      <c r="F205" s="7" t="s">
        <v>31</v>
      </c>
      <c r="G205" s="5" t="s">
        <v>91</v>
      </c>
      <c r="H205" s="7" t="s">
        <v>43</v>
      </c>
      <c r="I205" s="7" t="s">
        <v>92</v>
      </c>
      <c r="J205" s="7" t="s">
        <v>753</v>
      </c>
      <c r="K205" s="7" t="s">
        <v>36</v>
      </c>
      <c r="L205" s="7" t="s">
        <v>127</v>
      </c>
      <c r="M205" s="7" t="s">
        <v>55</v>
      </c>
      <c r="N205" s="5">
        <v>42815.0</v>
      </c>
      <c r="O205" s="8">
        <v>252000.0</v>
      </c>
      <c r="P205" s="8">
        <v>614550.0</v>
      </c>
      <c r="Q205" s="8">
        <f t="shared" si="2"/>
        <v>362550</v>
      </c>
      <c r="R205" s="8">
        <v>49.0</v>
      </c>
      <c r="S205" s="8">
        <f t="shared" si="3"/>
        <v>30112950</v>
      </c>
      <c r="T205" s="9">
        <v>0.09</v>
      </c>
      <c r="U205" s="8">
        <f t="shared" si="4"/>
        <v>2710165.5</v>
      </c>
      <c r="V205" s="8">
        <f t="shared" si="5"/>
        <v>27402784.5</v>
      </c>
      <c r="W205" s="10">
        <f t="shared" si="6"/>
        <v>12348000</v>
      </c>
      <c r="X205" s="10">
        <f t="shared" si="7"/>
        <v>15054784.5</v>
      </c>
      <c r="Y205" s="10"/>
      <c r="Z205" s="10"/>
      <c r="AA205" s="10"/>
      <c r="AB205" s="4" t="s">
        <v>837</v>
      </c>
      <c r="AC205" s="4" t="s">
        <v>835</v>
      </c>
      <c r="AD205" s="4">
        <v>42813.0</v>
      </c>
      <c r="AE205" s="4">
        <v>2017.0</v>
      </c>
      <c r="AF205" s="4" t="s">
        <v>836</v>
      </c>
      <c r="AG205" s="4" t="s">
        <v>393</v>
      </c>
      <c r="AH205" s="4" t="s">
        <v>31</v>
      </c>
      <c r="AI205" s="4" t="s">
        <v>91</v>
      </c>
      <c r="AJ205" s="4" t="s">
        <v>43</v>
      </c>
      <c r="AK205" s="4" t="s">
        <v>92</v>
      </c>
      <c r="AL205" s="4" t="s">
        <v>753</v>
      </c>
      <c r="AM205" s="4" t="s">
        <v>36</v>
      </c>
      <c r="AN205" s="4" t="s">
        <v>127</v>
      </c>
      <c r="AO205" s="4" t="s">
        <v>55</v>
      </c>
      <c r="AP205" s="4">
        <v>42815.0</v>
      </c>
      <c r="AQ205" s="4">
        <v>252000.0</v>
      </c>
      <c r="AR205" s="4">
        <v>614550.0</v>
      </c>
      <c r="AS205" s="4">
        <v>362550.0</v>
      </c>
      <c r="AT205" s="4">
        <v>49.0</v>
      </c>
      <c r="AU205" s="4">
        <v>3.011295E7</v>
      </c>
      <c r="AV205" s="4">
        <v>0.09</v>
      </c>
      <c r="AW205" s="4">
        <v>2710165.5</v>
      </c>
      <c r="AX205" s="4">
        <v>2.74027845E7</v>
      </c>
      <c r="AY205" s="4">
        <v>1.2348E7</v>
      </c>
      <c r="AZ205" s="4">
        <v>1.50547845E7</v>
      </c>
    </row>
    <row r="206" ht="15.75" customHeight="1">
      <c r="A206" s="3" t="s">
        <v>838</v>
      </c>
      <c r="B206" s="5">
        <v>42816.0</v>
      </c>
      <c r="C206" s="6">
        <f t="shared" si="1"/>
        <v>2017</v>
      </c>
      <c r="D206" s="7" t="s">
        <v>839</v>
      </c>
      <c r="E206" s="7" t="s">
        <v>220</v>
      </c>
      <c r="F206" s="7" t="s">
        <v>50</v>
      </c>
      <c r="G206" s="5" t="s">
        <v>32</v>
      </c>
      <c r="H206" s="7" t="s">
        <v>189</v>
      </c>
      <c r="I206" s="7" t="s">
        <v>74</v>
      </c>
      <c r="J206" s="7" t="s">
        <v>394</v>
      </c>
      <c r="K206" s="7" t="s">
        <v>36</v>
      </c>
      <c r="L206" s="7" t="s">
        <v>45</v>
      </c>
      <c r="M206" s="7" t="s">
        <v>38</v>
      </c>
      <c r="N206" s="5">
        <v>42823.0</v>
      </c>
      <c r="O206" s="8">
        <v>24000.0</v>
      </c>
      <c r="P206" s="8">
        <v>39300.0</v>
      </c>
      <c r="Q206" s="8">
        <f t="shared" si="2"/>
        <v>15300</v>
      </c>
      <c r="R206" s="8">
        <v>47.0</v>
      </c>
      <c r="S206" s="8">
        <f t="shared" si="3"/>
        <v>1847100</v>
      </c>
      <c r="T206" s="9">
        <v>0.1</v>
      </c>
      <c r="U206" s="8">
        <f t="shared" si="4"/>
        <v>184710</v>
      </c>
      <c r="V206" s="8">
        <f t="shared" si="5"/>
        <v>1662390</v>
      </c>
      <c r="W206" s="10">
        <f t="shared" si="6"/>
        <v>1128000</v>
      </c>
      <c r="X206" s="10">
        <f t="shared" si="7"/>
        <v>534390</v>
      </c>
      <c r="Y206" s="10"/>
      <c r="Z206" s="10"/>
      <c r="AA206" s="10"/>
      <c r="AB206" s="4" t="s">
        <v>840</v>
      </c>
      <c r="AC206" s="4" t="s">
        <v>838</v>
      </c>
      <c r="AD206" s="4">
        <v>42816.0</v>
      </c>
      <c r="AE206" s="4">
        <v>2017.0</v>
      </c>
      <c r="AF206" s="4" t="s">
        <v>839</v>
      </c>
      <c r="AG206" s="4" t="s">
        <v>220</v>
      </c>
      <c r="AH206" s="4" t="s">
        <v>50</v>
      </c>
      <c r="AI206" s="4" t="s">
        <v>32</v>
      </c>
      <c r="AJ206" s="4" t="s">
        <v>189</v>
      </c>
      <c r="AK206" s="4" t="s">
        <v>74</v>
      </c>
      <c r="AL206" s="4" t="s">
        <v>394</v>
      </c>
      <c r="AM206" s="4" t="s">
        <v>36</v>
      </c>
      <c r="AN206" s="4" t="s">
        <v>45</v>
      </c>
      <c r="AO206" s="4" t="s">
        <v>38</v>
      </c>
      <c r="AP206" s="4">
        <v>42823.0</v>
      </c>
      <c r="AQ206" s="4">
        <v>24000.0</v>
      </c>
      <c r="AR206" s="4">
        <v>39300.0</v>
      </c>
      <c r="AS206" s="4">
        <v>15300.0</v>
      </c>
      <c r="AT206" s="4">
        <v>47.0</v>
      </c>
      <c r="AU206" s="4">
        <v>1847100.0</v>
      </c>
      <c r="AV206" s="4">
        <v>0.1</v>
      </c>
      <c r="AW206" s="4">
        <v>184710.0</v>
      </c>
      <c r="AX206" s="4">
        <v>1662390.0</v>
      </c>
      <c r="AY206" s="4">
        <v>1128000.0</v>
      </c>
      <c r="AZ206" s="4">
        <v>534390.0</v>
      </c>
    </row>
    <row r="207" ht="15.75" customHeight="1">
      <c r="A207" s="3" t="s">
        <v>841</v>
      </c>
      <c r="B207" s="5">
        <v>42816.0</v>
      </c>
      <c r="C207" s="6">
        <f t="shared" si="1"/>
        <v>2017</v>
      </c>
      <c r="D207" s="7" t="s">
        <v>842</v>
      </c>
      <c r="E207" s="7" t="s">
        <v>228</v>
      </c>
      <c r="F207" s="7" t="s">
        <v>50</v>
      </c>
      <c r="G207" s="5" t="s">
        <v>32</v>
      </c>
      <c r="H207" s="7" t="s">
        <v>140</v>
      </c>
      <c r="I207" s="7" t="s">
        <v>104</v>
      </c>
      <c r="J207" s="7" t="s">
        <v>843</v>
      </c>
      <c r="K207" s="7" t="s">
        <v>36</v>
      </c>
      <c r="L207" s="7" t="s">
        <v>45</v>
      </c>
      <c r="M207" s="7" t="s">
        <v>38</v>
      </c>
      <c r="N207" s="5">
        <v>42816.0</v>
      </c>
      <c r="O207" s="8">
        <v>13950.0</v>
      </c>
      <c r="P207" s="8">
        <v>24000.0</v>
      </c>
      <c r="Q207" s="8">
        <f t="shared" si="2"/>
        <v>10050</v>
      </c>
      <c r="R207" s="8">
        <v>25.0</v>
      </c>
      <c r="S207" s="8">
        <f t="shared" si="3"/>
        <v>600000</v>
      </c>
      <c r="T207" s="9">
        <v>0.1</v>
      </c>
      <c r="U207" s="8">
        <f t="shared" si="4"/>
        <v>60000</v>
      </c>
      <c r="V207" s="8">
        <f t="shared" si="5"/>
        <v>540000</v>
      </c>
      <c r="W207" s="10">
        <f t="shared" si="6"/>
        <v>348750</v>
      </c>
      <c r="X207" s="10">
        <f t="shared" si="7"/>
        <v>191250</v>
      </c>
      <c r="Y207" s="10"/>
      <c r="Z207" s="10"/>
      <c r="AA207" s="10"/>
      <c r="AB207" s="4" t="s">
        <v>844</v>
      </c>
      <c r="AC207" s="4" t="s">
        <v>841</v>
      </c>
      <c r="AD207" s="4">
        <v>42816.0</v>
      </c>
      <c r="AE207" s="4">
        <v>2017.0</v>
      </c>
      <c r="AF207" s="4" t="s">
        <v>842</v>
      </c>
      <c r="AG207" s="4" t="s">
        <v>228</v>
      </c>
      <c r="AH207" s="4" t="s">
        <v>50</v>
      </c>
      <c r="AI207" s="4" t="s">
        <v>32</v>
      </c>
      <c r="AJ207" s="4" t="s">
        <v>140</v>
      </c>
      <c r="AK207" s="4" t="s">
        <v>104</v>
      </c>
      <c r="AL207" s="4" t="s">
        <v>843</v>
      </c>
      <c r="AM207" s="4" t="s">
        <v>36</v>
      </c>
      <c r="AN207" s="4" t="s">
        <v>45</v>
      </c>
      <c r="AO207" s="4" t="s">
        <v>38</v>
      </c>
      <c r="AP207" s="4">
        <v>42816.0</v>
      </c>
      <c r="AQ207" s="4">
        <v>13950.0</v>
      </c>
      <c r="AR207" s="4">
        <v>24000.0</v>
      </c>
      <c r="AS207" s="4">
        <v>10050.0</v>
      </c>
      <c r="AT207" s="4">
        <v>25.0</v>
      </c>
      <c r="AU207" s="4">
        <v>600000.0</v>
      </c>
      <c r="AV207" s="4">
        <v>0.1</v>
      </c>
      <c r="AW207" s="4">
        <v>60000.0</v>
      </c>
      <c r="AX207" s="4">
        <v>540000.0</v>
      </c>
      <c r="AY207" s="4">
        <v>348750.0</v>
      </c>
      <c r="AZ207" s="4">
        <v>191250.0</v>
      </c>
    </row>
    <row r="208" ht="15.75" customHeight="1">
      <c r="A208" s="3" t="s">
        <v>845</v>
      </c>
      <c r="B208" s="5">
        <v>42817.0</v>
      </c>
      <c r="C208" s="6">
        <f t="shared" si="1"/>
        <v>2017</v>
      </c>
      <c r="D208" s="7" t="s">
        <v>742</v>
      </c>
      <c r="E208" s="7" t="s">
        <v>726</v>
      </c>
      <c r="F208" s="7" t="s">
        <v>50</v>
      </c>
      <c r="G208" s="5" t="s">
        <v>51</v>
      </c>
      <c r="H208" s="7" t="s">
        <v>52</v>
      </c>
      <c r="I208" s="7" t="s">
        <v>53</v>
      </c>
      <c r="J208" s="7" t="s">
        <v>467</v>
      </c>
      <c r="K208" s="7" t="s">
        <v>36</v>
      </c>
      <c r="L208" s="7" t="s">
        <v>45</v>
      </c>
      <c r="M208" s="7" t="s">
        <v>38</v>
      </c>
      <c r="N208" s="5">
        <v>42817.0</v>
      </c>
      <c r="O208" s="8">
        <v>3600.0</v>
      </c>
      <c r="P208" s="8">
        <v>18900.0</v>
      </c>
      <c r="Q208" s="8">
        <f t="shared" si="2"/>
        <v>15300</v>
      </c>
      <c r="R208" s="8">
        <v>9.0</v>
      </c>
      <c r="S208" s="8">
        <f t="shared" si="3"/>
        <v>170100</v>
      </c>
      <c r="T208" s="9">
        <v>0.06</v>
      </c>
      <c r="U208" s="8">
        <f t="shared" si="4"/>
        <v>10206</v>
      </c>
      <c r="V208" s="8">
        <f t="shared" si="5"/>
        <v>159894</v>
      </c>
      <c r="W208" s="10">
        <f t="shared" si="6"/>
        <v>32400</v>
      </c>
      <c r="X208" s="10">
        <f t="shared" si="7"/>
        <v>127494</v>
      </c>
      <c r="Y208" s="10"/>
      <c r="Z208" s="10"/>
      <c r="AA208" s="10"/>
      <c r="AB208" s="4" t="s">
        <v>846</v>
      </c>
      <c r="AC208" s="4" t="s">
        <v>845</v>
      </c>
      <c r="AD208" s="4">
        <v>42817.0</v>
      </c>
      <c r="AE208" s="4">
        <v>2017.0</v>
      </c>
      <c r="AF208" s="4" t="s">
        <v>742</v>
      </c>
      <c r="AG208" s="4" t="s">
        <v>726</v>
      </c>
      <c r="AH208" s="4" t="s">
        <v>50</v>
      </c>
      <c r="AI208" s="4" t="s">
        <v>51</v>
      </c>
      <c r="AJ208" s="4" t="s">
        <v>52</v>
      </c>
      <c r="AK208" s="4" t="s">
        <v>53</v>
      </c>
      <c r="AL208" s="4" t="s">
        <v>467</v>
      </c>
      <c r="AM208" s="4" t="s">
        <v>36</v>
      </c>
      <c r="AN208" s="4" t="s">
        <v>45</v>
      </c>
      <c r="AO208" s="4" t="s">
        <v>38</v>
      </c>
      <c r="AP208" s="4">
        <v>42817.0</v>
      </c>
      <c r="AQ208" s="4">
        <v>3600.0</v>
      </c>
      <c r="AR208" s="4">
        <v>18900.0</v>
      </c>
      <c r="AS208" s="4">
        <v>15300.0</v>
      </c>
      <c r="AT208" s="4">
        <v>9.0</v>
      </c>
      <c r="AU208" s="4">
        <v>170100.0</v>
      </c>
      <c r="AV208" s="4">
        <v>0.06</v>
      </c>
      <c r="AW208" s="4">
        <v>10206.0</v>
      </c>
      <c r="AX208" s="4">
        <v>159894.0</v>
      </c>
      <c r="AY208" s="4">
        <v>32400.0</v>
      </c>
      <c r="AZ208" s="4">
        <v>127494.0</v>
      </c>
    </row>
    <row r="209" ht="15.75" customHeight="1">
      <c r="A209" s="3" t="s">
        <v>847</v>
      </c>
      <c r="B209" s="5">
        <v>42818.0</v>
      </c>
      <c r="C209" s="6">
        <f t="shared" si="1"/>
        <v>2017</v>
      </c>
      <c r="D209" s="7" t="s">
        <v>500</v>
      </c>
      <c r="E209" s="7" t="s">
        <v>501</v>
      </c>
      <c r="F209" s="7" t="s">
        <v>289</v>
      </c>
      <c r="G209" s="5" t="s">
        <v>91</v>
      </c>
      <c r="H209" s="7" t="s">
        <v>80</v>
      </c>
      <c r="I209" s="7" t="s">
        <v>92</v>
      </c>
      <c r="J209" s="7" t="s">
        <v>497</v>
      </c>
      <c r="K209" s="7" t="s">
        <v>36</v>
      </c>
      <c r="L209" s="7" t="s">
        <v>37</v>
      </c>
      <c r="M209" s="7" t="s">
        <v>38</v>
      </c>
      <c r="N209" s="5">
        <v>42820.0</v>
      </c>
      <c r="O209" s="8">
        <v>54750.0</v>
      </c>
      <c r="P209" s="8">
        <v>89700.0</v>
      </c>
      <c r="Q209" s="8">
        <f t="shared" si="2"/>
        <v>34950</v>
      </c>
      <c r="R209" s="8">
        <v>25.0</v>
      </c>
      <c r="S209" s="8">
        <f t="shared" si="3"/>
        <v>2242500</v>
      </c>
      <c r="T209" s="9">
        <v>0.03</v>
      </c>
      <c r="U209" s="8">
        <f t="shared" si="4"/>
        <v>67275</v>
      </c>
      <c r="V209" s="8">
        <f t="shared" si="5"/>
        <v>2175225</v>
      </c>
      <c r="W209" s="10">
        <f t="shared" si="6"/>
        <v>1368750</v>
      </c>
      <c r="X209" s="10">
        <f t="shared" si="7"/>
        <v>806475</v>
      </c>
      <c r="Y209" s="10"/>
      <c r="Z209" s="10"/>
      <c r="AA209" s="10"/>
      <c r="AB209" s="4" t="s">
        <v>848</v>
      </c>
      <c r="AC209" s="4" t="s">
        <v>847</v>
      </c>
      <c r="AD209" s="4">
        <v>42818.0</v>
      </c>
      <c r="AE209" s="4">
        <v>2017.0</v>
      </c>
      <c r="AF209" s="4" t="s">
        <v>500</v>
      </c>
      <c r="AG209" s="4" t="s">
        <v>501</v>
      </c>
      <c r="AH209" s="4" t="s">
        <v>289</v>
      </c>
      <c r="AI209" s="4" t="s">
        <v>91</v>
      </c>
      <c r="AJ209" s="4" t="s">
        <v>80</v>
      </c>
      <c r="AK209" s="4" t="s">
        <v>92</v>
      </c>
      <c r="AL209" s="4" t="s">
        <v>497</v>
      </c>
      <c r="AM209" s="4" t="s">
        <v>36</v>
      </c>
      <c r="AN209" s="4" t="s">
        <v>37</v>
      </c>
      <c r="AO209" s="4" t="s">
        <v>38</v>
      </c>
      <c r="AP209" s="4">
        <v>42820.0</v>
      </c>
      <c r="AQ209" s="4">
        <v>54750.0</v>
      </c>
      <c r="AR209" s="4">
        <v>89700.0</v>
      </c>
      <c r="AS209" s="4">
        <v>34950.0</v>
      </c>
      <c r="AT209" s="4">
        <v>25.0</v>
      </c>
      <c r="AU209" s="4">
        <v>2242500.0</v>
      </c>
      <c r="AV209" s="4">
        <v>0.03</v>
      </c>
      <c r="AW209" s="4">
        <v>67275.0</v>
      </c>
      <c r="AX209" s="4">
        <v>2175225.0</v>
      </c>
      <c r="AY209" s="4">
        <v>1368750.0</v>
      </c>
      <c r="AZ209" s="4">
        <v>806475.0</v>
      </c>
    </row>
    <row r="210" ht="15.75" customHeight="1">
      <c r="A210" s="3" t="s">
        <v>849</v>
      </c>
      <c r="B210" s="5">
        <v>42819.0</v>
      </c>
      <c r="C210" s="6">
        <f t="shared" si="1"/>
        <v>2017</v>
      </c>
      <c r="D210" s="7" t="s">
        <v>29</v>
      </c>
      <c r="E210" s="7" t="s">
        <v>30</v>
      </c>
      <c r="F210" s="7" t="s">
        <v>31</v>
      </c>
      <c r="G210" s="5" t="s">
        <v>32</v>
      </c>
      <c r="H210" s="7" t="s">
        <v>33</v>
      </c>
      <c r="I210" s="7" t="s">
        <v>74</v>
      </c>
      <c r="J210" s="7" t="s">
        <v>99</v>
      </c>
      <c r="K210" s="7" t="s">
        <v>36</v>
      </c>
      <c r="L210" s="7" t="s">
        <v>37</v>
      </c>
      <c r="M210" s="7" t="s">
        <v>38</v>
      </c>
      <c r="N210" s="5">
        <v>42821.0</v>
      </c>
      <c r="O210" s="8">
        <v>79950.0</v>
      </c>
      <c r="P210" s="8">
        <v>129000.0</v>
      </c>
      <c r="Q210" s="8">
        <f t="shared" si="2"/>
        <v>49050</v>
      </c>
      <c r="R210" s="8">
        <v>6.0</v>
      </c>
      <c r="S210" s="8">
        <f t="shared" si="3"/>
        <v>774000</v>
      </c>
      <c r="T210" s="9">
        <v>0.04</v>
      </c>
      <c r="U210" s="8">
        <f t="shared" si="4"/>
        <v>30960</v>
      </c>
      <c r="V210" s="8">
        <f t="shared" si="5"/>
        <v>743040</v>
      </c>
      <c r="W210" s="10">
        <f t="shared" si="6"/>
        <v>479700</v>
      </c>
      <c r="X210" s="10">
        <f t="shared" si="7"/>
        <v>263340</v>
      </c>
      <c r="Y210" s="10"/>
      <c r="Z210" s="10"/>
      <c r="AA210" s="10"/>
      <c r="AB210" s="4" t="s">
        <v>850</v>
      </c>
      <c r="AC210" s="4" t="s">
        <v>849</v>
      </c>
      <c r="AD210" s="4">
        <v>42819.0</v>
      </c>
      <c r="AE210" s="4">
        <v>2017.0</v>
      </c>
      <c r="AF210" s="4" t="s">
        <v>29</v>
      </c>
      <c r="AG210" s="4" t="s">
        <v>30</v>
      </c>
      <c r="AH210" s="4" t="s">
        <v>31</v>
      </c>
      <c r="AI210" s="4" t="s">
        <v>32</v>
      </c>
      <c r="AJ210" s="4" t="s">
        <v>33</v>
      </c>
      <c r="AK210" s="4" t="s">
        <v>74</v>
      </c>
      <c r="AL210" s="4" t="s">
        <v>99</v>
      </c>
      <c r="AM210" s="4" t="s">
        <v>36</v>
      </c>
      <c r="AN210" s="4" t="s">
        <v>37</v>
      </c>
      <c r="AO210" s="4" t="s">
        <v>38</v>
      </c>
      <c r="AP210" s="4">
        <v>42821.0</v>
      </c>
      <c r="AQ210" s="4">
        <v>79950.0</v>
      </c>
      <c r="AR210" s="4">
        <v>129000.0</v>
      </c>
      <c r="AS210" s="4">
        <v>49050.0</v>
      </c>
      <c r="AT210" s="4">
        <v>6.0</v>
      </c>
      <c r="AU210" s="4">
        <v>774000.0</v>
      </c>
      <c r="AV210" s="4">
        <v>0.04</v>
      </c>
      <c r="AW210" s="4">
        <v>30960.0</v>
      </c>
      <c r="AX210" s="4">
        <v>743040.0</v>
      </c>
      <c r="AY210" s="4">
        <v>479700.0</v>
      </c>
      <c r="AZ210" s="4">
        <v>263340.0</v>
      </c>
    </row>
    <row r="211" ht="15.75" customHeight="1">
      <c r="A211" s="3" t="s">
        <v>851</v>
      </c>
      <c r="B211" s="5">
        <v>42819.0</v>
      </c>
      <c r="C211" s="6">
        <f t="shared" si="1"/>
        <v>2017</v>
      </c>
      <c r="D211" s="7" t="s">
        <v>29</v>
      </c>
      <c r="E211" s="7" t="s">
        <v>30</v>
      </c>
      <c r="F211" s="7" t="s">
        <v>31</v>
      </c>
      <c r="G211" s="5" t="s">
        <v>32</v>
      </c>
      <c r="H211" s="7" t="s">
        <v>33</v>
      </c>
      <c r="I211" s="7" t="s">
        <v>74</v>
      </c>
      <c r="J211" s="7" t="s">
        <v>313</v>
      </c>
      <c r="K211" s="7" t="s">
        <v>36</v>
      </c>
      <c r="L211" s="7" t="s">
        <v>45</v>
      </c>
      <c r="M211" s="7" t="s">
        <v>38</v>
      </c>
      <c r="N211" s="5">
        <v>42823.0</v>
      </c>
      <c r="O211" s="8">
        <v>34350.0</v>
      </c>
      <c r="P211" s="8">
        <v>53700.0</v>
      </c>
      <c r="Q211" s="8">
        <f t="shared" si="2"/>
        <v>19350</v>
      </c>
      <c r="R211" s="8">
        <v>30.0</v>
      </c>
      <c r="S211" s="8">
        <f t="shared" si="3"/>
        <v>1611000</v>
      </c>
      <c r="T211" s="9">
        <v>0.01</v>
      </c>
      <c r="U211" s="8">
        <f t="shared" si="4"/>
        <v>16110</v>
      </c>
      <c r="V211" s="8">
        <f t="shared" si="5"/>
        <v>1594890</v>
      </c>
      <c r="W211" s="10">
        <f t="shared" si="6"/>
        <v>1030500</v>
      </c>
      <c r="X211" s="10">
        <f t="shared" si="7"/>
        <v>564390</v>
      </c>
      <c r="Y211" s="10"/>
      <c r="Z211" s="10"/>
      <c r="AA211" s="10"/>
      <c r="AB211" s="4" t="s">
        <v>852</v>
      </c>
      <c r="AC211" s="4" t="s">
        <v>851</v>
      </c>
      <c r="AD211" s="4">
        <v>42819.0</v>
      </c>
      <c r="AE211" s="4">
        <v>2017.0</v>
      </c>
      <c r="AF211" s="4" t="s">
        <v>29</v>
      </c>
      <c r="AG211" s="4" t="s">
        <v>30</v>
      </c>
      <c r="AH211" s="4" t="s">
        <v>31</v>
      </c>
      <c r="AI211" s="4" t="s">
        <v>32</v>
      </c>
      <c r="AJ211" s="4" t="s">
        <v>33</v>
      </c>
      <c r="AK211" s="4" t="s">
        <v>74</v>
      </c>
      <c r="AL211" s="4" t="s">
        <v>313</v>
      </c>
      <c r="AM211" s="4" t="s">
        <v>36</v>
      </c>
      <c r="AN211" s="4" t="s">
        <v>45</v>
      </c>
      <c r="AO211" s="4" t="s">
        <v>38</v>
      </c>
      <c r="AP211" s="4">
        <v>42823.0</v>
      </c>
      <c r="AQ211" s="4">
        <v>34350.0</v>
      </c>
      <c r="AR211" s="4">
        <v>53700.0</v>
      </c>
      <c r="AS211" s="4">
        <v>19350.0</v>
      </c>
      <c r="AT211" s="4">
        <v>30.0</v>
      </c>
      <c r="AU211" s="4">
        <v>1611000.0</v>
      </c>
      <c r="AV211" s="4">
        <v>0.01</v>
      </c>
      <c r="AW211" s="4">
        <v>16110.0</v>
      </c>
      <c r="AX211" s="4">
        <v>1594890.0</v>
      </c>
      <c r="AY211" s="4">
        <v>1030500.0</v>
      </c>
      <c r="AZ211" s="4">
        <v>564390.0</v>
      </c>
    </row>
    <row r="212" ht="15.75" customHeight="1">
      <c r="A212" s="3" t="s">
        <v>853</v>
      </c>
      <c r="B212" s="5">
        <v>42819.0</v>
      </c>
      <c r="C212" s="6">
        <f t="shared" si="1"/>
        <v>2017</v>
      </c>
      <c r="D212" s="7" t="s">
        <v>854</v>
      </c>
      <c r="E212" s="7" t="s">
        <v>855</v>
      </c>
      <c r="F212" s="7" t="s">
        <v>50</v>
      </c>
      <c r="G212" s="5" t="s">
        <v>51</v>
      </c>
      <c r="H212" s="7" t="s">
        <v>140</v>
      </c>
      <c r="I212" s="7" t="s">
        <v>74</v>
      </c>
      <c r="J212" s="7" t="s">
        <v>551</v>
      </c>
      <c r="K212" s="7" t="s">
        <v>36</v>
      </c>
      <c r="L212" s="7" t="s">
        <v>37</v>
      </c>
      <c r="M212" s="7" t="s">
        <v>38</v>
      </c>
      <c r="N212" s="5">
        <v>42823.0</v>
      </c>
      <c r="O212" s="8">
        <v>275700.0</v>
      </c>
      <c r="P212" s="8">
        <v>437550.0</v>
      </c>
      <c r="Q212" s="8">
        <f t="shared" si="2"/>
        <v>161850</v>
      </c>
      <c r="R212" s="8">
        <v>16.0</v>
      </c>
      <c r="S212" s="8">
        <f t="shared" si="3"/>
        <v>7000800</v>
      </c>
      <c r="T212" s="9">
        <v>0.07</v>
      </c>
      <c r="U212" s="8">
        <f t="shared" si="4"/>
        <v>490056</v>
      </c>
      <c r="V212" s="8">
        <f t="shared" si="5"/>
        <v>6510744</v>
      </c>
      <c r="W212" s="10">
        <f t="shared" si="6"/>
        <v>4411200</v>
      </c>
      <c r="X212" s="10">
        <f t="shared" si="7"/>
        <v>2099544</v>
      </c>
      <c r="Y212" s="10"/>
      <c r="Z212" s="10"/>
      <c r="AA212" s="10"/>
      <c r="AB212" s="4" t="s">
        <v>856</v>
      </c>
      <c r="AC212" s="4" t="s">
        <v>853</v>
      </c>
      <c r="AD212" s="4">
        <v>42819.0</v>
      </c>
      <c r="AE212" s="4">
        <v>2017.0</v>
      </c>
      <c r="AF212" s="4" t="s">
        <v>854</v>
      </c>
      <c r="AG212" s="4" t="s">
        <v>855</v>
      </c>
      <c r="AH212" s="4" t="s">
        <v>50</v>
      </c>
      <c r="AI212" s="4" t="s">
        <v>51</v>
      </c>
      <c r="AJ212" s="4" t="s">
        <v>140</v>
      </c>
      <c r="AK212" s="4" t="s">
        <v>74</v>
      </c>
      <c r="AL212" s="4" t="s">
        <v>551</v>
      </c>
      <c r="AM212" s="4" t="s">
        <v>36</v>
      </c>
      <c r="AN212" s="4" t="s">
        <v>37</v>
      </c>
      <c r="AO212" s="4" t="s">
        <v>38</v>
      </c>
      <c r="AP212" s="4">
        <v>42823.0</v>
      </c>
      <c r="AQ212" s="4">
        <v>275700.0</v>
      </c>
      <c r="AR212" s="4">
        <v>437550.0</v>
      </c>
      <c r="AS212" s="4">
        <v>161850.0</v>
      </c>
      <c r="AT212" s="4">
        <v>16.0</v>
      </c>
      <c r="AU212" s="4">
        <v>7000800.0</v>
      </c>
      <c r="AV212" s="4">
        <v>0.07</v>
      </c>
      <c r="AW212" s="4">
        <v>490056.0</v>
      </c>
      <c r="AX212" s="4">
        <v>6510744.0</v>
      </c>
      <c r="AY212" s="4">
        <v>4411200.0</v>
      </c>
      <c r="AZ212" s="4">
        <v>2099544.0</v>
      </c>
    </row>
    <row r="213" ht="15.75" customHeight="1">
      <c r="A213" s="3" t="s">
        <v>857</v>
      </c>
      <c r="B213" s="5">
        <v>42821.0</v>
      </c>
      <c r="C213" s="6">
        <f t="shared" si="1"/>
        <v>2017</v>
      </c>
      <c r="D213" s="7" t="s">
        <v>858</v>
      </c>
      <c r="E213" s="7" t="s">
        <v>559</v>
      </c>
      <c r="F213" s="7" t="s">
        <v>50</v>
      </c>
      <c r="G213" s="5" t="s">
        <v>68</v>
      </c>
      <c r="H213" s="7" t="s">
        <v>98</v>
      </c>
      <c r="I213" s="7" t="s">
        <v>92</v>
      </c>
      <c r="J213" s="7" t="s">
        <v>859</v>
      </c>
      <c r="K213" s="7" t="s">
        <v>36</v>
      </c>
      <c r="L213" s="7" t="s">
        <v>37</v>
      </c>
      <c r="M213" s="7" t="s">
        <v>38</v>
      </c>
      <c r="N213" s="5">
        <v>42822.0</v>
      </c>
      <c r="O213" s="8">
        <v>56250.0</v>
      </c>
      <c r="P213" s="8">
        <v>86550.0</v>
      </c>
      <c r="Q213" s="8">
        <f t="shared" si="2"/>
        <v>30300</v>
      </c>
      <c r="R213" s="8">
        <v>9.0</v>
      </c>
      <c r="S213" s="8">
        <f t="shared" si="3"/>
        <v>778950</v>
      </c>
      <c r="T213" s="9">
        <v>0.0</v>
      </c>
      <c r="U213" s="8">
        <f t="shared" si="4"/>
        <v>0</v>
      </c>
      <c r="V213" s="8">
        <f t="shared" si="5"/>
        <v>778950</v>
      </c>
      <c r="W213" s="10">
        <f t="shared" si="6"/>
        <v>506250</v>
      </c>
      <c r="X213" s="10">
        <f t="shared" si="7"/>
        <v>272700</v>
      </c>
      <c r="Y213" s="10"/>
      <c r="Z213" s="10"/>
      <c r="AA213" s="10"/>
      <c r="AB213" s="4" t="s">
        <v>860</v>
      </c>
      <c r="AC213" s="4" t="s">
        <v>857</v>
      </c>
      <c r="AD213" s="4">
        <v>42821.0</v>
      </c>
      <c r="AE213" s="4">
        <v>2017.0</v>
      </c>
      <c r="AF213" s="4" t="s">
        <v>858</v>
      </c>
      <c r="AG213" s="4" t="s">
        <v>559</v>
      </c>
      <c r="AH213" s="4" t="s">
        <v>50</v>
      </c>
      <c r="AI213" s="4" t="s">
        <v>68</v>
      </c>
      <c r="AJ213" s="4" t="s">
        <v>98</v>
      </c>
      <c r="AK213" s="4" t="s">
        <v>92</v>
      </c>
      <c r="AL213" s="4" t="s">
        <v>859</v>
      </c>
      <c r="AM213" s="4" t="s">
        <v>36</v>
      </c>
      <c r="AN213" s="4" t="s">
        <v>37</v>
      </c>
      <c r="AO213" s="4" t="s">
        <v>38</v>
      </c>
      <c r="AP213" s="4">
        <v>42822.0</v>
      </c>
      <c r="AQ213" s="4">
        <v>56250.0</v>
      </c>
      <c r="AR213" s="4">
        <v>86550.0</v>
      </c>
      <c r="AS213" s="4">
        <v>30300.0</v>
      </c>
      <c r="AT213" s="4">
        <v>9.0</v>
      </c>
      <c r="AU213" s="4">
        <v>778950.0</v>
      </c>
      <c r="AV213" s="4">
        <v>0.0</v>
      </c>
      <c r="AW213" s="4">
        <v>0.0</v>
      </c>
      <c r="AX213" s="4">
        <v>778950.0</v>
      </c>
      <c r="AY213" s="4">
        <v>506250.0</v>
      </c>
      <c r="AZ213" s="4">
        <v>272700.0</v>
      </c>
    </row>
    <row r="214" ht="15.75" customHeight="1">
      <c r="A214" s="3" t="s">
        <v>861</v>
      </c>
      <c r="B214" s="5">
        <v>42821.0</v>
      </c>
      <c r="C214" s="6">
        <f t="shared" si="1"/>
        <v>2017</v>
      </c>
      <c r="D214" s="7" t="s">
        <v>862</v>
      </c>
      <c r="E214" s="7" t="s">
        <v>298</v>
      </c>
      <c r="F214" s="7" t="s">
        <v>50</v>
      </c>
      <c r="G214" s="5" t="s">
        <v>51</v>
      </c>
      <c r="H214" s="7" t="s">
        <v>52</v>
      </c>
      <c r="I214" s="7" t="s">
        <v>53</v>
      </c>
      <c r="J214" s="7" t="s">
        <v>863</v>
      </c>
      <c r="K214" s="7" t="s">
        <v>36</v>
      </c>
      <c r="L214" s="7" t="s">
        <v>45</v>
      </c>
      <c r="M214" s="7" t="s">
        <v>38</v>
      </c>
      <c r="N214" s="5">
        <v>42823.0</v>
      </c>
      <c r="O214" s="8">
        <v>28800.0</v>
      </c>
      <c r="P214" s="8">
        <v>48900.0</v>
      </c>
      <c r="Q214" s="8">
        <f t="shared" si="2"/>
        <v>20100</v>
      </c>
      <c r="R214" s="8">
        <v>6.0</v>
      </c>
      <c r="S214" s="8">
        <f t="shared" si="3"/>
        <v>293400</v>
      </c>
      <c r="T214" s="9">
        <v>0.01</v>
      </c>
      <c r="U214" s="8">
        <f t="shared" si="4"/>
        <v>2934</v>
      </c>
      <c r="V214" s="8">
        <f t="shared" si="5"/>
        <v>290466</v>
      </c>
      <c r="W214" s="10">
        <f t="shared" si="6"/>
        <v>172800</v>
      </c>
      <c r="X214" s="10">
        <f t="shared" si="7"/>
        <v>117666</v>
      </c>
      <c r="Y214" s="10"/>
      <c r="Z214" s="10"/>
      <c r="AA214" s="10"/>
      <c r="AB214" s="4" t="s">
        <v>864</v>
      </c>
      <c r="AC214" s="4" t="s">
        <v>861</v>
      </c>
      <c r="AD214" s="4">
        <v>42821.0</v>
      </c>
      <c r="AE214" s="4">
        <v>2017.0</v>
      </c>
      <c r="AF214" s="4" t="s">
        <v>862</v>
      </c>
      <c r="AG214" s="4" t="s">
        <v>298</v>
      </c>
      <c r="AH214" s="4" t="s">
        <v>50</v>
      </c>
      <c r="AI214" s="4" t="s">
        <v>51</v>
      </c>
      <c r="AJ214" s="4" t="s">
        <v>52</v>
      </c>
      <c r="AK214" s="4" t="s">
        <v>53</v>
      </c>
      <c r="AL214" s="4" t="s">
        <v>863</v>
      </c>
      <c r="AM214" s="4" t="s">
        <v>36</v>
      </c>
      <c r="AN214" s="4" t="s">
        <v>45</v>
      </c>
      <c r="AO214" s="4" t="s">
        <v>38</v>
      </c>
      <c r="AP214" s="4">
        <v>42823.0</v>
      </c>
      <c r="AQ214" s="4">
        <v>28800.0</v>
      </c>
      <c r="AR214" s="4">
        <v>48900.0</v>
      </c>
      <c r="AS214" s="4">
        <v>20100.0</v>
      </c>
      <c r="AT214" s="4">
        <v>6.0</v>
      </c>
      <c r="AU214" s="4">
        <v>293400.0</v>
      </c>
      <c r="AV214" s="4">
        <v>0.01</v>
      </c>
      <c r="AW214" s="4">
        <v>2934.0</v>
      </c>
      <c r="AX214" s="4">
        <v>290466.0</v>
      </c>
      <c r="AY214" s="4">
        <v>172800.0</v>
      </c>
      <c r="AZ214" s="4">
        <v>117666.0</v>
      </c>
    </row>
    <row r="215" ht="15.75" customHeight="1">
      <c r="A215" s="3" t="s">
        <v>865</v>
      </c>
      <c r="B215" s="5">
        <v>42824.0</v>
      </c>
      <c r="C215" s="6">
        <f t="shared" si="1"/>
        <v>2017</v>
      </c>
      <c r="D215" s="7" t="s">
        <v>866</v>
      </c>
      <c r="E215" s="7" t="s">
        <v>537</v>
      </c>
      <c r="F215" s="7" t="s">
        <v>31</v>
      </c>
      <c r="G215" s="5" t="s">
        <v>91</v>
      </c>
      <c r="H215" s="7" t="s">
        <v>33</v>
      </c>
      <c r="I215" s="7" t="s">
        <v>53</v>
      </c>
      <c r="J215" s="7" t="s">
        <v>771</v>
      </c>
      <c r="K215" s="7" t="s">
        <v>36</v>
      </c>
      <c r="L215" s="7" t="s">
        <v>37</v>
      </c>
      <c r="M215" s="7" t="s">
        <v>38</v>
      </c>
      <c r="N215" s="5">
        <v>42827.0</v>
      </c>
      <c r="O215" s="8">
        <v>34350.0</v>
      </c>
      <c r="P215" s="8">
        <v>55350.0</v>
      </c>
      <c r="Q215" s="8">
        <f t="shared" si="2"/>
        <v>21000</v>
      </c>
      <c r="R215" s="8">
        <v>45.0</v>
      </c>
      <c r="S215" s="8">
        <f t="shared" si="3"/>
        <v>2490750</v>
      </c>
      <c r="T215" s="9">
        <v>0.08</v>
      </c>
      <c r="U215" s="8">
        <f t="shared" si="4"/>
        <v>199260</v>
      </c>
      <c r="V215" s="8">
        <f t="shared" si="5"/>
        <v>2291490</v>
      </c>
      <c r="W215" s="10">
        <f t="shared" si="6"/>
        <v>1545750</v>
      </c>
      <c r="X215" s="10">
        <f t="shared" si="7"/>
        <v>745740</v>
      </c>
      <c r="Y215" s="10"/>
      <c r="Z215" s="10"/>
      <c r="AA215" s="10"/>
      <c r="AB215" s="4" t="s">
        <v>867</v>
      </c>
      <c r="AC215" s="4" t="s">
        <v>865</v>
      </c>
      <c r="AD215" s="4">
        <v>42824.0</v>
      </c>
      <c r="AE215" s="4">
        <v>2017.0</v>
      </c>
      <c r="AF215" s="4" t="s">
        <v>866</v>
      </c>
      <c r="AG215" s="4" t="s">
        <v>537</v>
      </c>
      <c r="AH215" s="4" t="s">
        <v>31</v>
      </c>
      <c r="AI215" s="4" t="s">
        <v>91</v>
      </c>
      <c r="AJ215" s="4" t="s">
        <v>33</v>
      </c>
      <c r="AK215" s="4" t="s">
        <v>53</v>
      </c>
      <c r="AL215" s="4" t="s">
        <v>771</v>
      </c>
      <c r="AM215" s="4" t="s">
        <v>36</v>
      </c>
      <c r="AN215" s="4" t="s">
        <v>37</v>
      </c>
      <c r="AO215" s="4" t="s">
        <v>38</v>
      </c>
      <c r="AP215" s="4">
        <v>42827.0</v>
      </c>
      <c r="AQ215" s="4">
        <v>34350.0</v>
      </c>
      <c r="AR215" s="4">
        <v>55350.0</v>
      </c>
      <c r="AS215" s="4">
        <v>21000.0</v>
      </c>
      <c r="AT215" s="4">
        <v>45.0</v>
      </c>
      <c r="AU215" s="4">
        <v>2490750.0</v>
      </c>
      <c r="AV215" s="4">
        <v>0.08</v>
      </c>
      <c r="AW215" s="4">
        <v>199260.0</v>
      </c>
      <c r="AX215" s="4">
        <v>2291490.0</v>
      </c>
      <c r="AY215" s="4">
        <v>1545750.0</v>
      </c>
      <c r="AZ215" s="4">
        <v>745740.0</v>
      </c>
    </row>
    <row r="216" ht="15.75" customHeight="1">
      <c r="A216" s="3" t="s">
        <v>868</v>
      </c>
      <c r="B216" s="5">
        <v>42825.0</v>
      </c>
      <c r="C216" s="6">
        <f t="shared" si="1"/>
        <v>2017</v>
      </c>
      <c r="D216" s="7" t="s">
        <v>869</v>
      </c>
      <c r="E216" s="7" t="s">
        <v>199</v>
      </c>
      <c r="F216" s="7" t="s">
        <v>50</v>
      </c>
      <c r="G216" s="5" t="s">
        <v>51</v>
      </c>
      <c r="H216" s="7" t="s">
        <v>200</v>
      </c>
      <c r="I216" s="7" t="s">
        <v>53</v>
      </c>
      <c r="J216" s="7" t="s">
        <v>99</v>
      </c>
      <c r="K216" s="7" t="s">
        <v>36</v>
      </c>
      <c r="L216" s="7" t="s">
        <v>37</v>
      </c>
      <c r="M216" s="7" t="s">
        <v>38</v>
      </c>
      <c r="N216" s="5">
        <v>42827.0</v>
      </c>
      <c r="O216" s="8">
        <v>79950.0</v>
      </c>
      <c r="P216" s="8">
        <v>129000.0</v>
      </c>
      <c r="Q216" s="8">
        <f t="shared" si="2"/>
        <v>49050</v>
      </c>
      <c r="R216" s="8">
        <v>23.0</v>
      </c>
      <c r="S216" s="8">
        <f t="shared" si="3"/>
        <v>2967000</v>
      </c>
      <c r="T216" s="9">
        <v>0.02</v>
      </c>
      <c r="U216" s="8">
        <f t="shared" si="4"/>
        <v>59340</v>
      </c>
      <c r="V216" s="8">
        <f t="shared" si="5"/>
        <v>2907660</v>
      </c>
      <c r="W216" s="10">
        <f t="shared" si="6"/>
        <v>1838850</v>
      </c>
      <c r="X216" s="10">
        <f t="shared" si="7"/>
        <v>1068810</v>
      </c>
      <c r="Y216" s="10"/>
      <c r="Z216" s="10"/>
      <c r="AA216" s="10"/>
      <c r="AB216" s="4" t="s">
        <v>870</v>
      </c>
      <c r="AC216" s="4" t="s">
        <v>868</v>
      </c>
      <c r="AD216" s="4">
        <v>42825.0</v>
      </c>
      <c r="AE216" s="4">
        <v>2017.0</v>
      </c>
      <c r="AF216" s="4" t="s">
        <v>869</v>
      </c>
      <c r="AG216" s="4" t="s">
        <v>199</v>
      </c>
      <c r="AH216" s="4" t="s">
        <v>50</v>
      </c>
      <c r="AI216" s="4" t="s">
        <v>51</v>
      </c>
      <c r="AJ216" s="4" t="s">
        <v>200</v>
      </c>
      <c r="AK216" s="4" t="s">
        <v>53</v>
      </c>
      <c r="AL216" s="4" t="s">
        <v>99</v>
      </c>
      <c r="AM216" s="4" t="s">
        <v>36</v>
      </c>
      <c r="AN216" s="4" t="s">
        <v>37</v>
      </c>
      <c r="AO216" s="4" t="s">
        <v>38</v>
      </c>
      <c r="AP216" s="4">
        <v>42827.0</v>
      </c>
      <c r="AQ216" s="4">
        <v>79950.0</v>
      </c>
      <c r="AR216" s="4">
        <v>129000.0</v>
      </c>
      <c r="AS216" s="4">
        <v>49050.0</v>
      </c>
      <c r="AT216" s="4">
        <v>23.0</v>
      </c>
      <c r="AU216" s="4">
        <v>2967000.0</v>
      </c>
      <c r="AV216" s="4">
        <v>0.02</v>
      </c>
      <c r="AW216" s="4">
        <v>59340.0</v>
      </c>
      <c r="AX216" s="4">
        <v>2907660.0</v>
      </c>
      <c r="AY216" s="4">
        <v>1838850.0</v>
      </c>
      <c r="AZ216" s="4">
        <v>1068810.0</v>
      </c>
    </row>
    <row r="217" ht="15.75" customHeight="1">
      <c r="A217" s="3" t="s">
        <v>871</v>
      </c>
      <c r="B217" s="5">
        <v>42827.0</v>
      </c>
      <c r="C217" s="6">
        <f t="shared" si="1"/>
        <v>2017</v>
      </c>
      <c r="D217" s="7" t="s">
        <v>334</v>
      </c>
      <c r="E217" s="7" t="s">
        <v>30</v>
      </c>
      <c r="F217" s="7" t="s">
        <v>31</v>
      </c>
      <c r="G217" s="5" t="s">
        <v>68</v>
      </c>
      <c r="H217" s="7" t="s">
        <v>33</v>
      </c>
      <c r="I217" s="7" t="s">
        <v>34</v>
      </c>
      <c r="J217" s="7" t="s">
        <v>649</v>
      </c>
      <c r="K217" s="7" t="s">
        <v>61</v>
      </c>
      <c r="L217" s="7" t="s">
        <v>37</v>
      </c>
      <c r="M217" s="7" t="s">
        <v>38</v>
      </c>
      <c r="N217" s="5">
        <v>42829.0</v>
      </c>
      <c r="O217" s="8">
        <v>631650.0</v>
      </c>
      <c r="P217" s="8">
        <v>1214700.0</v>
      </c>
      <c r="Q217" s="8">
        <f t="shared" si="2"/>
        <v>583050</v>
      </c>
      <c r="R217" s="8">
        <v>13.0</v>
      </c>
      <c r="S217" s="8">
        <f t="shared" si="3"/>
        <v>15791100</v>
      </c>
      <c r="T217" s="9">
        <v>0.03</v>
      </c>
      <c r="U217" s="8">
        <f t="shared" si="4"/>
        <v>473733</v>
      </c>
      <c r="V217" s="8">
        <f t="shared" si="5"/>
        <v>15317367</v>
      </c>
      <c r="W217" s="10">
        <f t="shared" si="6"/>
        <v>8211450</v>
      </c>
      <c r="X217" s="10">
        <f t="shared" si="7"/>
        <v>7105917</v>
      </c>
      <c r="Y217" s="10"/>
      <c r="Z217" s="10"/>
      <c r="AA217" s="10"/>
      <c r="AB217" s="4" t="s">
        <v>872</v>
      </c>
      <c r="AC217" s="4" t="s">
        <v>871</v>
      </c>
      <c r="AD217" s="4">
        <v>42827.0</v>
      </c>
      <c r="AE217" s="4">
        <v>2017.0</v>
      </c>
      <c r="AF217" s="4" t="s">
        <v>334</v>
      </c>
      <c r="AG217" s="4" t="s">
        <v>30</v>
      </c>
      <c r="AH217" s="4" t="s">
        <v>31</v>
      </c>
      <c r="AI217" s="4" t="s">
        <v>68</v>
      </c>
      <c r="AJ217" s="4" t="s">
        <v>33</v>
      </c>
      <c r="AK217" s="4" t="s">
        <v>34</v>
      </c>
      <c r="AL217" s="4" t="s">
        <v>649</v>
      </c>
      <c r="AM217" s="4" t="s">
        <v>61</v>
      </c>
      <c r="AN217" s="4" t="s">
        <v>37</v>
      </c>
      <c r="AO217" s="4" t="s">
        <v>38</v>
      </c>
      <c r="AP217" s="4">
        <v>42829.0</v>
      </c>
      <c r="AQ217" s="4">
        <v>631650.0</v>
      </c>
      <c r="AR217" s="4">
        <v>1214700.0</v>
      </c>
      <c r="AS217" s="4">
        <v>583050.0</v>
      </c>
      <c r="AT217" s="4">
        <v>13.0</v>
      </c>
      <c r="AU217" s="4">
        <v>1.57911E7</v>
      </c>
      <c r="AV217" s="4">
        <v>0.03</v>
      </c>
      <c r="AW217" s="4">
        <v>473733.0</v>
      </c>
      <c r="AX217" s="4">
        <v>1.5317367E7</v>
      </c>
      <c r="AY217" s="4">
        <v>8211450.0</v>
      </c>
      <c r="AZ217" s="4">
        <v>7105917.0</v>
      </c>
    </row>
    <row r="218" ht="15.75" customHeight="1">
      <c r="A218" s="3" t="s">
        <v>873</v>
      </c>
      <c r="B218" s="5">
        <v>42831.0</v>
      </c>
      <c r="C218" s="6">
        <f t="shared" si="1"/>
        <v>2017</v>
      </c>
      <c r="D218" s="7" t="s">
        <v>874</v>
      </c>
      <c r="E218" s="7" t="s">
        <v>216</v>
      </c>
      <c r="F218" s="7" t="s">
        <v>50</v>
      </c>
      <c r="G218" s="5" t="s">
        <v>91</v>
      </c>
      <c r="H218" s="7" t="s">
        <v>151</v>
      </c>
      <c r="I218" s="7" t="s">
        <v>53</v>
      </c>
      <c r="J218" s="7" t="s">
        <v>195</v>
      </c>
      <c r="K218" s="7" t="s">
        <v>61</v>
      </c>
      <c r="L218" s="7" t="s">
        <v>37</v>
      </c>
      <c r="M218" s="7" t="s">
        <v>38</v>
      </c>
      <c r="N218" s="5">
        <v>42833.0</v>
      </c>
      <c r="O218" s="8">
        <v>594600.0</v>
      </c>
      <c r="P218" s="8">
        <v>2287200.0</v>
      </c>
      <c r="Q218" s="8">
        <f t="shared" si="2"/>
        <v>1692600</v>
      </c>
      <c r="R218" s="8">
        <v>41.0</v>
      </c>
      <c r="S218" s="8">
        <f t="shared" si="3"/>
        <v>93775200</v>
      </c>
      <c r="T218" s="9">
        <v>0.07</v>
      </c>
      <c r="U218" s="8">
        <f t="shared" si="4"/>
        <v>6564264</v>
      </c>
      <c r="V218" s="8">
        <f t="shared" si="5"/>
        <v>87210936</v>
      </c>
      <c r="W218" s="10">
        <f t="shared" si="6"/>
        <v>24378600</v>
      </c>
      <c r="X218" s="10">
        <f t="shared" si="7"/>
        <v>62832336</v>
      </c>
      <c r="Y218" s="10"/>
      <c r="Z218" s="10"/>
      <c r="AA218" s="10"/>
      <c r="AB218" s="4" t="s">
        <v>875</v>
      </c>
      <c r="AC218" s="4" t="s">
        <v>873</v>
      </c>
      <c r="AD218" s="4">
        <v>42831.0</v>
      </c>
      <c r="AE218" s="4">
        <v>2017.0</v>
      </c>
      <c r="AF218" s="4" t="s">
        <v>874</v>
      </c>
      <c r="AG218" s="4" t="s">
        <v>216</v>
      </c>
      <c r="AH218" s="4" t="s">
        <v>50</v>
      </c>
      <c r="AI218" s="4" t="s">
        <v>91</v>
      </c>
      <c r="AJ218" s="4" t="s">
        <v>151</v>
      </c>
      <c r="AK218" s="4" t="s">
        <v>53</v>
      </c>
      <c r="AL218" s="4" t="s">
        <v>195</v>
      </c>
      <c r="AM218" s="4" t="s">
        <v>61</v>
      </c>
      <c r="AN218" s="4" t="s">
        <v>37</v>
      </c>
      <c r="AO218" s="4" t="s">
        <v>38</v>
      </c>
      <c r="AP218" s="4">
        <v>42833.0</v>
      </c>
      <c r="AQ218" s="4">
        <v>594600.0</v>
      </c>
      <c r="AR218" s="4">
        <v>2287200.0</v>
      </c>
      <c r="AS218" s="4">
        <v>1692600.0</v>
      </c>
      <c r="AT218" s="4">
        <v>41.0</v>
      </c>
      <c r="AU218" s="4">
        <v>9.37752E7</v>
      </c>
      <c r="AV218" s="4">
        <v>0.07</v>
      </c>
      <c r="AW218" s="4">
        <v>6564264.0</v>
      </c>
      <c r="AX218" s="4">
        <v>8.7210936E7</v>
      </c>
      <c r="AY218" s="4">
        <v>2.43786E7</v>
      </c>
      <c r="AZ218" s="4">
        <v>6.2832336E7</v>
      </c>
    </row>
    <row r="219" ht="15.75" customHeight="1">
      <c r="A219" s="3" t="s">
        <v>876</v>
      </c>
      <c r="B219" s="5">
        <v>42831.0</v>
      </c>
      <c r="C219" s="6">
        <f t="shared" si="1"/>
        <v>2017</v>
      </c>
      <c r="D219" s="7" t="s">
        <v>877</v>
      </c>
      <c r="E219" s="7" t="s">
        <v>103</v>
      </c>
      <c r="F219" s="7" t="s">
        <v>31</v>
      </c>
      <c r="G219" s="5" t="s">
        <v>32</v>
      </c>
      <c r="H219" s="7" t="s">
        <v>43</v>
      </c>
      <c r="I219" s="7" t="s">
        <v>104</v>
      </c>
      <c r="J219" s="7" t="s">
        <v>878</v>
      </c>
      <c r="K219" s="7" t="s">
        <v>36</v>
      </c>
      <c r="L219" s="7" t="s">
        <v>37</v>
      </c>
      <c r="M219" s="7" t="s">
        <v>38</v>
      </c>
      <c r="N219" s="5">
        <v>42831.0</v>
      </c>
      <c r="O219" s="8">
        <v>47100.0</v>
      </c>
      <c r="P219" s="8">
        <v>73650.0</v>
      </c>
      <c r="Q219" s="8">
        <f t="shared" si="2"/>
        <v>26550</v>
      </c>
      <c r="R219" s="8">
        <v>12.0</v>
      </c>
      <c r="S219" s="8">
        <f t="shared" si="3"/>
        <v>883800</v>
      </c>
      <c r="T219" s="9">
        <v>0.04</v>
      </c>
      <c r="U219" s="8">
        <f t="shared" si="4"/>
        <v>35352</v>
      </c>
      <c r="V219" s="8">
        <f t="shared" si="5"/>
        <v>848448</v>
      </c>
      <c r="W219" s="10">
        <f t="shared" si="6"/>
        <v>565200</v>
      </c>
      <c r="X219" s="10">
        <f t="shared" si="7"/>
        <v>283248</v>
      </c>
      <c r="Y219" s="10"/>
      <c r="Z219" s="10"/>
      <c r="AA219" s="10"/>
      <c r="AB219" s="4" t="s">
        <v>879</v>
      </c>
      <c r="AC219" s="4" t="s">
        <v>876</v>
      </c>
      <c r="AD219" s="4">
        <v>42831.0</v>
      </c>
      <c r="AE219" s="4">
        <v>2017.0</v>
      </c>
      <c r="AF219" s="4" t="s">
        <v>877</v>
      </c>
      <c r="AG219" s="4" t="s">
        <v>103</v>
      </c>
      <c r="AH219" s="4" t="s">
        <v>31</v>
      </c>
      <c r="AI219" s="4" t="s">
        <v>32</v>
      </c>
      <c r="AJ219" s="4" t="s">
        <v>43</v>
      </c>
      <c r="AK219" s="4" t="s">
        <v>104</v>
      </c>
      <c r="AL219" s="4" t="s">
        <v>878</v>
      </c>
      <c r="AM219" s="4" t="s">
        <v>36</v>
      </c>
      <c r="AN219" s="4" t="s">
        <v>37</v>
      </c>
      <c r="AO219" s="4" t="s">
        <v>38</v>
      </c>
      <c r="AP219" s="4">
        <v>42831.0</v>
      </c>
      <c r="AQ219" s="4">
        <v>47100.0</v>
      </c>
      <c r="AR219" s="4">
        <v>73650.0</v>
      </c>
      <c r="AS219" s="4">
        <v>26550.0</v>
      </c>
      <c r="AT219" s="4">
        <v>12.0</v>
      </c>
      <c r="AU219" s="4">
        <v>883800.0</v>
      </c>
      <c r="AV219" s="4">
        <v>0.04</v>
      </c>
      <c r="AW219" s="4">
        <v>35352.0</v>
      </c>
      <c r="AX219" s="4">
        <v>848448.0</v>
      </c>
      <c r="AY219" s="4">
        <v>565200.0</v>
      </c>
      <c r="AZ219" s="4">
        <v>283248.0</v>
      </c>
    </row>
    <row r="220" ht="15.75" customHeight="1">
      <c r="A220" s="3" t="s">
        <v>880</v>
      </c>
      <c r="B220" s="5">
        <v>42835.0</v>
      </c>
      <c r="C220" s="6">
        <f t="shared" si="1"/>
        <v>2017</v>
      </c>
      <c r="D220" s="7" t="s">
        <v>881</v>
      </c>
      <c r="E220" s="7" t="s">
        <v>276</v>
      </c>
      <c r="F220" s="7" t="s">
        <v>50</v>
      </c>
      <c r="G220" s="5" t="s">
        <v>32</v>
      </c>
      <c r="H220" s="7" t="s">
        <v>110</v>
      </c>
      <c r="I220" s="7" t="s">
        <v>74</v>
      </c>
      <c r="J220" s="7" t="s">
        <v>551</v>
      </c>
      <c r="K220" s="7" t="s">
        <v>36</v>
      </c>
      <c r="L220" s="7" t="s">
        <v>37</v>
      </c>
      <c r="M220" s="7" t="s">
        <v>38</v>
      </c>
      <c r="N220" s="5">
        <v>42837.0</v>
      </c>
      <c r="O220" s="8">
        <v>275700.0</v>
      </c>
      <c r="P220" s="8">
        <v>437550.0</v>
      </c>
      <c r="Q220" s="8">
        <f t="shared" si="2"/>
        <v>161850</v>
      </c>
      <c r="R220" s="8">
        <v>37.0</v>
      </c>
      <c r="S220" s="8">
        <f t="shared" si="3"/>
        <v>16189350</v>
      </c>
      <c r="T220" s="9">
        <v>0.09</v>
      </c>
      <c r="U220" s="8">
        <f t="shared" si="4"/>
        <v>1457041.5</v>
      </c>
      <c r="V220" s="8">
        <f t="shared" si="5"/>
        <v>14732308.5</v>
      </c>
      <c r="W220" s="10">
        <f t="shared" si="6"/>
        <v>10200900</v>
      </c>
      <c r="X220" s="10">
        <f t="shared" si="7"/>
        <v>4531408.5</v>
      </c>
      <c r="Y220" s="10"/>
      <c r="Z220" s="10"/>
      <c r="AA220" s="10"/>
      <c r="AB220" s="4" t="s">
        <v>882</v>
      </c>
      <c r="AC220" s="4" t="s">
        <v>880</v>
      </c>
      <c r="AD220" s="4">
        <v>42835.0</v>
      </c>
      <c r="AE220" s="4">
        <v>2017.0</v>
      </c>
      <c r="AF220" s="4" t="s">
        <v>881</v>
      </c>
      <c r="AG220" s="4" t="s">
        <v>276</v>
      </c>
      <c r="AH220" s="4" t="s">
        <v>50</v>
      </c>
      <c r="AI220" s="4" t="s">
        <v>32</v>
      </c>
      <c r="AJ220" s="4" t="s">
        <v>110</v>
      </c>
      <c r="AK220" s="4" t="s">
        <v>74</v>
      </c>
      <c r="AL220" s="4" t="s">
        <v>551</v>
      </c>
      <c r="AM220" s="4" t="s">
        <v>36</v>
      </c>
      <c r="AN220" s="4" t="s">
        <v>37</v>
      </c>
      <c r="AO220" s="4" t="s">
        <v>38</v>
      </c>
      <c r="AP220" s="4">
        <v>42837.0</v>
      </c>
      <c r="AQ220" s="4">
        <v>275700.0</v>
      </c>
      <c r="AR220" s="4">
        <v>437550.0</v>
      </c>
      <c r="AS220" s="4">
        <v>161850.0</v>
      </c>
      <c r="AT220" s="4">
        <v>37.0</v>
      </c>
      <c r="AU220" s="4">
        <v>1.618935E7</v>
      </c>
      <c r="AV220" s="4">
        <v>0.09</v>
      </c>
      <c r="AW220" s="4">
        <v>1457041.5</v>
      </c>
      <c r="AX220" s="4">
        <v>1.47323085E7</v>
      </c>
      <c r="AY220" s="4">
        <v>1.02009E7</v>
      </c>
      <c r="AZ220" s="4">
        <v>4531408.5</v>
      </c>
    </row>
    <row r="221" ht="15.75" customHeight="1">
      <c r="A221" s="3" t="s">
        <v>883</v>
      </c>
      <c r="B221" s="5">
        <v>42837.0</v>
      </c>
      <c r="C221" s="6">
        <f t="shared" si="1"/>
        <v>2017</v>
      </c>
      <c r="D221" s="7" t="s">
        <v>455</v>
      </c>
      <c r="E221" s="7" t="s">
        <v>456</v>
      </c>
      <c r="F221" s="7" t="s">
        <v>50</v>
      </c>
      <c r="G221" s="5" t="s">
        <v>68</v>
      </c>
      <c r="H221" s="7" t="s">
        <v>200</v>
      </c>
      <c r="I221" s="7" t="s">
        <v>104</v>
      </c>
      <c r="J221" s="7" t="s">
        <v>44</v>
      </c>
      <c r="K221" s="7" t="s">
        <v>36</v>
      </c>
      <c r="L221" s="7" t="s">
        <v>45</v>
      </c>
      <c r="M221" s="7" t="s">
        <v>38</v>
      </c>
      <c r="N221" s="5">
        <v>42838.0</v>
      </c>
      <c r="O221" s="8">
        <v>35850.0</v>
      </c>
      <c r="P221" s="8">
        <v>63900.0</v>
      </c>
      <c r="Q221" s="8">
        <f t="shared" si="2"/>
        <v>28050</v>
      </c>
      <c r="R221" s="8">
        <v>26.0</v>
      </c>
      <c r="S221" s="8">
        <f t="shared" si="3"/>
        <v>1661400</v>
      </c>
      <c r="T221" s="9">
        <v>0.1</v>
      </c>
      <c r="U221" s="8">
        <f t="shared" si="4"/>
        <v>166140</v>
      </c>
      <c r="V221" s="8">
        <f t="shared" si="5"/>
        <v>1495260</v>
      </c>
      <c r="W221" s="10">
        <f t="shared" si="6"/>
        <v>932100</v>
      </c>
      <c r="X221" s="10">
        <f t="shared" si="7"/>
        <v>563160</v>
      </c>
      <c r="Y221" s="10"/>
      <c r="Z221" s="10"/>
      <c r="AA221" s="10"/>
      <c r="AB221" s="4" t="s">
        <v>884</v>
      </c>
      <c r="AC221" s="4" t="s">
        <v>883</v>
      </c>
      <c r="AD221" s="4">
        <v>42837.0</v>
      </c>
      <c r="AE221" s="4">
        <v>2017.0</v>
      </c>
      <c r="AF221" s="4" t="s">
        <v>455</v>
      </c>
      <c r="AG221" s="4" t="s">
        <v>456</v>
      </c>
      <c r="AH221" s="4" t="s">
        <v>50</v>
      </c>
      <c r="AI221" s="4" t="s">
        <v>68</v>
      </c>
      <c r="AJ221" s="4" t="s">
        <v>200</v>
      </c>
      <c r="AK221" s="4" t="s">
        <v>104</v>
      </c>
      <c r="AL221" s="4" t="s">
        <v>44</v>
      </c>
      <c r="AM221" s="4" t="s">
        <v>36</v>
      </c>
      <c r="AN221" s="4" t="s">
        <v>45</v>
      </c>
      <c r="AO221" s="4" t="s">
        <v>38</v>
      </c>
      <c r="AP221" s="4">
        <v>42838.0</v>
      </c>
      <c r="AQ221" s="4">
        <v>35850.0</v>
      </c>
      <c r="AR221" s="4">
        <v>63900.0</v>
      </c>
      <c r="AS221" s="4">
        <v>28050.0</v>
      </c>
      <c r="AT221" s="4">
        <v>26.0</v>
      </c>
      <c r="AU221" s="4">
        <v>1661400.0</v>
      </c>
      <c r="AV221" s="4">
        <v>0.1</v>
      </c>
      <c r="AW221" s="4">
        <v>166140.0</v>
      </c>
      <c r="AX221" s="4">
        <v>1495260.0</v>
      </c>
      <c r="AY221" s="4">
        <v>932100.0</v>
      </c>
      <c r="AZ221" s="4">
        <v>563160.0</v>
      </c>
    </row>
    <row r="222" ht="15.75" customHeight="1">
      <c r="A222" s="3" t="s">
        <v>885</v>
      </c>
      <c r="B222" s="5">
        <v>42837.0</v>
      </c>
      <c r="C222" s="6">
        <f t="shared" si="1"/>
        <v>2017</v>
      </c>
      <c r="D222" s="7" t="s">
        <v>601</v>
      </c>
      <c r="E222" s="7" t="s">
        <v>602</v>
      </c>
      <c r="F222" s="7" t="s">
        <v>50</v>
      </c>
      <c r="G222" s="5" t="s">
        <v>91</v>
      </c>
      <c r="H222" s="7" t="s">
        <v>98</v>
      </c>
      <c r="I222" s="7" t="s">
        <v>92</v>
      </c>
      <c r="J222" s="7" t="s">
        <v>331</v>
      </c>
      <c r="K222" s="7" t="s">
        <v>61</v>
      </c>
      <c r="L222" s="7" t="s">
        <v>37</v>
      </c>
      <c r="M222" s="7" t="s">
        <v>38</v>
      </c>
      <c r="N222" s="5">
        <v>42838.0</v>
      </c>
      <c r="O222" s="8">
        <v>908850.0</v>
      </c>
      <c r="P222" s="8">
        <v>1514700.0</v>
      </c>
      <c r="Q222" s="8">
        <f t="shared" si="2"/>
        <v>605850</v>
      </c>
      <c r="R222" s="8">
        <v>1.0</v>
      </c>
      <c r="S222" s="8">
        <f t="shared" si="3"/>
        <v>1514700</v>
      </c>
      <c r="T222" s="9">
        <v>0.1</v>
      </c>
      <c r="U222" s="8">
        <f t="shared" si="4"/>
        <v>151470</v>
      </c>
      <c r="V222" s="8">
        <f t="shared" si="5"/>
        <v>1363230</v>
      </c>
      <c r="W222" s="10">
        <f t="shared" si="6"/>
        <v>908850</v>
      </c>
      <c r="X222" s="10">
        <f t="shared" si="7"/>
        <v>454380</v>
      </c>
      <c r="Y222" s="10"/>
      <c r="Z222" s="10"/>
      <c r="AA222" s="10"/>
      <c r="AB222" s="4" t="s">
        <v>886</v>
      </c>
      <c r="AC222" s="4" t="s">
        <v>885</v>
      </c>
      <c r="AD222" s="4">
        <v>42837.0</v>
      </c>
      <c r="AE222" s="4">
        <v>2017.0</v>
      </c>
      <c r="AF222" s="4" t="s">
        <v>601</v>
      </c>
      <c r="AG222" s="4" t="s">
        <v>602</v>
      </c>
      <c r="AH222" s="4" t="s">
        <v>50</v>
      </c>
      <c r="AI222" s="4" t="s">
        <v>91</v>
      </c>
      <c r="AJ222" s="4" t="s">
        <v>98</v>
      </c>
      <c r="AK222" s="4" t="s">
        <v>92</v>
      </c>
      <c r="AL222" s="4" t="s">
        <v>331</v>
      </c>
      <c r="AM222" s="4" t="s">
        <v>61</v>
      </c>
      <c r="AN222" s="4" t="s">
        <v>37</v>
      </c>
      <c r="AO222" s="4" t="s">
        <v>38</v>
      </c>
      <c r="AP222" s="4">
        <v>42838.0</v>
      </c>
      <c r="AQ222" s="4">
        <v>908850.0</v>
      </c>
      <c r="AR222" s="4">
        <v>1514700.0</v>
      </c>
      <c r="AS222" s="4">
        <v>605850.0</v>
      </c>
      <c r="AT222" s="4">
        <v>1.0</v>
      </c>
      <c r="AU222" s="4">
        <v>1514700.0</v>
      </c>
      <c r="AV222" s="4">
        <v>0.1</v>
      </c>
      <c r="AW222" s="4">
        <v>151470.0</v>
      </c>
      <c r="AX222" s="4">
        <v>1363230.0</v>
      </c>
      <c r="AY222" s="4">
        <v>908850.0</v>
      </c>
      <c r="AZ222" s="4">
        <v>454380.0</v>
      </c>
    </row>
    <row r="223" ht="15.75" customHeight="1">
      <c r="A223" s="3" t="s">
        <v>887</v>
      </c>
      <c r="B223" s="5">
        <v>42838.0</v>
      </c>
      <c r="C223" s="6">
        <f t="shared" si="1"/>
        <v>2017</v>
      </c>
      <c r="D223" s="7" t="s">
        <v>888</v>
      </c>
      <c r="E223" s="7" t="s">
        <v>638</v>
      </c>
      <c r="F223" s="7" t="s">
        <v>50</v>
      </c>
      <c r="G223" s="5" t="s">
        <v>91</v>
      </c>
      <c r="H223" s="7" t="s">
        <v>98</v>
      </c>
      <c r="I223" s="7" t="s">
        <v>34</v>
      </c>
      <c r="J223" s="7" t="s">
        <v>889</v>
      </c>
      <c r="K223" s="7" t="s">
        <v>36</v>
      </c>
      <c r="L223" s="7" t="s">
        <v>127</v>
      </c>
      <c r="M223" s="7" t="s">
        <v>38</v>
      </c>
      <c r="N223" s="5">
        <v>42839.0</v>
      </c>
      <c r="O223" s="8">
        <v>61499.99999999999</v>
      </c>
      <c r="P223" s="8">
        <v>139650.0</v>
      </c>
      <c r="Q223" s="8">
        <f t="shared" si="2"/>
        <v>78150</v>
      </c>
      <c r="R223" s="8">
        <v>18.0</v>
      </c>
      <c r="S223" s="8">
        <f t="shared" si="3"/>
        <v>2513700</v>
      </c>
      <c r="T223" s="9">
        <v>0.01</v>
      </c>
      <c r="U223" s="8">
        <f t="shared" si="4"/>
        <v>25137</v>
      </c>
      <c r="V223" s="8">
        <f t="shared" si="5"/>
        <v>2488563</v>
      </c>
      <c r="W223" s="10">
        <f t="shared" si="6"/>
        <v>1107000</v>
      </c>
      <c r="X223" s="10">
        <f t="shared" si="7"/>
        <v>1381563</v>
      </c>
      <c r="Y223" s="10"/>
      <c r="Z223" s="10"/>
      <c r="AA223" s="10"/>
      <c r="AB223" s="4" t="s">
        <v>890</v>
      </c>
      <c r="AC223" s="4" t="s">
        <v>887</v>
      </c>
      <c r="AD223" s="4">
        <v>42838.0</v>
      </c>
      <c r="AE223" s="4">
        <v>2017.0</v>
      </c>
      <c r="AF223" s="4" t="s">
        <v>888</v>
      </c>
      <c r="AG223" s="4" t="s">
        <v>638</v>
      </c>
      <c r="AH223" s="4" t="s">
        <v>50</v>
      </c>
      <c r="AI223" s="4" t="s">
        <v>91</v>
      </c>
      <c r="AJ223" s="4" t="s">
        <v>98</v>
      </c>
      <c r="AK223" s="4" t="s">
        <v>34</v>
      </c>
      <c r="AL223" s="4" t="s">
        <v>889</v>
      </c>
      <c r="AM223" s="4" t="s">
        <v>36</v>
      </c>
      <c r="AN223" s="4" t="s">
        <v>127</v>
      </c>
      <c r="AO223" s="4" t="s">
        <v>38</v>
      </c>
      <c r="AP223" s="4">
        <v>42839.0</v>
      </c>
      <c r="AQ223" s="4">
        <v>61500.0</v>
      </c>
      <c r="AR223" s="4">
        <v>139650.0</v>
      </c>
      <c r="AS223" s="4">
        <v>78150.0</v>
      </c>
      <c r="AT223" s="4">
        <v>18.0</v>
      </c>
      <c r="AU223" s="4">
        <v>2513700.0</v>
      </c>
      <c r="AV223" s="4">
        <v>0.01</v>
      </c>
      <c r="AW223" s="4">
        <v>25137.0</v>
      </c>
      <c r="AX223" s="4">
        <v>2488563.0</v>
      </c>
      <c r="AY223" s="4">
        <v>1107000.0</v>
      </c>
      <c r="AZ223" s="4">
        <v>1381563.0</v>
      </c>
    </row>
    <row r="224" ht="15.75" customHeight="1">
      <c r="A224" s="3" t="s">
        <v>891</v>
      </c>
      <c r="B224" s="5">
        <v>42838.0</v>
      </c>
      <c r="C224" s="6">
        <f t="shared" si="1"/>
        <v>2017</v>
      </c>
      <c r="D224" s="7" t="s">
        <v>836</v>
      </c>
      <c r="E224" s="7" t="s">
        <v>393</v>
      </c>
      <c r="F224" s="7" t="s">
        <v>31</v>
      </c>
      <c r="G224" s="5" t="s">
        <v>91</v>
      </c>
      <c r="H224" s="7" t="s">
        <v>43</v>
      </c>
      <c r="I224" s="7" t="s">
        <v>74</v>
      </c>
      <c r="J224" s="7" t="s">
        <v>282</v>
      </c>
      <c r="K224" s="7" t="s">
        <v>36</v>
      </c>
      <c r="L224" s="7" t="s">
        <v>37</v>
      </c>
      <c r="M224" s="7" t="s">
        <v>38</v>
      </c>
      <c r="N224" s="5">
        <v>42838.0</v>
      </c>
      <c r="O224" s="8">
        <v>204600.0</v>
      </c>
      <c r="P224" s="8">
        <v>314700.0</v>
      </c>
      <c r="Q224" s="8">
        <f t="shared" si="2"/>
        <v>110100</v>
      </c>
      <c r="R224" s="8">
        <v>23.0</v>
      </c>
      <c r="S224" s="8">
        <f t="shared" si="3"/>
        <v>7238100</v>
      </c>
      <c r="T224" s="9">
        <v>0.03</v>
      </c>
      <c r="U224" s="8">
        <f t="shared" si="4"/>
        <v>217143</v>
      </c>
      <c r="V224" s="8">
        <f t="shared" si="5"/>
        <v>7020957</v>
      </c>
      <c r="W224" s="10">
        <f t="shared" si="6"/>
        <v>4705800</v>
      </c>
      <c r="X224" s="10">
        <f t="shared" si="7"/>
        <v>2315157</v>
      </c>
      <c r="Y224" s="10"/>
      <c r="Z224" s="10"/>
      <c r="AA224" s="10"/>
      <c r="AB224" s="4" t="s">
        <v>892</v>
      </c>
      <c r="AC224" s="4" t="s">
        <v>891</v>
      </c>
      <c r="AD224" s="4">
        <v>42838.0</v>
      </c>
      <c r="AE224" s="4">
        <v>2017.0</v>
      </c>
      <c r="AF224" s="4" t="s">
        <v>836</v>
      </c>
      <c r="AG224" s="4" t="s">
        <v>393</v>
      </c>
      <c r="AH224" s="4" t="s">
        <v>31</v>
      </c>
      <c r="AI224" s="4" t="s">
        <v>91</v>
      </c>
      <c r="AJ224" s="4" t="s">
        <v>43</v>
      </c>
      <c r="AK224" s="4" t="s">
        <v>74</v>
      </c>
      <c r="AL224" s="4" t="s">
        <v>282</v>
      </c>
      <c r="AM224" s="4" t="s">
        <v>36</v>
      </c>
      <c r="AN224" s="4" t="s">
        <v>37</v>
      </c>
      <c r="AO224" s="4" t="s">
        <v>38</v>
      </c>
      <c r="AP224" s="4">
        <v>42838.0</v>
      </c>
      <c r="AQ224" s="4">
        <v>204600.0</v>
      </c>
      <c r="AR224" s="4">
        <v>314700.0</v>
      </c>
      <c r="AS224" s="4">
        <v>110100.0</v>
      </c>
      <c r="AT224" s="4">
        <v>23.0</v>
      </c>
      <c r="AU224" s="4">
        <v>7238100.0</v>
      </c>
      <c r="AV224" s="4">
        <v>0.03</v>
      </c>
      <c r="AW224" s="4">
        <v>217143.0</v>
      </c>
      <c r="AX224" s="4">
        <v>7020957.0</v>
      </c>
      <c r="AY224" s="4">
        <v>4705800.0</v>
      </c>
      <c r="AZ224" s="4">
        <v>2315157.0</v>
      </c>
    </row>
    <row r="225" ht="15.75" customHeight="1">
      <c r="A225" s="3" t="s">
        <v>893</v>
      </c>
      <c r="B225" s="5">
        <v>42843.0</v>
      </c>
      <c r="C225" s="6">
        <f t="shared" si="1"/>
        <v>2017</v>
      </c>
      <c r="D225" s="7" t="s">
        <v>894</v>
      </c>
      <c r="E225" s="7" t="s">
        <v>795</v>
      </c>
      <c r="F225" s="7" t="s">
        <v>50</v>
      </c>
      <c r="G225" s="5" t="s">
        <v>68</v>
      </c>
      <c r="H225" s="7" t="s">
        <v>344</v>
      </c>
      <c r="I225" s="7" t="s">
        <v>53</v>
      </c>
      <c r="J225" s="7" t="s">
        <v>35</v>
      </c>
      <c r="K225" s="7" t="s">
        <v>36</v>
      </c>
      <c r="L225" s="7" t="s">
        <v>37</v>
      </c>
      <c r="M225" s="7" t="s">
        <v>38</v>
      </c>
      <c r="N225" s="5">
        <v>42845.0</v>
      </c>
      <c r="O225" s="8">
        <v>52800.0</v>
      </c>
      <c r="P225" s="8">
        <v>83700.0</v>
      </c>
      <c r="Q225" s="8">
        <f t="shared" si="2"/>
        <v>30900</v>
      </c>
      <c r="R225" s="8">
        <v>49.0</v>
      </c>
      <c r="S225" s="8">
        <f t="shared" si="3"/>
        <v>4101300</v>
      </c>
      <c r="T225" s="9">
        <v>0.02</v>
      </c>
      <c r="U225" s="8">
        <f t="shared" si="4"/>
        <v>82026</v>
      </c>
      <c r="V225" s="8">
        <f t="shared" si="5"/>
        <v>4019274</v>
      </c>
      <c r="W225" s="10">
        <f t="shared" si="6"/>
        <v>2587200</v>
      </c>
      <c r="X225" s="10">
        <f t="shared" si="7"/>
        <v>1432074</v>
      </c>
      <c r="Y225" s="10"/>
      <c r="Z225" s="10"/>
      <c r="AA225" s="10"/>
      <c r="AB225" s="4" t="s">
        <v>895</v>
      </c>
      <c r="AC225" s="4" t="s">
        <v>893</v>
      </c>
      <c r="AD225" s="4">
        <v>42843.0</v>
      </c>
      <c r="AE225" s="4">
        <v>2017.0</v>
      </c>
      <c r="AF225" s="4" t="s">
        <v>894</v>
      </c>
      <c r="AG225" s="4" t="s">
        <v>795</v>
      </c>
      <c r="AH225" s="4" t="s">
        <v>50</v>
      </c>
      <c r="AI225" s="4" t="s">
        <v>68</v>
      </c>
      <c r="AJ225" s="4" t="s">
        <v>344</v>
      </c>
      <c r="AK225" s="4" t="s">
        <v>53</v>
      </c>
      <c r="AL225" s="4" t="s">
        <v>35</v>
      </c>
      <c r="AM225" s="4" t="s">
        <v>36</v>
      </c>
      <c r="AN225" s="4" t="s">
        <v>37</v>
      </c>
      <c r="AO225" s="4" t="s">
        <v>38</v>
      </c>
      <c r="AP225" s="4">
        <v>42845.0</v>
      </c>
      <c r="AQ225" s="4">
        <v>52800.0</v>
      </c>
      <c r="AR225" s="4">
        <v>83700.0</v>
      </c>
      <c r="AS225" s="4">
        <v>30900.0</v>
      </c>
      <c r="AT225" s="4">
        <v>49.0</v>
      </c>
      <c r="AU225" s="4">
        <v>4101300.0</v>
      </c>
      <c r="AV225" s="4">
        <v>0.02</v>
      </c>
      <c r="AW225" s="4">
        <v>82026.0</v>
      </c>
      <c r="AX225" s="4">
        <v>4019274.0</v>
      </c>
      <c r="AY225" s="4">
        <v>2587200.0</v>
      </c>
      <c r="AZ225" s="4">
        <v>1432074.0</v>
      </c>
    </row>
    <row r="226" ht="15.75" customHeight="1">
      <c r="A226" s="3" t="s">
        <v>896</v>
      </c>
      <c r="B226" s="5">
        <v>42843.0</v>
      </c>
      <c r="C226" s="6">
        <f t="shared" si="1"/>
        <v>2017</v>
      </c>
      <c r="D226" s="7" t="s">
        <v>894</v>
      </c>
      <c r="E226" s="7" t="s">
        <v>795</v>
      </c>
      <c r="F226" s="7" t="s">
        <v>50</v>
      </c>
      <c r="G226" s="5" t="s">
        <v>68</v>
      </c>
      <c r="H226" s="7" t="s">
        <v>344</v>
      </c>
      <c r="I226" s="7" t="s">
        <v>53</v>
      </c>
      <c r="J226" s="7" t="s">
        <v>680</v>
      </c>
      <c r="K226" s="7" t="s">
        <v>36</v>
      </c>
      <c r="L226" s="7" t="s">
        <v>37</v>
      </c>
      <c r="M226" s="7" t="s">
        <v>38</v>
      </c>
      <c r="N226" s="5">
        <v>42844.0</v>
      </c>
      <c r="O226" s="8">
        <v>332700.0</v>
      </c>
      <c r="P226" s="8">
        <v>811500.0</v>
      </c>
      <c r="Q226" s="8">
        <f t="shared" si="2"/>
        <v>478800</v>
      </c>
      <c r="R226" s="8">
        <v>42.0</v>
      </c>
      <c r="S226" s="8">
        <f t="shared" si="3"/>
        <v>34083000</v>
      </c>
      <c r="T226" s="9">
        <v>0.02</v>
      </c>
      <c r="U226" s="8">
        <f t="shared" si="4"/>
        <v>681660</v>
      </c>
      <c r="V226" s="8">
        <f t="shared" si="5"/>
        <v>33401340</v>
      </c>
      <c r="W226" s="10">
        <f t="shared" si="6"/>
        <v>13973400</v>
      </c>
      <c r="X226" s="10">
        <f t="shared" si="7"/>
        <v>19427940</v>
      </c>
      <c r="Y226" s="10"/>
      <c r="Z226" s="10"/>
      <c r="AA226" s="10"/>
      <c r="AB226" s="4" t="s">
        <v>897</v>
      </c>
      <c r="AC226" s="4" t="s">
        <v>896</v>
      </c>
      <c r="AD226" s="4">
        <v>42843.0</v>
      </c>
      <c r="AE226" s="4">
        <v>2017.0</v>
      </c>
      <c r="AF226" s="4" t="s">
        <v>894</v>
      </c>
      <c r="AG226" s="4" t="s">
        <v>795</v>
      </c>
      <c r="AH226" s="4" t="s">
        <v>50</v>
      </c>
      <c r="AI226" s="4" t="s">
        <v>68</v>
      </c>
      <c r="AJ226" s="4" t="s">
        <v>344</v>
      </c>
      <c r="AK226" s="4" t="s">
        <v>53</v>
      </c>
      <c r="AL226" s="4" t="s">
        <v>680</v>
      </c>
      <c r="AM226" s="4" t="s">
        <v>36</v>
      </c>
      <c r="AN226" s="4" t="s">
        <v>37</v>
      </c>
      <c r="AO226" s="4" t="s">
        <v>38</v>
      </c>
      <c r="AP226" s="4">
        <v>42844.0</v>
      </c>
      <c r="AQ226" s="4">
        <v>332700.0</v>
      </c>
      <c r="AR226" s="4">
        <v>811500.0</v>
      </c>
      <c r="AS226" s="4">
        <v>478800.0</v>
      </c>
      <c r="AT226" s="4">
        <v>42.0</v>
      </c>
      <c r="AU226" s="4">
        <v>3.4083E7</v>
      </c>
      <c r="AV226" s="4">
        <v>0.02</v>
      </c>
      <c r="AW226" s="4">
        <v>681660.0</v>
      </c>
      <c r="AX226" s="4">
        <v>3.340134E7</v>
      </c>
      <c r="AY226" s="4">
        <v>1.39734E7</v>
      </c>
      <c r="AZ226" s="4">
        <v>1.942794E7</v>
      </c>
    </row>
    <row r="227" ht="15.75" customHeight="1">
      <c r="A227" s="3" t="s">
        <v>898</v>
      </c>
      <c r="B227" s="5">
        <v>42846.0</v>
      </c>
      <c r="C227" s="6">
        <f t="shared" si="1"/>
        <v>2017</v>
      </c>
      <c r="D227" s="7" t="s">
        <v>899</v>
      </c>
      <c r="E227" s="7" t="s">
        <v>307</v>
      </c>
      <c r="F227" s="7" t="s">
        <v>50</v>
      </c>
      <c r="G227" s="5" t="s">
        <v>32</v>
      </c>
      <c r="H227" s="7" t="s">
        <v>140</v>
      </c>
      <c r="I227" s="7" t="s">
        <v>34</v>
      </c>
      <c r="J227" s="7" t="s">
        <v>571</v>
      </c>
      <c r="K227" s="7" t="s">
        <v>36</v>
      </c>
      <c r="L227" s="7" t="s">
        <v>37</v>
      </c>
      <c r="M227" s="7" t="s">
        <v>38</v>
      </c>
      <c r="N227" s="5">
        <v>42846.0</v>
      </c>
      <c r="O227" s="8">
        <v>1015950.0000000001</v>
      </c>
      <c r="P227" s="8">
        <v>2478000.0</v>
      </c>
      <c r="Q227" s="8">
        <f t="shared" si="2"/>
        <v>1462050</v>
      </c>
      <c r="R227" s="8">
        <v>49.0</v>
      </c>
      <c r="S227" s="8">
        <f t="shared" si="3"/>
        <v>121422000</v>
      </c>
      <c r="T227" s="9">
        <v>0.05</v>
      </c>
      <c r="U227" s="8">
        <f t="shared" si="4"/>
        <v>6071100</v>
      </c>
      <c r="V227" s="8">
        <f t="shared" si="5"/>
        <v>115350900</v>
      </c>
      <c r="W227" s="10">
        <f t="shared" si="6"/>
        <v>49781550</v>
      </c>
      <c r="X227" s="10">
        <f t="shared" si="7"/>
        <v>65569350</v>
      </c>
      <c r="Y227" s="10"/>
      <c r="Z227" s="10"/>
      <c r="AA227" s="10"/>
      <c r="AB227" s="4" t="s">
        <v>900</v>
      </c>
      <c r="AC227" s="4" t="s">
        <v>898</v>
      </c>
      <c r="AD227" s="4">
        <v>42846.0</v>
      </c>
      <c r="AE227" s="4">
        <v>2017.0</v>
      </c>
      <c r="AF227" s="4" t="s">
        <v>899</v>
      </c>
      <c r="AG227" s="4" t="s">
        <v>307</v>
      </c>
      <c r="AH227" s="4" t="s">
        <v>50</v>
      </c>
      <c r="AI227" s="4" t="s">
        <v>32</v>
      </c>
      <c r="AJ227" s="4" t="s">
        <v>140</v>
      </c>
      <c r="AK227" s="4" t="s">
        <v>34</v>
      </c>
      <c r="AL227" s="4" t="s">
        <v>571</v>
      </c>
      <c r="AM227" s="4" t="s">
        <v>36</v>
      </c>
      <c r="AN227" s="4" t="s">
        <v>37</v>
      </c>
      <c r="AO227" s="4" t="s">
        <v>38</v>
      </c>
      <c r="AP227" s="4">
        <v>42846.0</v>
      </c>
      <c r="AQ227" s="4">
        <v>1015950.0</v>
      </c>
      <c r="AR227" s="4">
        <v>2478000.0</v>
      </c>
      <c r="AS227" s="4">
        <v>1462050.0</v>
      </c>
      <c r="AT227" s="4">
        <v>49.0</v>
      </c>
      <c r="AU227" s="4">
        <v>1.21422E8</v>
      </c>
      <c r="AV227" s="4">
        <v>0.05</v>
      </c>
      <c r="AW227" s="4">
        <v>6071100.0</v>
      </c>
      <c r="AX227" s="4">
        <v>1.153509E8</v>
      </c>
      <c r="AY227" s="4">
        <v>4.978155E7</v>
      </c>
      <c r="AZ227" s="4">
        <v>6.556935E7</v>
      </c>
    </row>
    <row r="228" ht="15.75" customHeight="1">
      <c r="A228" s="3" t="s">
        <v>901</v>
      </c>
      <c r="B228" s="5">
        <v>42846.0</v>
      </c>
      <c r="C228" s="6">
        <f t="shared" si="1"/>
        <v>2017</v>
      </c>
      <c r="D228" s="7" t="s">
        <v>902</v>
      </c>
      <c r="E228" s="7" t="s">
        <v>343</v>
      </c>
      <c r="F228" s="7" t="s">
        <v>50</v>
      </c>
      <c r="G228" s="5" t="s">
        <v>32</v>
      </c>
      <c r="H228" s="7" t="s">
        <v>344</v>
      </c>
      <c r="I228" s="7" t="s">
        <v>104</v>
      </c>
      <c r="J228" s="7" t="s">
        <v>903</v>
      </c>
      <c r="K228" s="7" t="s">
        <v>36</v>
      </c>
      <c r="L228" s="7" t="s">
        <v>45</v>
      </c>
      <c r="M228" s="7" t="s">
        <v>38</v>
      </c>
      <c r="N228" s="5">
        <v>42847.0</v>
      </c>
      <c r="O228" s="8">
        <v>34650.0</v>
      </c>
      <c r="P228" s="8">
        <v>56700.0</v>
      </c>
      <c r="Q228" s="8">
        <f t="shared" si="2"/>
        <v>22050</v>
      </c>
      <c r="R228" s="8">
        <v>47.0</v>
      </c>
      <c r="S228" s="8">
        <f t="shared" si="3"/>
        <v>2664900</v>
      </c>
      <c r="T228" s="9">
        <v>0.02</v>
      </c>
      <c r="U228" s="8">
        <f t="shared" si="4"/>
        <v>53298</v>
      </c>
      <c r="V228" s="8">
        <f t="shared" si="5"/>
        <v>2611602</v>
      </c>
      <c r="W228" s="10">
        <f t="shared" si="6"/>
        <v>1628550</v>
      </c>
      <c r="X228" s="10">
        <f t="shared" si="7"/>
        <v>983052</v>
      </c>
      <c r="Y228" s="10"/>
      <c r="Z228" s="10"/>
      <c r="AA228" s="10"/>
      <c r="AB228" s="4" t="s">
        <v>904</v>
      </c>
      <c r="AC228" s="4" t="s">
        <v>901</v>
      </c>
      <c r="AD228" s="4">
        <v>42846.0</v>
      </c>
      <c r="AE228" s="4">
        <v>2017.0</v>
      </c>
      <c r="AF228" s="4" t="s">
        <v>902</v>
      </c>
      <c r="AG228" s="4" t="s">
        <v>343</v>
      </c>
      <c r="AH228" s="4" t="s">
        <v>50</v>
      </c>
      <c r="AI228" s="4" t="s">
        <v>32</v>
      </c>
      <c r="AJ228" s="4" t="s">
        <v>344</v>
      </c>
      <c r="AK228" s="4" t="s">
        <v>104</v>
      </c>
      <c r="AL228" s="4" t="s">
        <v>903</v>
      </c>
      <c r="AM228" s="4" t="s">
        <v>36</v>
      </c>
      <c r="AN228" s="4" t="s">
        <v>45</v>
      </c>
      <c r="AO228" s="4" t="s">
        <v>38</v>
      </c>
      <c r="AP228" s="4">
        <v>42847.0</v>
      </c>
      <c r="AQ228" s="4">
        <v>34650.0</v>
      </c>
      <c r="AR228" s="4">
        <v>56700.0</v>
      </c>
      <c r="AS228" s="4">
        <v>22050.0</v>
      </c>
      <c r="AT228" s="4">
        <v>47.0</v>
      </c>
      <c r="AU228" s="4">
        <v>2664900.0</v>
      </c>
      <c r="AV228" s="4">
        <v>0.02</v>
      </c>
      <c r="AW228" s="4">
        <v>53298.0</v>
      </c>
      <c r="AX228" s="4">
        <v>2611602.0</v>
      </c>
      <c r="AY228" s="4">
        <v>1628550.0</v>
      </c>
      <c r="AZ228" s="4">
        <v>983052.0</v>
      </c>
    </row>
    <row r="229" ht="15.75" customHeight="1">
      <c r="A229" s="3" t="s">
        <v>905</v>
      </c>
      <c r="B229" s="5">
        <v>42847.0</v>
      </c>
      <c r="C229" s="6">
        <f t="shared" si="1"/>
        <v>2017</v>
      </c>
      <c r="D229" s="7" t="s">
        <v>906</v>
      </c>
      <c r="E229" s="7" t="s">
        <v>199</v>
      </c>
      <c r="F229" s="7" t="s">
        <v>50</v>
      </c>
      <c r="G229" s="5" t="s">
        <v>91</v>
      </c>
      <c r="H229" s="7" t="s">
        <v>200</v>
      </c>
      <c r="I229" s="7" t="s">
        <v>74</v>
      </c>
      <c r="J229" s="7" t="s">
        <v>254</v>
      </c>
      <c r="K229" s="7" t="s">
        <v>36</v>
      </c>
      <c r="L229" s="7" t="s">
        <v>37</v>
      </c>
      <c r="M229" s="7" t="s">
        <v>38</v>
      </c>
      <c r="N229" s="5">
        <v>42854.0</v>
      </c>
      <c r="O229" s="8">
        <v>208200.0</v>
      </c>
      <c r="P229" s="8">
        <v>335700.0</v>
      </c>
      <c r="Q229" s="8">
        <f t="shared" si="2"/>
        <v>127500</v>
      </c>
      <c r="R229" s="8">
        <v>21.0</v>
      </c>
      <c r="S229" s="8">
        <f t="shared" si="3"/>
        <v>7049700</v>
      </c>
      <c r="T229" s="9">
        <v>0.04</v>
      </c>
      <c r="U229" s="8">
        <f t="shared" si="4"/>
        <v>281988</v>
      </c>
      <c r="V229" s="8">
        <f t="shared" si="5"/>
        <v>6767712</v>
      </c>
      <c r="W229" s="10">
        <f t="shared" si="6"/>
        <v>4372200</v>
      </c>
      <c r="X229" s="10">
        <f t="shared" si="7"/>
        <v>2395512</v>
      </c>
      <c r="Y229" s="10"/>
      <c r="Z229" s="10"/>
      <c r="AA229" s="10"/>
      <c r="AB229" s="4" t="s">
        <v>907</v>
      </c>
      <c r="AC229" s="4" t="s">
        <v>905</v>
      </c>
      <c r="AD229" s="4">
        <v>42847.0</v>
      </c>
      <c r="AE229" s="4">
        <v>2017.0</v>
      </c>
      <c r="AF229" s="4" t="s">
        <v>906</v>
      </c>
      <c r="AG229" s="4" t="s">
        <v>199</v>
      </c>
      <c r="AH229" s="4" t="s">
        <v>50</v>
      </c>
      <c r="AI229" s="4" t="s">
        <v>91</v>
      </c>
      <c r="AJ229" s="4" t="s">
        <v>200</v>
      </c>
      <c r="AK229" s="4" t="s">
        <v>74</v>
      </c>
      <c r="AL229" s="4" t="s">
        <v>254</v>
      </c>
      <c r="AM229" s="4" t="s">
        <v>36</v>
      </c>
      <c r="AN229" s="4" t="s">
        <v>37</v>
      </c>
      <c r="AO229" s="4" t="s">
        <v>38</v>
      </c>
      <c r="AP229" s="4">
        <v>42854.0</v>
      </c>
      <c r="AQ229" s="4">
        <v>208200.0</v>
      </c>
      <c r="AR229" s="4">
        <v>335700.0</v>
      </c>
      <c r="AS229" s="4">
        <v>127500.0</v>
      </c>
      <c r="AT229" s="4">
        <v>21.0</v>
      </c>
      <c r="AU229" s="4">
        <v>7049700.0</v>
      </c>
      <c r="AV229" s="4">
        <v>0.04</v>
      </c>
      <c r="AW229" s="4">
        <v>281988.0</v>
      </c>
      <c r="AX229" s="4">
        <v>6767712.0</v>
      </c>
      <c r="AY229" s="4">
        <v>4372200.0</v>
      </c>
      <c r="AZ229" s="4">
        <v>2395512.0</v>
      </c>
    </row>
    <row r="230" ht="15.75" customHeight="1">
      <c r="A230" s="3" t="s">
        <v>908</v>
      </c>
      <c r="B230" s="5">
        <v>42847.0</v>
      </c>
      <c r="C230" s="6">
        <f t="shared" si="1"/>
        <v>2017</v>
      </c>
      <c r="D230" s="7" t="s">
        <v>118</v>
      </c>
      <c r="E230" s="7" t="s">
        <v>119</v>
      </c>
      <c r="F230" s="7" t="s">
        <v>31</v>
      </c>
      <c r="G230" s="5" t="s">
        <v>51</v>
      </c>
      <c r="H230" s="7" t="s">
        <v>33</v>
      </c>
      <c r="I230" s="7" t="s">
        <v>74</v>
      </c>
      <c r="J230" s="7" t="s">
        <v>141</v>
      </c>
      <c r="K230" s="7" t="s">
        <v>36</v>
      </c>
      <c r="L230" s="7" t="s">
        <v>45</v>
      </c>
      <c r="M230" s="7" t="s">
        <v>38</v>
      </c>
      <c r="N230" s="5">
        <v>42851.0</v>
      </c>
      <c r="O230" s="8">
        <v>19500.0</v>
      </c>
      <c r="P230" s="8">
        <v>43200.0</v>
      </c>
      <c r="Q230" s="8">
        <f t="shared" si="2"/>
        <v>23700</v>
      </c>
      <c r="R230" s="8">
        <v>46.0</v>
      </c>
      <c r="S230" s="8">
        <f t="shared" si="3"/>
        <v>1987200</v>
      </c>
      <c r="T230" s="9">
        <v>0.04</v>
      </c>
      <c r="U230" s="8">
        <f t="shared" si="4"/>
        <v>79488</v>
      </c>
      <c r="V230" s="8">
        <f t="shared" si="5"/>
        <v>1907712</v>
      </c>
      <c r="W230" s="10">
        <f t="shared" si="6"/>
        <v>897000</v>
      </c>
      <c r="X230" s="10">
        <f t="shared" si="7"/>
        <v>1010712</v>
      </c>
      <c r="Y230" s="10"/>
      <c r="Z230" s="10"/>
      <c r="AA230" s="10"/>
      <c r="AB230" s="4" t="s">
        <v>909</v>
      </c>
      <c r="AC230" s="4" t="s">
        <v>908</v>
      </c>
      <c r="AD230" s="4">
        <v>42847.0</v>
      </c>
      <c r="AE230" s="4">
        <v>2017.0</v>
      </c>
      <c r="AF230" s="4" t="s">
        <v>118</v>
      </c>
      <c r="AG230" s="4" t="s">
        <v>119</v>
      </c>
      <c r="AH230" s="4" t="s">
        <v>31</v>
      </c>
      <c r="AI230" s="4" t="s">
        <v>51</v>
      </c>
      <c r="AJ230" s="4" t="s">
        <v>33</v>
      </c>
      <c r="AK230" s="4" t="s">
        <v>74</v>
      </c>
      <c r="AL230" s="4" t="s">
        <v>141</v>
      </c>
      <c r="AM230" s="4" t="s">
        <v>36</v>
      </c>
      <c r="AN230" s="4" t="s">
        <v>45</v>
      </c>
      <c r="AO230" s="4" t="s">
        <v>38</v>
      </c>
      <c r="AP230" s="4">
        <v>42851.0</v>
      </c>
      <c r="AQ230" s="4">
        <v>19500.0</v>
      </c>
      <c r="AR230" s="4">
        <v>43200.0</v>
      </c>
      <c r="AS230" s="4">
        <v>23700.0</v>
      </c>
      <c r="AT230" s="4">
        <v>46.0</v>
      </c>
      <c r="AU230" s="4">
        <v>1987200.0</v>
      </c>
      <c r="AV230" s="4">
        <v>0.04</v>
      </c>
      <c r="AW230" s="4">
        <v>79488.0</v>
      </c>
      <c r="AX230" s="4">
        <v>1907712.0</v>
      </c>
      <c r="AY230" s="4">
        <v>897000.0</v>
      </c>
      <c r="AZ230" s="4">
        <v>1010712.0</v>
      </c>
    </row>
    <row r="231" ht="15.75" customHeight="1">
      <c r="A231" s="3" t="s">
        <v>910</v>
      </c>
      <c r="B231" s="5">
        <v>42849.0</v>
      </c>
      <c r="C231" s="6">
        <f t="shared" si="1"/>
        <v>2017</v>
      </c>
      <c r="D231" s="7" t="s">
        <v>911</v>
      </c>
      <c r="E231" s="7" t="s">
        <v>364</v>
      </c>
      <c r="F231" s="7" t="s">
        <v>50</v>
      </c>
      <c r="G231" s="5" t="s">
        <v>32</v>
      </c>
      <c r="H231" s="7" t="s">
        <v>151</v>
      </c>
      <c r="I231" s="7" t="s">
        <v>104</v>
      </c>
      <c r="J231" s="7" t="s">
        <v>399</v>
      </c>
      <c r="K231" s="7" t="s">
        <v>36</v>
      </c>
      <c r="L231" s="7" t="s">
        <v>37</v>
      </c>
      <c r="M231" s="7" t="s">
        <v>55</v>
      </c>
      <c r="N231" s="5">
        <v>42849.0</v>
      </c>
      <c r="O231" s="8">
        <v>51000.0</v>
      </c>
      <c r="P231" s="8">
        <v>81000.0</v>
      </c>
      <c r="Q231" s="8">
        <f t="shared" si="2"/>
        <v>30000</v>
      </c>
      <c r="R231" s="8">
        <v>9.0</v>
      </c>
      <c r="S231" s="8">
        <f t="shared" si="3"/>
        <v>729000</v>
      </c>
      <c r="T231" s="9">
        <v>0.09</v>
      </c>
      <c r="U231" s="8">
        <f t="shared" si="4"/>
        <v>65610</v>
      </c>
      <c r="V231" s="8">
        <f t="shared" si="5"/>
        <v>663390</v>
      </c>
      <c r="W231" s="10">
        <f t="shared" si="6"/>
        <v>459000</v>
      </c>
      <c r="X231" s="10">
        <f t="shared" si="7"/>
        <v>204390</v>
      </c>
      <c r="Y231" s="10"/>
      <c r="Z231" s="10"/>
      <c r="AA231" s="10"/>
      <c r="AB231" s="4" t="s">
        <v>912</v>
      </c>
      <c r="AC231" s="4" t="s">
        <v>910</v>
      </c>
      <c r="AD231" s="4">
        <v>42849.0</v>
      </c>
      <c r="AE231" s="4">
        <v>2017.0</v>
      </c>
      <c r="AF231" s="4" t="s">
        <v>911</v>
      </c>
      <c r="AG231" s="4" t="s">
        <v>364</v>
      </c>
      <c r="AH231" s="4" t="s">
        <v>50</v>
      </c>
      <c r="AI231" s="4" t="s">
        <v>32</v>
      </c>
      <c r="AJ231" s="4" t="s">
        <v>151</v>
      </c>
      <c r="AK231" s="4" t="s">
        <v>104</v>
      </c>
      <c r="AL231" s="4" t="s">
        <v>399</v>
      </c>
      <c r="AM231" s="4" t="s">
        <v>36</v>
      </c>
      <c r="AN231" s="4" t="s">
        <v>37</v>
      </c>
      <c r="AO231" s="4" t="s">
        <v>55</v>
      </c>
      <c r="AP231" s="4">
        <v>42849.0</v>
      </c>
      <c r="AQ231" s="4">
        <v>51000.0</v>
      </c>
      <c r="AR231" s="4">
        <v>81000.0</v>
      </c>
      <c r="AS231" s="4">
        <v>30000.0</v>
      </c>
      <c r="AT231" s="4">
        <v>9.0</v>
      </c>
      <c r="AU231" s="4">
        <v>729000.0</v>
      </c>
      <c r="AV231" s="4">
        <v>0.09</v>
      </c>
      <c r="AW231" s="4">
        <v>65610.0</v>
      </c>
      <c r="AX231" s="4">
        <v>663390.0</v>
      </c>
      <c r="AY231" s="4">
        <v>459000.0</v>
      </c>
      <c r="AZ231" s="4">
        <v>204390.0</v>
      </c>
    </row>
    <row r="232" ht="15.75" customHeight="1">
      <c r="A232" s="3" t="s">
        <v>913</v>
      </c>
      <c r="B232" s="5">
        <v>42849.0</v>
      </c>
      <c r="C232" s="6">
        <f t="shared" si="1"/>
        <v>2017</v>
      </c>
      <c r="D232" s="7" t="s">
        <v>911</v>
      </c>
      <c r="E232" s="7" t="s">
        <v>364</v>
      </c>
      <c r="F232" s="7" t="s">
        <v>50</v>
      </c>
      <c r="G232" s="5" t="s">
        <v>32</v>
      </c>
      <c r="H232" s="7" t="s">
        <v>151</v>
      </c>
      <c r="I232" s="7" t="s">
        <v>104</v>
      </c>
      <c r="J232" s="7" t="s">
        <v>165</v>
      </c>
      <c r="K232" s="7" t="s">
        <v>36</v>
      </c>
      <c r="L232" s="7" t="s">
        <v>127</v>
      </c>
      <c r="M232" s="7" t="s">
        <v>38</v>
      </c>
      <c r="N232" s="5">
        <v>42850.0</v>
      </c>
      <c r="O232" s="8">
        <v>14100.0</v>
      </c>
      <c r="P232" s="8">
        <v>31200.0</v>
      </c>
      <c r="Q232" s="8">
        <f t="shared" si="2"/>
        <v>17100</v>
      </c>
      <c r="R232" s="8">
        <v>43.0</v>
      </c>
      <c r="S232" s="8">
        <f t="shared" si="3"/>
        <v>1341600</v>
      </c>
      <c r="T232" s="9">
        <v>0.05</v>
      </c>
      <c r="U232" s="8">
        <f t="shared" si="4"/>
        <v>67080</v>
      </c>
      <c r="V232" s="8">
        <f t="shared" si="5"/>
        <v>1274520</v>
      </c>
      <c r="W232" s="10">
        <f t="shared" si="6"/>
        <v>606300</v>
      </c>
      <c r="X232" s="10">
        <f t="shared" si="7"/>
        <v>668220</v>
      </c>
      <c r="Y232" s="10"/>
      <c r="Z232" s="10"/>
      <c r="AA232" s="10"/>
      <c r="AB232" s="4" t="s">
        <v>914</v>
      </c>
      <c r="AC232" s="4" t="s">
        <v>913</v>
      </c>
      <c r="AD232" s="4">
        <v>42849.0</v>
      </c>
      <c r="AE232" s="4">
        <v>2017.0</v>
      </c>
      <c r="AF232" s="4" t="s">
        <v>911</v>
      </c>
      <c r="AG232" s="4" t="s">
        <v>364</v>
      </c>
      <c r="AH232" s="4" t="s">
        <v>50</v>
      </c>
      <c r="AI232" s="4" t="s">
        <v>32</v>
      </c>
      <c r="AJ232" s="4" t="s">
        <v>151</v>
      </c>
      <c r="AK232" s="4" t="s">
        <v>104</v>
      </c>
      <c r="AL232" s="4" t="s">
        <v>165</v>
      </c>
      <c r="AM232" s="4" t="s">
        <v>36</v>
      </c>
      <c r="AN232" s="4" t="s">
        <v>127</v>
      </c>
      <c r="AO232" s="4" t="s">
        <v>38</v>
      </c>
      <c r="AP232" s="4">
        <v>42850.0</v>
      </c>
      <c r="AQ232" s="4">
        <v>14100.0</v>
      </c>
      <c r="AR232" s="4">
        <v>31200.0</v>
      </c>
      <c r="AS232" s="4">
        <v>17100.0</v>
      </c>
      <c r="AT232" s="4">
        <v>43.0</v>
      </c>
      <c r="AU232" s="4">
        <v>1341600.0</v>
      </c>
      <c r="AV232" s="4">
        <v>0.05</v>
      </c>
      <c r="AW232" s="4">
        <v>67080.0</v>
      </c>
      <c r="AX232" s="4">
        <v>1274520.0</v>
      </c>
      <c r="AY232" s="4">
        <v>606300.0</v>
      </c>
      <c r="AZ232" s="4">
        <v>668220.0</v>
      </c>
    </row>
    <row r="233" ht="15.75" customHeight="1">
      <c r="A233" s="3" t="s">
        <v>915</v>
      </c>
      <c r="B233" s="5">
        <v>42849.0</v>
      </c>
      <c r="C233" s="6">
        <f t="shared" si="1"/>
        <v>2017</v>
      </c>
      <c r="D233" s="7" t="s">
        <v>515</v>
      </c>
      <c r="E233" s="7" t="s">
        <v>384</v>
      </c>
      <c r="F233" s="7" t="s">
        <v>31</v>
      </c>
      <c r="G233" s="5" t="s">
        <v>91</v>
      </c>
      <c r="H233" s="7" t="s">
        <v>43</v>
      </c>
      <c r="I233" s="7" t="s">
        <v>92</v>
      </c>
      <c r="J233" s="7" t="s">
        <v>584</v>
      </c>
      <c r="K233" s="7" t="s">
        <v>278</v>
      </c>
      <c r="L233" s="7" t="s">
        <v>555</v>
      </c>
      <c r="M233" s="7" t="s">
        <v>55</v>
      </c>
      <c r="N233" s="5">
        <v>42850.0</v>
      </c>
      <c r="O233" s="8">
        <v>842400.0</v>
      </c>
      <c r="P233" s="8">
        <v>2054699.9999999998</v>
      </c>
      <c r="Q233" s="8">
        <f t="shared" si="2"/>
        <v>1212300</v>
      </c>
      <c r="R233" s="8">
        <v>18.0</v>
      </c>
      <c r="S233" s="8">
        <f t="shared" si="3"/>
        <v>36984600</v>
      </c>
      <c r="T233" s="9">
        <v>0.02</v>
      </c>
      <c r="U233" s="8">
        <f t="shared" si="4"/>
        <v>739692</v>
      </c>
      <c r="V233" s="8">
        <f t="shared" si="5"/>
        <v>36244908</v>
      </c>
      <c r="W233" s="10">
        <f t="shared" si="6"/>
        <v>15163200</v>
      </c>
      <c r="X233" s="10">
        <f t="shared" si="7"/>
        <v>21081708</v>
      </c>
      <c r="Y233" s="10"/>
      <c r="Z233" s="10"/>
      <c r="AA233" s="10"/>
      <c r="AB233" s="4" t="s">
        <v>916</v>
      </c>
      <c r="AC233" s="4" t="s">
        <v>915</v>
      </c>
      <c r="AD233" s="4">
        <v>42849.0</v>
      </c>
      <c r="AE233" s="4">
        <v>2017.0</v>
      </c>
      <c r="AF233" s="4" t="s">
        <v>515</v>
      </c>
      <c r="AG233" s="4" t="s">
        <v>384</v>
      </c>
      <c r="AH233" s="4" t="s">
        <v>31</v>
      </c>
      <c r="AI233" s="4" t="s">
        <v>91</v>
      </c>
      <c r="AJ233" s="4" t="s">
        <v>43</v>
      </c>
      <c r="AK233" s="4" t="s">
        <v>92</v>
      </c>
      <c r="AL233" s="4" t="s">
        <v>584</v>
      </c>
      <c r="AM233" s="4" t="s">
        <v>278</v>
      </c>
      <c r="AN233" s="4" t="s">
        <v>555</v>
      </c>
      <c r="AO233" s="4" t="s">
        <v>55</v>
      </c>
      <c r="AP233" s="4">
        <v>42850.0</v>
      </c>
      <c r="AQ233" s="4">
        <v>842400.0</v>
      </c>
      <c r="AR233" s="4">
        <v>2054700.0</v>
      </c>
      <c r="AS233" s="4">
        <v>1212300.0</v>
      </c>
      <c r="AT233" s="4">
        <v>18.0</v>
      </c>
      <c r="AU233" s="4">
        <v>3.69846E7</v>
      </c>
      <c r="AV233" s="4">
        <v>0.02</v>
      </c>
      <c r="AW233" s="4">
        <v>739692.0</v>
      </c>
      <c r="AX233" s="4">
        <v>3.6244908E7</v>
      </c>
      <c r="AY233" s="4">
        <v>1.51632E7</v>
      </c>
      <c r="AZ233" s="4">
        <v>2.1081708E7</v>
      </c>
    </row>
    <row r="234" ht="15.75" customHeight="1">
      <c r="A234" s="3" t="s">
        <v>917</v>
      </c>
      <c r="B234" s="5">
        <v>42852.0</v>
      </c>
      <c r="C234" s="6">
        <f t="shared" si="1"/>
        <v>2017</v>
      </c>
      <c r="D234" s="7" t="s">
        <v>918</v>
      </c>
      <c r="E234" s="7" t="s">
        <v>919</v>
      </c>
      <c r="F234" s="7" t="s">
        <v>31</v>
      </c>
      <c r="G234" s="5" t="s">
        <v>32</v>
      </c>
      <c r="H234" s="7" t="s">
        <v>43</v>
      </c>
      <c r="I234" s="7" t="s">
        <v>74</v>
      </c>
      <c r="J234" s="7" t="s">
        <v>445</v>
      </c>
      <c r="K234" s="7" t="s">
        <v>36</v>
      </c>
      <c r="L234" s="7" t="s">
        <v>37</v>
      </c>
      <c r="M234" s="7" t="s">
        <v>38</v>
      </c>
      <c r="N234" s="5">
        <v>42857.0</v>
      </c>
      <c r="O234" s="8">
        <v>323400.0</v>
      </c>
      <c r="P234" s="8">
        <v>539100.0</v>
      </c>
      <c r="Q234" s="8">
        <f t="shared" si="2"/>
        <v>215700</v>
      </c>
      <c r="R234" s="8">
        <v>13.0</v>
      </c>
      <c r="S234" s="8">
        <f t="shared" si="3"/>
        <v>7008300</v>
      </c>
      <c r="T234" s="9">
        <v>0.09</v>
      </c>
      <c r="U234" s="8">
        <f t="shared" si="4"/>
        <v>630747</v>
      </c>
      <c r="V234" s="8">
        <f t="shared" si="5"/>
        <v>6377553</v>
      </c>
      <c r="W234" s="10">
        <f t="shared" si="6"/>
        <v>4204200</v>
      </c>
      <c r="X234" s="10">
        <f t="shared" si="7"/>
        <v>2173353</v>
      </c>
      <c r="Y234" s="10"/>
      <c r="Z234" s="10"/>
      <c r="AA234" s="10"/>
      <c r="AB234" s="4" t="s">
        <v>920</v>
      </c>
      <c r="AC234" s="4" t="s">
        <v>917</v>
      </c>
      <c r="AD234" s="4">
        <v>42852.0</v>
      </c>
      <c r="AE234" s="4">
        <v>2017.0</v>
      </c>
      <c r="AF234" s="4" t="s">
        <v>918</v>
      </c>
      <c r="AG234" s="4" t="s">
        <v>919</v>
      </c>
      <c r="AH234" s="4" t="s">
        <v>31</v>
      </c>
      <c r="AI234" s="4" t="s">
        <v>32</v>
      </c>
      <c r="AJ234" s="4" t="s">
        <v>43</v>
      </c>
      <c r="AK234" s="4" t="s">
        <v>74</v>
      </c>
      <c r="AL234" s="4" t="s">
        <v>445</v>
      </c>
      <c r="AM234" s="4" t="s">
        <v>36</v>
      </c>
      <c r="AN234" s="4" t="s">
        <v>37</v>
      </c>
      <c r="AO234" s="4" t="s">
        <v>38</v>
      </c>
      <c r="AP234" s="4">
        <v>42857.0</v>
      </c>
      <c r="AQ234" s="4">
        <v>323400.0</v>
      </c>
      <c r="AR234" s="4">
        <v>539100.0</v>
      </c>
      <c r="AS234" s="4">
        <v>215700.0</v>
      </c>
      <c r="AT234" s="4">
        <v>13.0</v>
      </c>
      <c r="AU234" s="4">
        <v>7008300.0</v>
      </c>
      <c r="AV234" s="4">
        <v>0.09</v>
      </c>
      <c r="AW234" s="4">
        <v>630747.0</v>
      </c>
      <c r="AX234" s="4">
        <v>6377553.0</v>
      </c>
      <c r="AY234" s="4">
        <v>4204200.0</v>
      </c>
      <c r="AZ234" s="4">
        <v>2173353.0</v>
      </c>
    </row>
    <row r="235" ht="15.75" customHeight="1">
      <c r="A235" s="3" t="s">
        <v>921</v>
      </c>
      <c r="B235" s="5">
        <v>42853.0</v>
      </c>
      <c r="C235" s="6">
        <f t="shared" si="1"/>
        <v>2017</v>
      </c>
      <c r="D235" s="7" t="s">
        <v>922</v>
      </c>
      <c r="E235" s="7" t="s">
        <v>923</v>
      </c>
      <c r="F235" s="7" t="s">
        <v>50</v>
      </c>
      <c r="G235" s="5" t="s">
        <v>68</v>
      </c>
      <c r="H235" s="7" t="s">
        <v>52</v>
      </c>
      <c r="I235" s="7" t="s">
        <v>92</v>
      </c>
      <c r="J235" s="7" t="s">
        <v>399</v>
      </c>
      <c r="K235" s="7" t="s">
        <v>36</v>
      </c>
      <c r="L235" s="7" t="s">
        <v>37</v>
      </c>
      <c r="M235" s="7" t="s">
        <v>55</v>
      </c>
      <c r="N235" s="5">
        <v>42855.0</v>
      </c>
      <c r="O235" s="8">
        <v>51000.0</v>
      </c>
      <c r="P235" s="8">
        <v>81000.0</v>
      </c>
      <c r="Q235" s="8">
        <f t="shared" si="2"/>
        <v>30000</v>
      </c>
      <c r="R235" s="8">
        <v>14.0</v>
      </c>
      <c r="S235" s="8">
        <f t="shared" si="3"/>
        <v>1134000</v>
      </c>
      <c r="T235" s="9">
        <v>0.09</v>
      </c>
      <c r="U235" s="8">
        <f t="shared" si="4"/>
        <v>102060</v>
      </c>
      <c r="V235" s="8">
        <f t="shared" si="5"/>
        <v>1031940</v>
      </c>
      <c r="W235" s="10">
        <f t="shared" si="6"/>
        <v>714000</v>
      </c>
      <c r="X235" s="10">
        <f t="shared" si="7"/>
        <v>317940</v>
      </c>
      <c r="Y235" s="10"/>
      <c r="Z235" s="10"/>
      <c r="AA235" s="10"/>
      <c r="AB235" s="4" t="s">
        <v>924</v>
      </c>
      <c r="AC235" s="4" t="s">
        <v>921</v>
      </c>
      <c r="AD235" s="4">
        <v>42853.0</v>
      </c>
      <c r="AE235" s="4">
        <v>2017.0</v>
      </c>
      <c r="AF235" s="4" t="s">
        <v>922</v>
      </c>
      <c r="AG235" s="4" t="s">
        <v>923</v>
      </c>
      <c r="AH235" s="4" t="s">
        <v>50</v>
      </c>
      <c r="AI235" s="4" t="s">
        <v>68</v>
      </c>
      <c r="AJ235" s="4" t="s">
        <v>52</v>
      </c>
      <c r="AK235" s="4" t="s">
        <v>92</v>
      </c>
      <c r="AL235" s="4" t="s">
        <v>399</v>
      </c>
      <c r="AM235" s="4" t="s">
        <v>36</v>
      </c>
      <c r="AN235" s="4" t="s">
        <v>37</v>
      </c>
      <c r="AO235" s="4" t="s">
        <v>55</v>
      </c>
      <c r="AP235" s="4">
        <v>42855.0</v>
      </c>
      <c r="AQ235" s="4">
        <v>51000.0</v>
      </c>
      <c r="AR235" s="4">
        <v>81000.0</v>
      </c>
      <c r="AS235" s="4">
        <v>30000.0</v>
      </c>
      <c r="AT235" s="4">
        <v>14.0</v>
      </c>
      <c r="AU235" s="4">
        <v>1134000.0</v>
      </c>
      <c r="AV235" s="4">
        <v>0.09</v>
      </c>
      <c r="AW235" s="4">
        <v>102060.0</v>
      </c>
      <c r="AX235" s="4">
        <v>1031940.0</v>
      </c>
      <c r="AY235" s="4">
        <v>714000.0</v>
      </c>
      <c r="AZ235" s="4">
        <v>317940.0</v>
      </c>
    </row>
    <row r="236" ht="15.75" customHeight="1">
      <c r="A236" s="3" t="s">
        <v>925</v>
      </c>
      <c r="B236" s="5">
        <v>42853.0</v>
      </c>
      <c r="C236" s="6">
        <f t="shared" si="1"/>
        <v>2017</v>
      </c>
      <c r="D236" s="7" t="s">
        <v>660</v>
      </c>
      <c r="E236" s="7" t="s">
        <v>49</v>
      </c>
      <c r="F236" s="7" t="s">
        <v>50</v>
      </c>
      <c r="G236" s="5" t="s">
        <v>32</v>
      </c>
      <c r="H236" s="7" t="s">
        <v>52</v>
      </c>
      <c r="I236" s="7" t="s">
        <v>92</v>
      </c>
      <c r="J236" s="7" t="s">
        <v>512</v>
      </c>
      <c r="K236" s="7" t="s">
        <v>36</v>
      </c>
      <c r="L236" s="7" t="s">
        <v>45</v>
      </c>
      <c r="M236" s="7" t="s">
        <v>38</v>
      </c>
      <c r="N236" s="5">
        <v>42856.0</v>
      </c>
      <c r="O236" s="8">
        <v>29250.0</v>
      </c>
      <c r="P236" s="8">
        <v>59700.0</v>
      </c>
      <c r="Q236" s="8">
        <f t="shared" si="2"/>
        <v>30450</v>
      </c>
      <c r="R236" s="8">
        <v>41.0</v>
      </c>
      <c r="S236" s="8">
        <f t="shared" si="3"/>
        <v>2447700</v>
      </c>
      <c r="T236" s="9">
        <v>0.07</v>
      </c>
      <c r="U236" s="8">
        <f t="shared" si="4"/>
        <v>171339</v>
      </c>
      <c r="V236" s="8">
        <f t="shared" si="5"/>
        <v>2276361</v>
      </c>
      <c r="W236" s="10">
        <f t="shared" si="6"/>
        <v>1199250</v>
      </c>
      <c r="X236" s="10">
        <f t="shared" si="7"/>
        <v>1077111</v>
      </c>
      <c r="Y236" s="10"/>
      <c r="Z236" s="10"/>
      <c r="AA236" s="10"/>
      <c r="AB236" s="4" t="s">
        <v>926</v>
      </c>
      <c r="AC236" s="4" t="s">
        <v>925</v>
      </c>
      <c r="AD236" s="4">
        <v>42853.0</v>
      </c>
      <c r="AE236" s="4">
        <v>2017.0</v>
      </c>
      <c r="AF236" s="4" t="s">
        <v>660</v>
      </c>
      <c r="AG236" s="4" t="s">
        <v>49</v>
      </c>
      <c r="AH236" s="4" t="s">
        <v>50</v>
      </c>
      <c r="AI236" s="4" t="s">
        <v>32</v>
      </c>
      <c r="AJ236" s="4" t="s">
        <v>52</v>
      </c>
      <c r="AK236" s="4" t="s">
        <v>92</v>
      </c>
      <c r="AL236" s="4" t="s">
        <v>512</v>
      </c>
      <c r="AM236" s="4" t="s">
        <v>36</v>
      </c>
      <c r="AN236" s="4" t="s">
        <v>45</v>
      </c>
      <c r="AO236" s="4" t="s">
        <v>38</v>
      </c>
      <c r="AP236" s="4">
        <v>42856.0</v>
      </c>
      <c r="AQ236" s="4">
        <v>29250.0</v>
      </c>
      <c r="AR236" s="4">
        <v>59700.0</v>
      </c>
      <c r="AS236" s="4">
        <v>30450.0</v>
      </c>
      <c r="AT236" s="4">
        <v>41.0</v>
      </c>
      <c r="AU236" s="4">
        <v>2447700.0</v>
      </c>
      <c r="AV236" s="4">
        <v>0.07</v>
      </c>
      <c r="AW236" s="4">
        <v>171339.0</v>
      </c>
      <c r="AX236" s="4">
        <v>2276361.0</v>
      </c>
      <c r="AY236" s="4">
        <v>1199250.0</v>
      </c>
      <c r="AZ236" s="4">
        <v>1077111.0</v>
      </c>
    </row>
    <row r="237" ht="15.75" customHeight="1">
      <c r="A237" s="3" t="s">
        <v>927</v>
      </c>
      <c r="B237" s="5">
        <v>42854.0</v>
      </c>
      <c r="C237" s="6">
        <f t="shared" si="1"/>
        <v>2017</v>
      </c>
      <c r="D237" s="7" t="s">
        <v>402</v>
      </c>
      <c r="E237" s="7" t="s">
        <v>403</v>
      </c>
      <c r="F237" s="7" t="s">
        <v>289</v>
      </c>
      <c r="G237" s="5" t="s">
        <v>51</v>
      </c>
      <c r="H237" s="7" t="s">
        <v>140</v>
      </c>
      <c r="I237" s="7" t="s">
        <v>104</v>
      </c>
      <c r="J237" s="7" t="s">
        <v>595</v>
      </c>
      <c r="K237" s="7" t="s">
        <v>36</v>
      </c>
      <c r="L237" s="7" t="s">
        <v>127</v>
      </c>
      <c r="M237" s="7" t="s">
        <v>55</v>
      </c>
      <c r="N237" s="5">
        <v>42856.0</v>
      </c>
      <c r="O237" s="8">
        <v>77850.0</v>
      </c>
      <c r="P237" s="8">
        <v>194700.0</v>
      </c>
      <c r="Q237" s="8">
        <f t="shared" si="2"/>
        <v>116850</v>
      </c>
      <c r="R237" s="8">
        <v>34.0</v>
      </c>
      <c r="S237" s="8">
        <f t="shared" si="3"/>
        <v>6619800</v>
      </c>
      <c r="T237" s="9">
        <v>0.04</v>
      </c>
      <c r="U237" s="8">
        <f t="shared" si="4"/>
        <v>264792</v>
      </c>
      <c r="V237" s="8">
        <f t="shared" si="5"/>
        <v>6355008</v>
      </c>
      <c r="W237" s="10">
        <f t="shared" si="6"/>
        <v>2646900</v>
      </c>
      <c r="X237" s="10">
        <f t="shared" si="7"/>
        <v>3708108</v>
      </c>
      <c r="Y237" s="10"/>
      <c r="Z237" s="10"/>
      <c r="AA237" s="10"/>
      <c r="AB237" s="4" t="s">
        <v>928</v>
      </c>
      <c r="AC237" s="4" t="s">
        <v>927</v>
      </c>
      <c r="AD237" s="4">
        <v>42854.0</v>
      </c>
      <c r="AE237" s="4">
        <v>2017.0</v>
      </c>
      <c r="AF237" s="4" t="s">
        <v>402</v>
      </c>
      <c r="AG237" s="4" t="s">
        <v>403</v>
      </c>
      <c r="AH237" s="4" t="s">
        <v>289</v>
      </c>
      <c r="AI237" s="4" t="s">
        <v>51</v>
      </c>
      <c r="AJ237" s="4" t="s">
        <v>140</v>
      </c>
      <c r="AK237" s="4" t="s">
        <v>104</v>
      </c>
      <c r="AL237" s="4" t="s">
        <v>595</v>
      </c>
      <c r="AM237" s="4" t="s">
        <v>36</v>
      </c>
      <c r="AN237" s="4" t="s">
        <v>127</v>
      </c>
      <c r="AO237" s="4" t="s">
        <v>55</v>
      </c>
      <c r="AP237" s="4">
        <v>42856.0</v>
      </c>
      <c r="AQ237" s="4">
        <v>77850.0</v>
      </c>
      <c r="AR237" s="4">
        <v>194700.0</v>
      </c>
      <c r="AS237" s="4">
        <v>116850.0</v>
      </c>
      <c r="AT237" s="4">
        <v>34.0</v>
      </c>
      <c r="AU237" s="4">
        <v>6619800.0</v>
      </c>
      <c r="AV237" s="4">
        <v>0.04</v>
      </c>
      <c r="AW237" s="4">
        <v>264792.0</v>
      </c>
      <c r="AX237" s="4">
        <v>6355008.0</v>
      </c>
      <c r="AY237" s="4">
        <v>2646900.0</v>
      </c>
      <c r="AZ237" s="4">
        <v>3708108.0</v>
      </c>
    </row>
    <row r="238" ht="15.75" customHeight="1">
      <c r="A238" s="3" t="s">
        <v>929</v>
      </c>
      <c r="B238" s="5">
        <v>42854.0</v>
      </c>
      <c r="C238" s="6">
        <f t="shared" si="1"/>
        <v>2017</v>
      </c>
      <c r="D238" s="7" t="s">
        <v>930</v>
      </c>
      <c r="E238" s="7" t="s">
        <v>355</v>
      </c>
      <c r="F238" s="7" t="s">
        <v>50</v>
      </c>
      <c r="G238" s="5" t="s">
        <v>32</v>
      </c>
      <c r="H238" s="7" t="s">
        <v>69</v>
      </c>
      <c r="I238" s="7" t="s">
        <v>104</v>
      </c>
      <c r="J238" s="7" t="s">
        <v>931</v>
      </c>
      <c r="K238" s="7" t="s">
        <v>61</v>
      </c>
      <c r="L238" s="7" t="s">
        <v>62</v>
      </c>
      <c r="M238" s="7" t="s">
        <v>63</v>
      </c>
      <c r="N238" s="5">
        <v>42856.0</v>
      </c>
      <c r="O238" s="8">
        <v>3294150.0</v>
      </c>
      <c r="P238" s="8">
        <v>8034600.0</v>
      </c>
      <c r="Q238" s="8">
        <f t="shared" si="2"/>
        <v>4740450</v>
      </c>
      <c r="R238" s="8">
        <v>1.0</v>
      </c>
      <c r="S238" s="8">
        <f t="shared" si="3"/>
        <v>8034600</v>
      </c>
      <c r="T238" s="9">
        <v>0.05</v>
      </c>
      <c r="U238" s="8">
        <f t="shared" si="4"/>
        <v>401730</v>
      </c>
      <c r="V238" s="8">
        <f t="shared" si="5"/>
        <v>7632870</v>
      </c>
      <c r="W238" s="10">
        <f t="shared" si="6"/>
        <v>3294150</v>
      </c>
      <c r="X238" s="10">
        <f t="shared" si="7"/>
        <v>4338720</v>
      </c>
      <c r="Y238" s="10"/>
      <c r="Z238" s="10"/>
      <c r="AA238" s="10"/>
      <c r="AB238" s="4" t="s">
        <v>932</v>
      </c>
      <c r="AC238" s="4" t="s">
        <v>929</v>
      </c>
      <c r="AD238" s="4">
        <v>42854.0</v>
      </c>
      <c r="AE238" s="4">
        <v>2017.0</v>
      </c>
      <c r="AF238" s="4" t="s">
        <v>930</v>
      </c>
      <c r="AG238" s="4" t="s">
        <v>355</v>
      </c>
      <c r="AH238" s="4" t="s">
        <v>50</v>
      </c>
      <c r="AI238" s="4" t="s">
        <v>32</v>
      </c>
      <c r="AJ238" s="4" t="s">
        <v>69</v>
      </c>
      <c r="AK238" s="4" t="s">
        <v>104</v>
      </c>
      <c r="AL238" s="4" t="s">
        <v>931</v>
      </c>
      <c r="AM238" s="4" t="s">
        <v>61</v>
      </c>
      <c r="AN238" s="4" t="s">
        <v>62</v>
      </c>
      <c r="AO238" s="4" t="s">
        <v>63</v>
      </c>
      <c r="AP238" s="4">
        <v>42856.0</v>
      </c>
      <c r="AQ238" s="4">
        <v>3294150.0</v>
      </c>
      <c r="AR238" s="4">
        <v>8034600.0</v>
      </c>
      <c r="AS238" s="4">
        <v>4740450.0</v>
      </c>
      <c r="AT238" s="4">
        <v>1.0</v>
      </c>
      <c r="AU238" s="4">
        <v>8034600.0</v>
      </c>
      <c r="AV238" s="4">
        <v>0.05</v>
      </c>
      <c r="AW238" s="4">
        <v>401730.0</v>
      </c>
      <c r="AX238" s="4">
        <v>7632870.0</v>
      </c>
      <c r="AY238" s="4">
        <v>3294150.0</v>
      </c>
      <c r="AZ238" s="4">
        <v>4338720.0</v>
      </c>
    </row>
    <row r="239" ht="15.75" customHeight="1">
      <c r="A239" s="3" t="s">
        <v>933</v>
      </c>
      <c r="B239" s="5">
        <v>42856.0</v>
      </c>
      <c r="C239" s="6">
        <f t="shared" si="1"/>
        <v>2017</v>
      </c>
      <c r="D239" s="7" t="s">
        <v>934</v>
      </c>
      <c r="E239" s="7" t="s">
        <v>935</v>
      </c>
      <c r="F239" s="7" t="s">
        <v>289</v>
      </c>
      <c r="G239" s="5" t="s">
        <v>32</v>
      </c>
      <c r="H239" s="7" t="s">
        <v>140</v>
      </c>
      <c r="I239" s="7" t="s">
        <v>53</v>
      </c>
      <c r="J239" s="7" t="s">
        <v>303</v>
      </c>
      <c r="K239" s="7" t="s">
        <v>36</v>
      </c>
      <c r="L239" s="7" t="s">
        <v>37</v>
      </c>
      <c r="M239" s="7" t="s">
        <v>38</v>
      </c>
      <c r="N239" s="5">
        <v>42858.0</v>
      </c>
      <c r="O239" s="8">
        <v>57600.0</v>
      </c>
      <c r="P239" s="8">
        <v>94500.0</v>
      </c>
      <c r="Q239" s="8">
        <f t="shared" si="2"/>
        <v>36900</v>
      </c>
      <c r="R239" s="8">
        <v>32.0</v>
      </c>
      <c r="S239" s="8">
        <f t="shared" si="3"/>
        <v>3024000</v>
      </c>
      <c r="T239" s="9">
        <v>0.04</v>
      </c>
      <c r="U239" s="8">
        <f t="shared" si="4"/>
        <v>120960</v>
      </c>
      <c r="V239" s="8">
        <f t="shared" si="5"/>
        <v>2903040</v>
      </c>
      <c r="W239" s="10">
        <f t="shared" si="6"/>
        <v>1843200</v>
      </c>
      <c r="X239" s="10">
        <f t="shared" si="7"/>
        <v>1059840</v>
      </c>
      <c r="Y239" s="10"/>
      <c r="Z239" s="10"/>
      <c r="AA239" s="10"/>
      <c r="AB239" s="4" t="s">
        <v>936</v>
      </c>
      <c r="AC239" s="4" t="s">
        <v>933</v>
      </c>
      <c r="AD239" s="4">
        <v>42856.0</v>
      </c>
      <c r="AE239" s="4">
        <v>2017.0</v>
      </c>
      <c r="AF239" s="4" t="s">
        <v>934</v>
      </c>
      <c r="AG239" s="4" t="s">
        <v>935</v>
      </c>
      <c r="AH239" s="4" t="s">
        <v>289</v>
      </c>
      <c r="AI239" s="4" t="s">
        <v>32</v>
      </c>
      <c r="AJ239" s="4" t="s">
        <v>140</v>
      </c>
      <c r="AK239" s="4" t="s">
        <v>53</v>
      </c>
      <c r="AL239" s="4" t="s">
        <v>303</v>
      </c>
      <c r="AM239" s="4" t="s">
        <v>36</v>
      </c>
      <c r="AN239" s="4" t="s">
        <v>37</v>
      </c>
      <c r="AO239" s="4" t="s">
        <v>38</v>
      </c>
      <c r="AP239" s="4">
        <v>42858.0</v>
      </c>
      <c r="AQ239" s="4">
        <v>57600.0</v>
      </c>
      <c r="AR239" s="4">
        <v>94500.0</v>
      </c>
      <c r="AS239" s="4">
        <v>36900.0</v>
      </c>
      <c r="AT239" s="4">
        <v>32.0</v>
      </c>
      <c r="AU239" s="4">
        <v>3024000.0</v>
      </c>
      <c r="AV239" s="4">
        <v>0.04</v>
      </c>
      <c r="AW239" s="4">
        <v>120960.0</v>
      </c>
      <c r="AX239" s="4">
        <v>2903040.0</v>
      </c>
      <c r="AY239" s="4">
        <v>1843200.0</v>
      </c>
      <c r="AZ239" s="4">
        <v>1059840.0</v>
      </c>
    </row>
    <row r="240" ht="15.75" customHeight="1">
      <c r="A240" s="3" t="s">
        <v>937</v>
      </c>
      <c r="B240" s="5">
        <v>42862.0</v>
      </c>
      <c r="C240" s="6">
        <f t="shared" si="1"/>
        <v>2017</v>
      </c>
      <c r="D240" s="7" t="s">
        <v>938</v>
      </c>
      <c r="E240" s="7" t="s">
        <v>939</v>
      </c>
      <c r="F240" s="7" t="s">
        <v>50</v>
      </c>
      <c r="G240" s="5" t="s">
        <v>32</v>
      </c>
      <c r="H240" s="7" t="s">
        <v>189</v>
      </c>
      <c r="I240" s="7" t="s">
        <v>92</v>
      </c>
      <c r="J240" s="7" t="s">
        <v>567</v>
      </c>
      <c r="K240" s="7" t="s">
        <v>36</v>
      </c>
      <c r="L240" s="7" t="s">
        <v>45</v>
      </c>
      <c r="M240" s="7" t="s">
        <v>38</v>
      </c>
      <c r="N240" s="5">
        <v>42864.0</v>
      </c>
      <c r="O240" s="8">
        <v>13950.0</v>
      </c>
      <c r="P240" s="8">
        <v>22200.0</v>
      </c>
      <c r="Q240" s="8">
        <f t="shared" si="2"/>
        <v>8250</v>
      </c>
      <c r="R240" s="8">
        <v>27.0</v>
      </c>
      <c r="S240" s="8">
        <f t="shared" si="3"/>
        <v>599400</v>
      </c>
      <c r="T240" s="9">
        <v>0.0</v>
      </c>
      <c r="U240" s="8">
        <f t="shared" si="4"/>
        <v>0</v>
      </c>
      <c r="V240" s="8">
        <f t="shared" si="5"/>
        <v>599400</v>
      </c>
      <c r="W240" s="10">
        <f t="shared" si="6"/>
        <v>376650</v>
      </c>
      <c r="X240" s="10">
        <f t="shared" si="7"/>
        <v>222750</v>
      </c>
      <c r="Y240" s="10"/>
      <c r="Z240" s="10"/>
      <c r="AA240" s="10"/>
      <c r="AB240" s="4" t="s">
        <v>940</v>
      </c>
      <c r="AC240" s="4" t="s">
        <v>937</v>
      </c>
      <c r="AD240" s="4">
        <v>42862.0</v>
      </c>
      <c r="AE240" s="4">
        <v>2017.0</v>
      </c>
      <c r="AF240" s="4" t="s">
        <v>938</v>
      </c>
      <c r="AG240" s="4" t="s">
        <v>939</v>
      </c>
      <c r="AH240" s="4" t="s">
        <v>50</v>
      </c>
      <c r="AI240" s="4" t="s">
        <v>32</v>
      </c>
      <c r="AJ240" s="4" t="s">
        <v>189</v>
      </c>
      <c r="AK240" s="4" t="s">
        <v>92</v>
      </c>
      <c r="AL240" s="4" t="s">
        <v>567</v>
      </c>
      <c r="AM240" s="4" t="s">
        <v>36</v>
      </c>
      <c r="AN240" s="4" t="s">
        <v>45</v>
      </c>
      <c r="AO240" s="4" t="s">
        <v>38</v>
      </c>
      <c r="AP240" s="4">
        <v>42864.0</v>
      </c>
      <c r="AQ240" s="4">
        <v>13950.0</v>
      </c>
      <c r="AR240" s="4">
        <v>22200.0</v>
      </c>
      <c r="AS240" s="4">
        <v>8250.0</v>
      </c>
      <c r="AT240" s="4">
        <v>27.0</v>
      </c>
      <c r="AU240" s="4">
        <v>599400.0</v>
      </c>
      <c r="AV240" s="4">
        <v>0.0</v>
      </c>
      <c r="AW240" s="4">
        <v>0.0</v>
      </c>
      <c r="AX240" s="4">
        <v>599400.0</v>
      </c>
      <c r="AY240" s="4">
        <v>376650.0</v>
      </c>
      <c r="AZ240" s="4">
        <v>222750.0</v>
      </c>
    </row>
    <row r="241" ht="15.75" customHeight="1">
      <c r="A241" s="3" t="s">
        <v>941</v>
      </c>
      <c r="B241" s="5">
        <v>42863.0</v>
      </c>
      <c r="C241" s="6">
        <f t="shared" si="1"/>
        <v>2017</v>
      </c>
      <c r="D241" s="7" t="s">
        <v>942</v>
      </c>
      <c r="E241" s="7" t="s">
        <v>263</v>
      </c>
      <c r="F241" s="7" t="s">
        <v>50</v>
      </c>
      <c r="G241" s="5" t="s">
        <v>51</v>
      </c>
      <c r="H241" s="7" t="s">
        <v>140</v>
      </c>
      <c r="I241" s="7" t="s">
        <v>34</v>
      </c>
      <c r="J241" s="7" t="s">
        <v>521</v>
      </c>
      <c r="K241" s="7" t="s">
        <v>61</v>
      </c>
      <c r="L241" s="7" t="s">
        <v>62</v>
      </c>
      <c r="M241" s="7" t="s">
        <v>63</v>
      </c>
      <c r="N241" s="5">
        <v>42865.0</v>
      </c>
      <c r="O241" s="8">
        <v>1151850.0</v>
      </c>
      <c r="P241" s="8">
        <v>1799850.0</v>
      </c>
      <c r="Q241" s="8">
        <f t="shared" si="2"/>
        <v>648000</v>
      </c>
      <c r="R241" s="8">
        <v>13.0</v>
      </c>
      <c r="S241" s="8">
        <f t="shared" si="3"/>
        <v>23398050</v>
      </c>
      <c r="T241" s="9">
        <v>0.04</v>
      </c>
      <c r="U241" s="8">
        <f t="shared" si="4"/>
        <v>935922</v>
      </c>
      <c r="V241" s="8">
        <f t="shared" si="5"/>
        <v>22462128</v>
      </c>
      <c r="W241" s="10">
        <f t="shared" si="6"/>
        <v>14974050</v>
      </c>
      <c r="X241" s="10">
        <f t="shared" si="7"/>
        <v>7488078</v>
      </c>
      <c r="Y241" s="10"/>
      <c r="Z241" s="10"/>
      <c r="AA241" s="10"/>
      <c r="AB241" s="4" t="s">
        <v>943</v>
      </c>
      <c r="AC241" s="4" t="s">
        <v>941</v>
      </c>
      <c r="AD241" s="4">
        <v>42863.0</v>
      </c>
      <c r="AE241" s="4">
        <v>2017.0</v>
      </c>
      <c r="AF241" s="4" t="s">
        <v>942</v>
      </c>
      <c r="AG241" s="4" t="s">
        <v>263</v>
      </c>
      <c r="AH241" s="4" t="s">
        <v>50</v>
      </c>
      <c r="AI241" s="4" t="s">
        <v>51</v>
      </c>
      <c r="AJ241" s="4" t="s">
        <v>140</v>
      </c>
      <c r="AK241" s="4" t="s">
        <v>34</v>
      </c>
      <c r="AL241" s="4" t="s">
        <v>521</v>
      </c>
      <c r="AM241" s="4" t="s">
        <v>61</v>
      </c>
      <c r="AN241" s="4" t="s">
        <v>62</v>
      </c>
      <c r="AO241" s="4" t="s">
        <v>63</v>
      </c>
      <c r="AP241" s="4">
        <v>42865.0</v>
      </c>
      <c r="AQ241" s="4">
        <v>1151850.0</v>
      </c>
      <c r="AR241" s="4">
        <v>1799850.0</v>
      </c>
      <c r="AS241" s="4">
        <v>648000.0</v>
      </c>
      <c r="AT241" s="4">
        <v>13.0</v>
      </c>
      <c r="AU241" s="4">
        <v>2.339805E7</v>
      </c>
      <c r="AV241" s="4">
        <v>0.04</v>
      </c>
      <c r="AW241" s="4">
        <v>935922.0</v>
      </c>
      <c r="AX241" s="4">
        <v>2.2462128E7</v>
      </c>
      <c r="AY241" s="4">
        <v>1.497405E7</v>
      </c>
      <c r="AZ241" s="4">
        <v>7488078.0</v>
      </c>
    </row>
    <row r="242" ht="15.75" customHeight="1">
      <c r="A242" s="3" t="s">
        <v>944</v>
      </c>
      <c r="B242" s="5">
        <v>42864.0</v>
      </c>
      <c r="C242" s="6">
        <f t="shared" si="1"/>
        <v>2017</v>
      </c>
      <c r="D242" s="7" t="s">
        <v>945</v>
      </c>
      <c r="E242" s="7" t="s">
        <v>667</v>
      </c>
      <c r="F242" s="7" t="s">
        <v>50</v>
      </c>
      <c r="G242" s="5" t="s">
        <v>32</v>
      </c>
      <c r="H242" s="7" t="s">
        <v>140</v>
      </c>
      <c r="I242" s="7" t="s">
        <v>104</v>
      </c>
      <c r="J242" s="7" t="s">
        <v>75</v>
      </c>
      <c r="K242" s="7" t="s">
        <v>36</v>
      </c>
      <c r="L242" s="7" t="s">
        <v>45</v>
      </c>
      <c r="M242" s="7" t="s">
        <v>38</v>
      </c>
      <c r="N242" s="5">
        <v>42866.0</v>
      </c>
      <c r="O242" s="8">
        <v>16350.000000000002</v>
      </c>
      <c r="P242" s="8">
        <v>39000.0</v>
      </c>
      <c r="Q242" s="8">
        <f t="shared" si="2"/>
        <v>22650</v>
      </c>
      <c r="R242" s="8">
        <v>27.0</v>
      </c>
      <c r="S242" s="8">
        <f t="shared" si="3"/>
        <v>1053000</v>
      </c>
      <c r="T242" s="9">
        <v>0.09</v>
      </c>
      <c r="U242" s="8">
        <f t="shared" si="4"/>
        <v>94770</v>
      </c>
      <c r="V242" s="8">
        <f t="shared" si="5"/>
        <v>958230</v>
      </c>
      <c r="W242" s="10">
        <f t="shared" si="6"/>
        <v>441450</v>
      </c>
      <c r="X242" s="10">
        <f t="shared" si="7"/>
        <v>516780</v>
      </c>
      <c r="Y242" s="10"/>
      <c r="Z242" s="10"/>
      <c r="AA242" s="10"/>
      <c r="AB242" s="4" t="s">
        <v>946</v>
      </c>
      <c r="AC242" s="4" t="s">
        <v>944</v>
      </c>
      <c r="AD242" s="4">
        <v>42864.0</v>
      </c>
      <c r="AE242" s="4">
        <v>2017.0</v>
      </c>
      <c r="AF242" s="4" t="s">
        <v>945</v>
      </c>
      <c r="AG242" s="4" t="s">
        <v>667</v>
      </c>
      <c r="AH242" s="4" t="s">
        <v>50</v>
      </c>
      <c r="AI242" s="4" t="s">
        <v>32</v>
      </c>
      <c r="AJ242" s="4" t="s">
        <v>140</v>
      </c>
      <c r="AK242" s="4" t="s">
        <v>104</v>
      </c>
      <c r="AL242" s="4" t="s">
        <v>75</v>
      </c>
      <c r="AM242" s="4" t="s">
        <v>36</v>
      </c>
      <c r="AN242" s="4" t="s">
        <v>45</v>
      </c>
      <c r="AO242" s="4" t="s">
        <v>38</v>
      </c>
      <c r="AP242" s="4">
        <v>42866.0</v>
      </c>
      <c r="AQ242" s="4">
        <v>16350.0</v>
      </c>
      <c r="AR242" s="4">
        <v>39000.0</v>
      </c>
      <c r="AS242" s="4">
        <v>22650.0</v>
      </c>
      <c r="AT242" s="4">
        <v>27.0</v>
      </c>
      <c r="AU242" s="4">
        <v>1053000.0</v>
      </c>
      <c r="AV242" s="4">
        <v>0.09</v>
      </c>
      <c r="AW242" s="4">
        <v>94770.0</v>
      </c>
      <c r="AX242" s="4">
        <v>958230.0</v>
      </c>
      <c r="AY242" s="4">
        <v>441450.0</v>
      </c>
      <c r="AZ242" s="4">
        <v>516780.0</v>
      </c>
    </row>
    <row r="243" ht="15.75" customHeight="1">
      <c r="A243" s="3" t="s">
        <v>947</v>
      </c>
      <c r="B243" s="5">
        <v>42865.0</v>
      </c>
      <c r="C243" s="6">
        <f t="shared" si="1"/>
        <v>2017</v>
      </c>
      <c r="D243" s="7" t="s">
        <v>948</v>
      </c>
      <c r="E243" s="7" t="s">
        <v>393</v>
      </c>
      <c r="F243" s="7" t="s">
        <v>31</v>
      </c>
      <c r="G243" s="5" t="s">
        <v>68</v>
      </c>
      <c r="H243" s="7" t="s">
        <v>43</v>
      </c>
      <c r="I243" s="7" t="s">
        <v>74</v>
      </c>
      <c r="J243" s="7" t="s">
        <v>277</v>
      </c>
      <c r="K243" s="7" t="s">
        <v>278</v>
      </c>
      <c r="L243" s="7" t="s">
        <v>127</v>
      </c>
      <c r="M243" s="7" t="s">
        <v>38</v>
      </c>
      <c r="N243" s="5">
        <v>42872.0</v>
      </c>
      <c r="O243" s="8">
        <v>82500.0</v>
      </c>
      <c r="P243" s="8">
        <v>183300.0</v>
      </c>
      <c r="Q243" s="8">
        <f t="shared" si="2"/>
        <v>100800</v>
      </c>
      <c r="R243" s="8">
        <v>19.0</v>
      </c>
      <c r="S243" s="8">
        <f t="shared" si="3"/>
        <v>3482700</v>
      </c>
      <c r="T243" s="9">
        <v>0.09</v>
      </c>
      <c r="U243" s="8">
        <f t="shared" si="4"/>
        <v>313443</v>
      </c>
      <c r="V243" s="8">
        <f t="shared" si="5"/>
        <v>3169257</v>
      </c>
      <c r="W243" s="10">
        <f t="shared" si="6"/>
        <v>1567500</v>
      </c>
      <c r="X243" s="10">
        <f t="shared" si="7"/>
        <v>1601757</v>
      </c>
      <c r="Y243" s="10"/>
      <c r="Z243" s="10"/>
      <c r="AA243" s="10"/>
      <c r="AB243" s="4" t="s">
        <v>949</v>
      </c>
      <c r="AC243" s="4" t="s">
        <v>947</v>
      </c>
      <c r="AD243" s="4">
        <v>42865.0</v>
      </c>
      <c r="AE243" s="4">
        <v>2017.0</v>
      </c>
      <c r="AF243" s="4" t="s">
        <v>948</v>
      </c>
      <c r="AG243" s="4" t="s">
        <v>393</v>
      </c>
      <c r="AH243" s="4" t="s">
        <v>31</v>
      </c>
      <c r="AI243" s="4" t="s">
        <v>68</v>
      </c>
      <c r="AJ243" s="4" t="s">
        <v>43</v>
      </c>
      <c r="AK243" s="4" t="s">
        <v>74</v>
      </c>
      <c r="AL243" s="4" t="s">
        <v>277</v>
      </c>
      <c r="AM243" s="4" t="s">
        <v>278</v>
      </c>
      <c r="AN243" s="4" t="s">
        <v>127</v>
      </c>
      <c r="AO243" s="4" t="s">
        <v>38</v>
      </c>
      <c r="AP243" s="4">
        <v>42872.0</v>
      </c>
      <c r="AQ243" s="4">
        <v>82500.0</v>
      </c>
      <c r="AR243" s="4">
        <v>183300.0</v>
      </c>
      <c r="AS243" s="4">
        <v>100800.0</v>
      </c>
      <c r="AT243" s="4">
        <v>19.0</v>
      </c>
      <c r="AU243" s="4">
        <v>3482700.0</v>
      </c>
      <c r="AV243" s="4">
        <v>0.09</v>
      </c>
      <c r="AW243" s="4">
        <v>313443.0</v>
      </c>
      <c r="AX243" s="4">
        <v>3169257.0</v>
      </c>
      <c r="AY243" s="4">
        <v>1567500.0</v>
      </c>
      <c r="AZ243" s="4">
        <v>1601757.0</v>
      </c>
    </row>
    <row r="244" ht="15.75" customHeight="1">
      <c r="A244" s="3" t="s">
        <v>950</v>
      </c>
      <c r="B244" s="5">
        <v>42865.0</v>
      </c>
      <c r="C244" s="6">
        <f t="shared" si="1"/>
        <v>2017</v>
      </c>
      <c r="D244" s="7" t="s">
        <v>951</v>
      </c>
      <c r="E244" s="7" t="s">
        <v>952</v>
      </c>
      <c r="F244" s="7" t="s">
        <v>50</v>
      </c>
      <c r="G244" s="5" t="s">
        <v>51</v>
      </c>
      <c r="H244" s="7" t="s">
        <v>140</v>
      </c>
      <c r="I244" s="7" t="s">
        <v>53</v>
      </c>
      <c r="J244" s="7" t="s">
        <v>204</v>
      </c>
      <c r="K244" s="7" t="s">
        <v>61</v>
      </c>
      <c r="L244" s="7" t="s">
        <v>37</v>
      </c>
      <c r="M244" s="7" t="s">
        <v>38</v>
      </c>
      <c r="N244" s="5">
        <v>42866.0</v>
      </c>
      <c r="O244" s="8">
        <v>151050.0</v>
      </c>
      <c r="P244" s="8">
        <v>239700.0</v>
      </c>
      <c r="Q244" s="8">
        <f t="shared" si="2"/>
        <v>88650</v>
      </c>
      <c r="R244" s="8">
        <v>8.0</v>
      </c>
      <c r="S244" s="8">
        <f t="shared" si="3"/>
        <v>1917600</v>
      </c>
      <c r="T244" s="9">
        <v>0.04</v>
      </c>
      <c r="U244" s="8">
        <f t="shared" si="4"/>
        <v>76704</v>
      </c>
      <c r="V244" s="8">
        <f t="shared" si="5"/>
        <v>1840896</v>
      </c>
      <c r="W244" s="10">
        <f t="shared" si="6"/>
        <v>1208400</v>
      </c>
      <c r="X244" s="10">
        <f t="shared" si="7"/>
        <v>632496</v>
      </c>
      <c r="Y244" s="10"/>
      <c r="Z244" s="10"/>
      <c r="AA244" s="10"/>
      <c r="AB244" s="4" t="s">
        <v>953</v>
      </c>
      <c r="AC244" s="4" t="s">
        <v>950</v>
      </c>
      <c r="AD244" s="4">
        <v>42865.0</v>
      </c>
      <c r="AE244" s="4">
        <v>2017.0</v>
      </c>
      <c r="AF244" s="4" t="s">
        <v>951</v>
      </c>
      <c r="AG244" s="4" t="s">
        <v>952</v>
      </c>
      <c r="AH244" s="4" t="s">
        <v>50</v>
      </c>
      <c r="AI244" s="4" t="s">
        <v>51</v>
      </c>
      <c r="AJ244" s="4" t="s">
        <v>140</v>
      </c>
      <c r="AK244" s="4" t="s">
        <v>53</v>
      </c>
      <c r="AL244" s="4" t="s">
        <v>204</v>
      </c>
      <c r="AM244" s="4" t="s">
        <v>61</v>
      </c>
      <c r="AN244" s="4" t="s">
        <v>37</v>
      </c>
      <c r="AO244" s="4" t="s">
        <v>38</v>
      </c>
      <c r="AP244" s="4">
        <v>42866.0</v>
      </c>
      <c r="AQ244" s="4">
        <v>151050.0</v>
      </c>
      <c r="AR244" s="4">
        <v>239700.0</v>
      </c>
      <c r="AS244" s="4">
        <v>88650.0</v>
      </c>
      <c r="AT244" s="4">
        <v>8.0</v>
      </c>
      <c r="AU244" s="4">
        <v>1917600.0</v>
      </c>
      <c r="AV244" s="4">
        <v>0.04</v>
      </c>
      <c r="AW244" s="4">
        <v>76704.0</v>
      </c>
      <c r="AX244" s="4">
        <v>1840896.0</v>
      </c>
      <c r="AY244" s="4">
        <v>1208400.0</v>
      </c>
      <c r="AZ244" s="4">
        <v>632496.0</v>
      </c>
    </row>
    <row r="245" ht="15.75" customHeight="1">
      <c r="A245" s="3" t="s">
        <v>954</v>
      </c>
      <c r="B245" s="5">
        <v>42866.0</v>
      </c>
      <c r="C245" s="6">
        <f t="shared" si="1"/>
        <v>2017</v>
      </c>
      <c r="D245" s="7" t="s">
        <v>955</v>
      </c>
      <c r="E245" s="7" t="s">
        <v>169</v>
      </c>
      <c r="F245" s="7" t="s">
        <v>31</v>
      </c>
      <c r="G245" s="5" t="s">
        <v>68</v>
      </c>
      <c r="H245" s="7" t="s">
        <v>43</v>
      </c>
      <c r="I245" s="7" t="s">
        <v>34</v>
      </c>
      <c r="J245" s="7" t="s">
        <v>99</v>
      </c>
      <c r="K245" s="7" t="s">
        <v>36</v>
      </c>
      <c r="L245" s="7" t="s">
        <v>37</v>
      </c>
      <c r="M245" s="7" t="s">
        <v>38</v>
      </c>
      <c r="N245" s="5">
        <v>42866.0</v>
      </c>
      <c r="O245" s="8">
        <v>79950.0</v>
      </c>
      <c r="P245" s="8">
        <v>129000.0</v>
      </c>
      <c r="Q245" s="8">
        <f t="shared" si="2"/>
        <v>49050</v>
      </c>
      <c r="R245" s="8">
        <v>4.0</v>
      </c>
      <c r="S245" s="8">
        <f t="shared" si="3"/>
        <v>516000</v>
      </c>
      <c r="T245" s="9">
        <v>0.04</v>
      </c>
      <c r="U245" s="8">
        <f t="shared" si="4"/>
        <v>20640</v>
      </c>
      <c r="V245" s="8">
        <f t="shared" si="5"/>
        <v>495360</v>
      </c>
      <c r="W245" s="10">
        <f t="shared" si="6"/>
        <v>319800</v>
      </c>
      <c r="X245" s="10">
        <f t="shared" si="7"/>
        <v>175560</v>
      </c>
      <c r="Y245" s="10"/>
      <c r="Z245" s="10"/>
      <c r="AA245" s="10"/>
      <c r="AB245" s="4" t="s">
        <v>956</v>
      </c>
      <c r="AC245" s="4" t="s">
        <v>954</v>
      </c>
      <c r="AD245" s="4">
        <v>42866.0</v>
      </c>
      <c r="AE245" s="4">
        <v>2017.0</v>
      </c>
      <c r="AF245" s="4" t="s">
        <v>955</v>
      </c>
      <c r="AG245" s="4" t="s">
        <v>169</v>
      </c>
      <c r="AH245" s="4" t="s">
        <v>31</v>
      </c>
      <c r="AI245" s="4" t="s">
        <v>68</v>
      </c>
      <c r="AJ245" s="4" t="s">
        <v>43</v>
      </c>
      <c r="AK245" s="4" t="s">
        <v>34</v>
      </c>
      <c r="AL245" s="4" t="s">
        <v>99</v>
      </c>
      <c r="AM245" s="4" t="s">
        <v>36</v>
      </c>
      <c r="AN245" s="4" t="s">
        <v>37</v>
      </c>
      <c r="AO245" s="4" t="s">
        <v>38</v>
      </c>
      <c r="AP245" s="4">
        <v>42866.0</v>
      </c>
      <c r="AQ245" s="4">
        <v>79950.0</v>
      </c>
      <c r="AR245" s="4">
        <v>129000.0</v>
      </c>
      <c r="AS245" s="4">
        <v>49050.0</v>
      </c>
      <c r="AT245" s="4">
        <v>4.0</v>
      </c>
      <c r="AU245" s="4">
        <v>516000.0</v>
      </c>
      <c r="AV245" s="4">
        <v>0.04</v>
      </c>
      <c r="AW245" s="4">
        <v>20640.0</v>
      </c>
      <c r="AX245" s="4">
        <v>495360.0</v>
      </c>
      <c r="AY245" s="4">
        <v>319800.0</v>
      </c>
      <c r="AZ245" s="4">
        <v>175560.0</v>
      </c>
    </row>
    <row r="246" ht="15.75" customHeight="1">
      <c r="A246" s="3" t="s">
        <v>957</v>
      </c>
      <c r="B246" s="5">
        <v>42868.0</v>
      </c>
      <c r="C246" s="6">
        <f t="shared" si="1"/>
        <v>2017</v>
      </c>
      <c r="D246" s="7" t="s">
        <v>958</v>
      </c>
      <c r="E246" s="7" t="s">
        <v>97</v>
      </c>
      <c r="F246" s="7" t="s">
        <v>50</v>
      </c>
      <c r="G246" s="5" t="s">
        <v>91</v>
      </c>
      <c r="H246" s="7" t="s">
        <v>98</v>
      </c>
      <c r="I246" s="7" t="s">
        <v>34</v>
      </c>
      <c r="J246" s="7" t="s">
        <v>93</v>
      </c>
      <c r="K246" s="7" t="s">
        <v>36</v>
      </c>
      <c r="L246" s="7" t="s">
        <v>37</v>
      </c>
      <c r="M246" s="7" t="s">
        <v>38</v>
      </c>
      <c r="N246" s="5">
        <v>42871.0</v>
      </c>
      <c r="O246" s="8">
        <v>814350.0</v>
      </c>
      <c r="P246" s="8">
        <v>1357200.0</v>
      </c>
      <c r="Q246" s="8">
        <f t="shared" si="2"/>
        <v>542850</v>
      </c>
      <c r="R246" s="8">
        <v>27.0</v>
      </c>
      <c r="S246" s="8">
        <f t="shared" si="3"/>
        <v>36644400</v>
      </c>
      <c r="T246" s="9">
        <v>0.0</v>
      </c>
      <c r="U246" s="8">
        <f t="shared" si="4"/>
        <v>0</v>
      </c>
      <c r="V246" s="8">
        <f t="shared" si="5"/>
        <v>36644400</v>
      </c>
      <c r="W246" s="10">
        <f t="shared" si="6"/>
        <v>21987450</v>
      </c>
      <c r="X246" s="10">
        <f t="shared" si="7"/>
        <v>14656950</v>
      </c>
      <c r="Y246" s="10"/>
      <c r="Z246" s="10"/>
      <c r="AA246" s="10"/>
      <c r="AB246" s="4" t="s">
        <v>959</v>
      </c>
      <c r="AC246" s="4" t="s">
        <v>957</v>
      </c>
      <c r="AD246" s="4">
        <v>42868.0</v>
      </c>
      <c r="AE246" s="4">
        <v>2017.0</v>
      </c>
      <c r="AF246" s="4" t="s">
        <v>958</v>
      </c>
      <c r="AG246" s="4" t="s">
        <v>97</v>
      </c>
      <c r="AH246" s="4" t="s">
        <v>50</v>
      </c>
      <c r="AI246" s="4" t="s">
        <v>91</v>
      </c>
      <c r="AJ246" s="4" t="s">
        <v>98</v>
      </c>
      <c r="AK246" s="4" t="s">
        <v>34</v>
      </c>
      <c r="AL246" s="4" t="s">
        <v>93</v>
      </c>
      <c r="AM246" s="4" t="s">
        <v>36</v>
      </c>
      <c r="AN246" s="4" t="s">
        <v>37</v>
      </c>
      <c r="AO246" s="4" t="s">
        <v>38</v>
      </c>
      <c r="AP246" s="4">
        <v>42871.0</v>
      </c>
      <c r="AQ246" s="4">
        <v>814350.0</v>
      </c>
      <c r="AR246" s="4">
        <v>1357200.0</v>
      </c>
      <c r="AS246" s="4">
        <v>542850.0</v>
      </c>
      <c r="AT246" s="4">
        <v>27.0</v>
      </c>
      <c r="AU246" s="4">
        <v>3.66444E7</v>
      </c>
      <c r="AV246" s="4">
        <v>0.0</v>
      </c>
      <c r="AW246" s="4">
        <v>0.0</v>
      </c>
      <c r="AX246" s="4">
        <v>3.66444E7</v>
      </c>
      <c r="AY246" s="4">
        <v>2.198745E7</v>
      </c>
      <c r="AZ246" s="4">
        <v>1.465695E7</v>
      </c>
    </row>
    <row r="247" ht="15.75" customHeight="1">
      <c r="A247" s="3" t="s">
        <v>960</v>
      </c>
      <c r="B247" s="5">
        <v>42869.0</v>
      </c>
      <c r="C247" s="6">
        <f t="shared" si="1"/>
        <v>2017</v>
      </c>
      <c r="D247" s="7" t="s">
        <v>961</v>
      </c>
      <c r="E247" s="7" t="s">
        <v>962</v>
      </c>
      <c r="F247" s="7" t="s">
        <v>50</v>
      </c>
      <c r="G247" s="5" t="s">
        <v>51</v>
      </c>
      <c r="H247" s="7" t="s">
        <v>80</v>
      </c>
      <c r="I247" s="7" t="s">
        <v>53</v>
      </c>
      <c r="J247" s="7" t="s">
        <v>282</v>
      </c>
      <c r="K247" s="7" t="s">
        <v>36</v>
      </c>
      <c r="L247" s="7" t="s">
        <v>37</v>
      </c>
      <c r="M247" s="7" t="s">
        <v>38</v>
      </c>
      <c r="N247" s="5">
        <v>42871.0</v>
      </c>
      <c r="O247" s="8">
        <v>204600.0</v>
      </c>
      <c r="P247" s="8">
        <v>314700.0</v>
      </c>
      <c r="Q247" s="8">
        <f t="shared" si="2"/>
        <v>110100</v>
      </c>
      <c r="R247" s="8">
        <v>31.0</v>
      </c>
      <c r="S247" s="8">
        <f t="shared" si="3"/>
        <v>9755700</v>
      </c>
      <c r="T247" s="9">
        <v>0.09</v>
      </c>
      <c r="U247" s="8">
        <f t="shared" si="4"/>
        <v>878013</v>
      </c>
      <c r="V247" s="8">
        <f t="shared" si="5"/>
        <v>8877687</v>
      </c>
      <c r="W247" s="10">
        <f t="shared" si="6"/>
        <v>6342600</v>
      </c>
      <c r="X247" s="10">
        <f t="shared" si="7"/>
        <v>2535087</v>
      </c>
      <c r="Y247" s="10"/>
      <c r="Z247" s="10"/>
      <c r="AA247" s="10"/>
      <c r="AB247" s="4" t="s">
        <v>963</v>
      </c>
      <c r="AC247" s="4" t="s">
        <v>960</v>
      </c>
      <c r="AD247" s="4">
        <v>42869.0</v>
      </c>
      <c r="AE247" s="4">
        <v>2017.0</v>
      </c>
      <c r="AF247" s="4" t="s">
        <v>961</v>
      </c>
      <c r="AG247" s="4" t="s">
        <v>962</v>
      </c>
      <c r="AH247" s="4" t="s">
        <v>50</v>
      </c>
      <c r="AI247" s="4" t="s">
        <v>51</v>
      </c>
      <c r="AJ247" s="4" t="s">
        <v>80</v>
      </c>
      <c r="AK247" s="4" t="s">
        <v>53</v>
      </c>
      <c r="AL247" s="4" t="s">
        <v>282</v>
      </c>
      <c r="AM247" s="4" t="s">
        <v>36</v>
      </c>
      <c r="AN247" s="4" t="s">
        <v>37</v>
      </c>
      <c r="AO247" s="4" t="s">
        <v>38</v>
      </c>
      <c r="AP247" s="4">
        <v>42871.0</v>
      </c>
      <c r="AQ247" s="4">
        <v>204600.0</v>
      </c>
      <c r="AR247" s="4">
        <v>314700.0</v>
      </c>
      <c r="AS247" s="4">
        <v>110100.0</v>
      </c>
      <c r="AT247" s="4">
        <v>31.0</v>
      </c>
      <c r="AU247" s="4">
        <v>9755700.0</v>
      </c>
      <c r="AV247" s="4">
        <v>0.09</v>
      </c>
      <c r="AW247" s="4">
        <v>878013.0</v>
      </c>
      <c r="AX247" s="4">
        <v>8877687.0</v>
      </c>
      <c r="AY247" s="4">
        <v>6342600.0</v>
      </c>
      <c r="AZ247" s="4">
        <v>2535087.0</v>
      </c>
    </row>
    <row r="248" ht="15.75" customHeight="1">
      <c r="A248" s="3" t="s">
        <v>964</v>
      </c>
      <c r="B248" s="5">
        <v>42869.0</v>
      </c>
      <c r="C248" s="6">
        <f t="shared" si="1"/>
        <v>2017</v>
      </c>
      <c r="D248" s="7" t="s">
        <v>965</v>
      </c>
      <c r="E248" s="7" t="s">
        <v>550</v>
      </c>
      <c r="F248" s="7" t="s">
        <v>50</v>
      </c>
      <c r="G248" s="5" t="s">
        <v>91</v>
      </c>
      <c r="H248" s="7" t="s">
        <v>151</v>
      </c>
      <c r="I248" s="7" t="s">
        <v>104</v>
      </c>
      <c r="J248" s="7" t="s">
        <v>335</v>
      </c>
      <c r="K248" s="7" t="s">
        <v>36</v>
      </c>
      <c r="L248" s="7" t="s">
        <v>45</v>
      </c>
      <c r="M248" s="7" t="s">
        <v>38</v>
      </c>
      <c r="N248" s="5">
        <v>42871.0</v>
      </c>
      <c r="O248" s="8">
        <v>52200.0</v>
      </c>
      <c r="P248" s="8">
        <v>81450.0</v>
      </c>
      <c r="Q248" s="8">
        <f t="shared" si="2"/>
        <v>29250</v>
      </c>
      <c r="R248" s="8">
        <v>2.0</v>
      </c>
      <c r="S248" s="8">
        <f t="shared" si="3"/>
        <v>162900</v>
      </c>
      <c r="T248" s="9">
        <v>0.1</v>
      </c>
      <c r="U248" s="8">
        <f t="shared" si="4"/>
        <v>16290</v>
      </c>
      <c r="V248" s="8">
        <f t="shared" si="5"/>
        <v>146610</v>
      </c>
      <c r="W248" s="10">
        <f t="shared" si="6"/>
        <v>104400</v>
      </c>
      <c r="X248" s="10">
        <f t="shared" si="7"/>
        <v>42210</v>
      </c>
      <c r="Y248" s="10"/>
      <c r="Z248" s="10"/>
      <c r="AA248" s="10"/>
      <c r="AB248" s="4" t="s">
        <v>966</v>
      </c>
      <c r="AC248" s="4" t="s">
        <v>964</v>
      </c>
      <c r="AD248" s="4">
        <v>42869.0</v>
      </c>
      <c r="AE248" s="4">
        <v>2017.0</v>
      </c>
      <c r="AF248" s="4" t="s">
        <v>965</v>
      </c>
      <c r="AG248" s="4" t="s">
        <v>550</v>
      </c>
      <c r="AH248" s="4" t="s">
        <v>50</v>
      </c>
      <c r="AI248" s="4" t="s">
        <v>91</v>
      </c>
      <c r="AJ248" s="4" t="s">
        <v>151</v>
      </c>
      <c r="AK248" s="4" t="s">
        <v>104</v>
      </c>
      <c r="AL248" s="4" t="s">
        <v>335</v>
      </c>
      <c r="AM248" s="4" t="s">
        <v>36</v>
      </c>
      <c r="AN248" s="4" t="s">
        <v>45</v>
      </c>
      <c r="AO248" s="4" t="s">
        <v>38</v>
      </c>
      <c r="AP248" s="4">
        <v>42871.0</v>
      </c>
      <c r="AQ248" s="4">
        <v>52200.0</v>
      </c>
      <c r="AR248" s="4">
        <v>81450.0</v>
      </c>
      <c r="AS248" s="4">
        <v>29250.0</v>
      </c>
      <c r="AT248" s="4">
        <v>2.0</v>
      </c>
      <c r="AU248" s="4">
        <v>162900.0</v>
      </c>
      <c r="AV248" s="4">
        <v>0.1</v>
      </c>
      <c r="AW248" s="4">
        <v>16290.0</v>
      </c>
      <c r="AX248" s="4">
        <v>146610.0</v>
      </c>
      <c r="AY248" s="4">
        <v>104400.0</v>
      </c>
      <c r="AZ248" s="4">
        <v>42210.0</v>
      </c>
    </row>
    <row r="249" ht="15.75" customHeight="1">
      <c r="A249" s="3" t="s">
        <v>967</v>
      </c>
      <c r="B249" s="5">
        <v>42872.0</v>
      </c>
      <c r="C249" s="6">
        <f t="shared" si="1"/>
        <v>2017</v>
      </c>
      <c r="D249" s="7" t="s">
        <v>968</v>
      </c>
      <c r="E249" s="7" t="s">
        <v>542</v>
      </c>
      <c r="F249" s="7" t="s">
        <v>31</v>
      </c>
      <c r="G249" s="5" t="s">
        <v>91</v>
      </c>
      <c r="H249" s="7" t="s">
        <v>43</v>
      </c>
      <c r="I249" s="7" t="s">
        <v>74</v>
      </c>
      <c r="J249" s="7" t="s">
        <v>318</v>
      </c>
      <c r="K249" s="7" t="s">
        <v>36</v>
      </c>
      <c r="L249" s="7" t="s">
        <v>37</v>
      </c>
      <c r="M249" s="7" t="s">
        <v>38</v>
      </c>
      <c r="N249" s="5">
        <v>42877.0</v>
      </c>
      <c r="O249" s="8">
        <v>33750.0</v>
      </c>
      <c r="P249" s="8">
        <v>55350.0</v>
      </c>
      <c r="Q249" s="8">
        <f t="shared" si="2"/>
        <v>21600</v>
      </c>
      <c r="R249" s="8">
        <v>20.0</v>
      </c>
      <c r="S249" s="8">
        <f t="shared" si="3"/>
        <v>1107000</v>
      </c>
      <c r="T249" s="9">
        <v>0.08</v>
      </c>
      <c r="U249" s="8">
        <f t="shared" si="4"/>
        <v>88560</v>
      </c>
      <c r="V249" s="8">
        <f t="shared" si="5"/>
        <v>1018440</v>
      </c>
      <c r="W249" s="10">
        <f t="shared" si="6"/>
        <v>675000</v>
      </c>
      <c r="X249" s="10">
        <f t="shared" si="7"/>
        <v>343440</v>
      </c>
      <c r="Y249" s="10"/>
      <c r="Z249" s="10"/>
      <c r="AA249" s="10"/>
      <c r="AB249" s="4" t="s">
        <v>969</v>
      </c>
      <c r="AC249" s="4" t="s">
        <v>967</v>
      </c>
      <c r="AD249" s="4">
        <v>42872.0</v>
      </c>
      <c r="AE249" s="4">
        <v>2017.0</v>
      </c>
      <c r="AF249" s="4" t="s">
        <v>968</v>
      </c>
      <c r="AG249" s="4" t="s">
        <v>542</v>
      </c>
      <c r="AH249" s="4" t="s">
        <v>31</v>
      </c>
      <c r="AI249" s="4" t="s">
        <v>91</v>
      </c>
      <c r="AJ249" s="4" t="s">
        <v>43</v>
      </c>
      <c r="AK249" s="4" t="s">
        <v>74</v>
      </c>
      <c r="AL249" s="4" t="s">
        <v>318</v>
      </c>
      <c r="AM249" s="4" t="s">
        <v>36</v>
      </c>
      <c r="AN249" s="4" t="s">
        <v>37</v>
      </c>
      <c r="AO249" s="4" t="s">
        <v>38</v>
      </c>
      <c r="AP249" s="4">
        <v>42877.0</v>
      </c>
      <c r="AQ249" s="4">
        <v>33750.0</v>
      </c>
      <c r="AR249" s="4">
        <v>55350.0</v>
      </c>
      <c r="AS249" s="4">
        <v>21600.0</v>
      </c>
      <c r="AT249" s="4">
        <v>20.0</v>
      </c>
      <c r="AU249" s="4">
        <v>1107000.0</v>
      </c>
      <c r="AV249" s="4">
        <v>0.08</v>
      </c>
      <c r="AW249" s="4">
        <v>88560.0</v>
      </c>
      <c r="AX249" s="4">
        <v>1018440.0</v>
      </c>
      <c r="AY249" s="4">
        <v>675000.0</v>
      </c>
      <c r="AZ249" s="4">
        <v>343440.0</v>
      </c>
    </row>
    <row r="250" ht="15.75" customHeight="1">
      <c r="A250" s="3" t="s">
        <v>970</v>
      </c>
      <c r="B250" s="5">
        <v>42873.0</v>
      </c>
      <c r="C250" s="6">
        <f t="shared" si="1"/>
        <v>2017</v>
      </c>
      <c r="D250" s="7" t="s">
        <v>971</v>
      </c>
      <c r="E250" s="7" t="s">
        <v>520</v>
      </c>
      <c r="F250" s="7" t="s">
        <v>50</v>
      </c>
      <c r="G250" s="5" t="s">
        <v>91</v>
      </c>
      <c r="H250" s="7" t="s">
        <v>69</v>
      </c>
      <c r="I250" s="7" t="s">
        <v>53</v>
      </c>
      <c r="J250" s="7" t="s">
        <v>473</v>
      </c>
      <c r="K250" s="7" t="s">
        <v>61</v>
      </c>
      <c r="L250" s="7" t="s">
        <v>37</v>
      </c>
      <c r="M250" s="7" t="s">
        <v>38</v>
      </c>
      <c r="N250" s="5">
        <v>42874.0</v>
      </c>
      <c r="O250" s="8">
        <v>817800.0</v>
      </c>
      <c r="P250" s="8">
        <v>1514550.0</v>
      </c>
      <c r="Q250" s="8">
        <f t="shared" si="2"/>
        <v>696750</v>
      </c>
      <c r="R250" s="8">
        <v>15.0</v>
      </c>
      <c r="S250" s="8">
        <f t="shared" si="3"/>
        <v>22718250</v>
      </c>
      <c r="T250" s="9">
        <v>0.08</v>
      </c>
      <c r="U250" s="8">
        <f t="shared" si="4"/>
        <v>1817460</v>
      </c>
      <c r="V250" s="8">
        <f t="shared" si="5"/>
        <v>20900790</v>
      </c>
      <c r="W250" s="10">
        <f t="shared" si="6"/>
        <v>12267000</v>
      </c>
      <c r="X250" s="10">
        <f t="shared" si="7"/>
        <v>8633790</v>
      </c>
      <c r="Y250" s="10"/>
      <c r="Z250" s="10"/>
      <c r="AA250" s="10"/>
      <c r="AB250" s="4" t="s">
        <v>972</v>
      </c>
      <c r="AC250" s="4" t="s">
        <v>970</v>
      </c>
      <c r="AD250" s="4">
        <v>42873.0</v>
      </c>
      <c r="AE250" s="4">
        <v>2017.0</v>
      </c>
      <c r="AF250" s="4" t="s">
        <v>971</v>
      </c>
      <c r="AG250" s="4" t="s">
        <v>520</v>
      </c>
      <c r="AH250" s="4" t="s">
        <v>50</v>
      </c>
      <c r="AI250" s="4" t="s">
        <v>91</v>
      </c>
      <c r="AJ250" s="4" t="s">
        <v>69</v>
      </c>
      <c r="AK250" s="4" t="s">
        <v>53</v>
      </c>
      <c r="AL250" s="4" t="s">
        <v>473</v>
      </c>
      <c r="AM250" s="4" t="s">
        <v>61</v>
      </c>
      <c r="AN250" s="4" t="s">
        <v>37</v>
      </c>
      <c r="AO250" s="4" t="s">
        <v>38</v>
      </c>
      <c r="AP250" s="4">
        <v>42874.0</v>
      </c>
      <c r="AQ250" s="4">
        <v>817800.0</v>
      </c>
      <c r="AR250" s="4">
        <v>1514550.0</v>
      </c>
      <c r="AS250" s="4">
        <v>696750.0</v>
      </c>
      <c r="AT250" s="4">
        <v>15.0</v>
      </c>
      <c r="AU250" s="4">
        <v>2.271825E7</v>
      </c>
      <c r="AV250" s="4">
        <v>0.08</v>
      </c>
      <c r="AW250" s="4">
        <v>1817460.0</v>
      </c>
      <c r="AX250" s="4">
        <v>2.090079E7</v>
      </c>
      <c r="AY250" s="4">
        <v>1.2267E7</v>
      </c>
      <c r="AZ250" s="4">
        <v>8633790.0</v>
      </c>
    </row>
    <row r="251" ht="15.75" customHeight="1">
      <c r="A251" s="3" t="s">
        <v>973</v>
      </c>
      <c r="B251" s="5">
        <v>42875.0</v>
      </c>
      <c r="C251" s="6">
        <f t="shared" si="1"/>
        <v>2017</v>
      </c>
      <c r="D251" s="7" t="s">
        <v>779</v>
      </c>
      <c r="E251" s="7" t="s">
        <v>780</v>
      </c>
      <c r="F251" s="7" t="s">
        <v>50</v>
      </c>
      <c r="G251" s="5" t="s">
        <v>91</v>
      </c>
      <c r="H251" s="7" t="s">
        <v>98</v>
      </c>
      <c r="I251" s="7" t="s">
        <v>104</v>
      </c>
      <c r="J251" s="7" t="s">
        <v>484</v>
      </c>
      <c r="K251" s="7" t="s">
        <v>61</v>
      </c>
      <c r="L251" s="7" t="s">
        <v>62</v>
      </c>
      <c r="M251" s="7" t="s">
        <v>63</v>
      </c>
      <c r="N251" s="5">
        <v>42876.0</v>
      </c>
      <c r="O251" s="8">
        <v>4184850.0</v>
      </c>
      <c r="P251" s="8">
        <v>6749850.0</v>
      </c>
      <c r="Q251" s="8">
        <f t="shared" si="2"/>
        <v>2565000</v>
      </c>
      <c r="R251" s="8">
        <v>39.0</v>
      </c>
      <c r="S251" s="8">
        <f t="shared" si="3"/>
        <v>263244150</v>
      </c>
      <c r="T251" s="9">
        <v>0.08</v>
      </c>
      <c r="U251" s="8">
        <f t="shared" si="4"/>
        <v>21059532</v>
      </c>
      <c r="V251" s="8">
        <f t="shared" si="5"/>
        <v>242184618</v>
      </c>
      <c r="W251" s="10">
        <f t="shared" si="6"/>
        <v>163209150</v>
      </c>
      <c r="X251" s="10">
        <f t="shared" si="7"/>
        <v>78975468</v>
      </c>
      <c r="Y251" s="10"/>
      <c r="Z251" s="10"/>
      <c r="AA251" s="10"/>
      <c r="AB251" s="4" t="s">
        <v>974</v>
      </c>
      <c r="AC251" s="4" t="s">
        <v>973</v>
      </c>
      <c r="AD251" s="4">
        <v>42875.0</v>
      </c>
      <c r="AE251" s="4">
        <v>2017.0</v>
      </c>
      <c r="AF251" s="4" t="s">
        <v>779</v>
      </c>
      <c r="AG251" s="4" t="s">
        <v>780</v>
      </c>
      <c r="AH251" s="4" t="s">
        <v>50</v>
      </c>
      <c r="AI251" s="4" t="s">
        <v>91</v>
      </c>
      <c r="AJ251" s="4" t="s">
        <v>98</v>
      </c>
      <c r="AK251" s="4" t="s">
        <v>104</v>
      </c>
      <c r="AL251" s="4" t="s">
        <v>484</v>
      </c>
      <c r="AM251" s="4" t="s">
        <v>61</v>
      </c>
      <c r="AN251" s="4" t="s">
        <v>62</v>
      </c>
      <c r="AO251" s="4" t="s">
        <v>63</v>
      </c>
      <c r="AP251" s="4">
        <v>42876.0</v>
      </c>
      <c r="AQ251" s="4">
        <v>4184850.0</v>
      </c>
      <c r="AR251" s="4">
        <v>6749850.0</v>
      </c>
      <c r="AS251" s="4">
        <v>2565000.0</v>
      </c>
      <c r="AT251" s="4">
        <v>39.0</v>
      </c>
      <c r="AU251" s="4">
        <v>2.6324415E8</v>
      </c>
      <c r="AV251" s="4">
        <v>0.08</v>
      </c>
      <c r="AW251" s="4">
        <v>2.1059532E7</v>
      </c>
      <c r="AX251" s="4">
        <v>2.42184618E8</v>
      </c>
      <c r="AY251" s="4">
        <v>1.6320915E8</v>
      </c>
      <c r="AZ251" s="4">
        <v>7.8975468E7</v>
      </c>
    </row>
    <row r="252" ht="15.75" customHeight="1">
      <c r="A252" s="3" t="s">
        <v>975</v>
      </c>
      <c r="B252" s="5">
        <v>42877.0</v>
      </c>
      <c r="C252" s="6">
        <f t="shared" si="1"/>
        <v>2017</v>
      </c>
      <c r="D252" s="7" t="s">
        <v>976</v>
      </c>
      <c r="E252" s="7" t="s">
        <v>977</v>
      </c>
      <c r="F252" s="7" t="s">
        <v>31</v>
      </c>
      <c r="G252" s="5" t="s">
        <v>51</v>
      </c>
      <c r="H252" s="7" t="s">
        <v>33</v>
      </c>
      <c r="I252" s="7" t="s">
        <v>74</v>
      </c>
      <c r="J252" s="7" t="s">
        <v>978</v>
      </c>
      <c r="K252" s="7" t="s">
        <v>61</v>
      </c>
      <c r="L252" s="7" t="s">
        <v>555</v>
      </c>
      <c r="M252" s="7" t="s">
        <v>38</v>
      </c>
      <c r="N252" s="5">
        <v>42886.0</v>
      </c>
      <c r="O252" s="8">
        <v>5669850.0</v>
      </c>
      <c r="P252" s="8">
        <v>8999850.0</v>
      </c>
      <c r="Q252" s="8">
        <f t="shared" si="2"/>
        <v>3330000</v>
      </c>
      <c r="R252" s="8">
        <v>48.0</v>
      </c>
      <c r="S252" s="8">
        <f t="shared" si="3"/>
        <v>431992800</v>
      </c>
      <c r="T252" s="9">
        <v>0.08</v>
      </c>
      <c r="U252" s="8">
        <f t="shared" si="4"/>
        <v>34559424</v>
      </c>
      <c r="V252" s="8">
        <f t="shared" si="5"/>
        <v>397433376</v>
      </c>
      <c r="W252" s="10">
        <f t="shared" si="6"/>
        <v>272152800</v>
      </c>
      <c r="X252" s="10">
        <f t="shared" si="7"/>
        <v>125280576</v>
      </c>
      <c r="Y252" s="10"/>
      <c r="Z252" s="10"/>
      <c r="AA252" s="10"/>
      <c r="AB252" s="4" t="s">
        <v>979</v>
      </c>
      <c r="AC252" s="4" t="s">
        <v>975</v>
      </c>
      <c r="AD252" s="4">
        <v>42877.0</v>
      </c>
      <c r="AE252" s="4">
        <v>2017.0</v>
      </c>
      <c r="AF252" s="4" t="s">
        <v>976</v>
      </c>
      <c r="AG252" s="4" t="s">
        <v>977</v>
      </c>
      <c r="AH252" s="4" t="s">
        <v>31</v>
      </c>
      <c r="AI252" s="4" t="s">
        <v>51</v>
      </c>
      <c r="AJ252" s="4" t="s">
        <v>33</v>
      </c>
      <c r="AK252" s="4" t="s">
        <v>74</v>
      </c>
      <c r="AL252" s="4" t="s">
        <v>978</v>
      </c>
      <c r="AM252" s="4" t="s">
        <v>61</v>
      </c>
      <c r="AN252" s="4" t="s">
        <v>555</v>
      </c>
      <c r="AO252" s="4" t="s">
        <v>38</v>
      </c>
      <c r="AP252" s="4">
        <v>42886.0</v>
      </c>
      <c r="AQ252" s="4">
        <v>5669850.0</v>
      </c>
      <c r="AR252" s="4">
        <v>8999850.0</v>
      </c>
      <c r="AS252" s="4">
        <v>3330000.0</v>
      </c>
      <c r="AT252" s="4">
        <v>48.0</v>
      </c>
      <c r="AU252" s="4">
        <v>4.319928E8</v>
      </c>
      <c r="AV252" s="4">
        <v>0.08</v>
      </c>
      <c r="AW252" s="4">
        <v>3.4559424E7</v>
      </c>
      <c r="AX252" s="4">
        <v>3.97433376E8</v>
      </c>
      <c r="AY252" s="4">
        <v>2.721528E8</v>
      </c>
      <c r="AZ252" s="4">
        <v>1.25280576E8</v>
      </c>
    </row>
    <row r="253" ht="15.75" customHeight="1">
      <c r="A253" s="3" t="s">
        <v>980</v>
      </c>
      <c r="B253" s="5">
        <v>42877.0</v>
      </c>
      <c r="C253" s="6">
        <f t="shared" si="1"/>
        <v>2017</v>
      </c>
      <c r="D253" s="7" t="s">
        <v>976</v>
      </c>
      <c r="E253" s="7" t="s">
        <v>977</v>
      </c>
      <c r="F253" s="7" t="s">
        <v>31</v>
      </c>
      <c r="G253" s="5" t="s">
        <v>51</v>
      </c>
      <c r="H253" s="7" t="s">
        <v>33</v>
      </c>
      <c r="I253" s="7" t="s">
        <v>74</v>
      </c>
      <c r="J253" s="7" t="s">
        <v>981</v>
      </c>
      <c r="K253" s="7" t="s">
        <v>36</v>
      </c>
      <c r="L253" s="7" t="s">
        <v>45</v>
      </c>
      <c r="M253" s="7" t="s">
        <v>55</v>
      </c>
      <c r="N253" s="5">
        <v>42882.0</v>
      </c>
      <c r="O253" s="8">
        <v>38850.0</v>
      </c>
      <c r="P253" s="8">
        <v>59700.0</v>
      </c>
      <c r="Q253" s="8">
        <f t="shared" si="2"/>
        <v>20850</v>
      </c>
      <c r="R253" s="8">
        <v>11.0</v>
      </c>
      <c r="S253" s="8">
        <f t="shared" si="3"/>
        <v>656700</v>
      </c>
      <c r="T253" s="9">
        <v>0.1</v>
      </c>
      <c r="U253" s="8">
        <f t="shared" si="4"/>
        <v>65670</v>
      </c>
      <c r="V253" s="8">
        <f t="shared" si="5"/>
        <v>591030</v>
      </c>
      <c r="W253" s="10">
        <f t="shared" si="6"/>
        <v>427350</v>
      </c>
      <c r="X253" s="10">
        <f t="shared" si="7"/>
        <v>163680</v>
      </c>
      <c r="Y253" s="10"/>
      <c r="Z253" s="10"/>
      <c r="AA253" s="10"/>
      <c r="AB253" s="4" t="s">
        <v>982</v>
      </c>
      <c r="AC253" s="4" t="s">
        <v>980</v>
      </c>
      <c r="AD253" s="4">
        <v>42877.0</v>
      </c>
      <c r="AE253" s="4">
        <v>2017.0</v>
      </c>
      <c r="AF253" s="4" t="s">
        <v>976</v>
      </c>
      <c r="AG253" s="4" t="s">
        <v>977</v>
      </c>
      <c r="AH253" s="4" t="s">
        <v>31</v>
      </c>
      <c r="AI253" s="4" t="s">
        <v>51</v>
      </c>
      <c r="AJ253" s="4" t="s">
        <v>33</v>
      </c>
      <c r="AK253" s="4" t="s">
        <v>74</v>
      </c>
      <c r="AL253" s="4" t="s">
        <v>981</v>
      </c>
      <c r="AM253" s="4" t="s">
        <v>36</v>
      </c>
      <c r="AN253" s="4" t="s">
        <v>45</v>
      </c>
      <c r="AO253" s="4" t="s">
        <v>55</v>
      </c>
      <c r="AP253" s="4">
        <v>42882.0</v>
      </c>
      <c r="AQ253" s="4">
        <v>38850.0</v>
      </c>
      <c r="AR253" s="4">
        <v>59700.0</v>
      </c>
      <c r="AS253" s="4">
        <v>20850.0</v>
      </c>
      <c r="AT253" s="4">
        <v>11.0</v>
      </c>
      <c r="AU253" s="4">
        <v>656700.0</v>
      </c>
      <c r="AV253" s="4">
        <v>0.1</v>
      </c>
      <c r="AW253" s="4">
        <v>65670.0</v>
      </c>
      <c r="AX253" s="4">
        <v>591030.0</v>
      </c>
      <c r="AY253" s="4">
        <v>427350.0</v>
      </c>
      <c r="AZ253" s="4">
        <v>163680.0</v>
      </c>
    </row>
    <row r="254" ht="15.75" customHeight="1">
      <c r="A254" s="3" t="s">
        <v>983</v>
      </c>
      <c r="B254" s="5">
        <v>42879.0</v>
      </c>
      <c r="C254" s="6">
        <f t="shared" si="1"/>
        <v>2017</v>
      </c>
      <c r="D254" s="7" t="s">
        <v>984</v>
      </c>
      <c r="E254" s="7" t="s">
        <v>985</v>
      </c>
      <c r="F254" s="7" t="s">
        <v>50</v>
      </c>
      <c r="G254" s="5" t="s">
        <v>51</v>
      </c>
      <c r="H254" s="7" t="s">
        <v>140</v>
      </c>
      <c r="I254" s="7" t="s">
        <v>74</v>
      </c>
      <c r="J254" s="7" t="s">
        <v>538</v>
      </c>
      <c r="K254" s="7" t="s">
        <v>36</v>
      </c>
      <c r="L254" s="7" t="s">
        <v>37</v>
      </c>
      <c r="M254" s="7" t="s">
        <v>38</v>
      </c>
      <c r="N254" s="5">
        <v>42883.0</v>
      </c>
      <c r="O254" s="8">
        <v>33900.0</v>
      </c>
      <c r="P254" s="8">
        <v>53700.0</v>
      </c>
      <c r="Q254" s="8">
        <f t="shared" si="2"/>
        <v>19800</v>
      </c>
      <c r="R254" s="8">
        <v>42.0</v>
      </c>
      <c r="S254" s="8">
        <f t="shared" si="3"/>
        <v>2255400</v>
      </c>
      <c r="T254" s="9">
        <v>0.01</v>
      </c>
      <c r="U254" s="8">
        <f t="shared" si="4"/>
        <v>22554</v>
      </c>
      <c r="V254" s="8">
        <f t="shared" si="5"/>
        <v>2232846</v>
      </c>
      <c r="W254" s="10">
        <f t="shared" si="6"/>
        <v>1423800</v>
      </c>
      <c r="X254" s="10">
        <f t="shared" si="7"/>
        <v>809046</v>
      </c>
      <c r="Y254" s="10"/>
      <c r="Z254" s="10"/>
      <c r="AA254" s="10"/>
      <c r="AB254" s="4" t="s">
        <v>986</v>
      </c>
      <c r="AC254" s="4" t="s">
        <v>983</v>
      </c>
      <c r="AD254" s="4">
        <v>42879.0</v>
      </c>
      <c r="AE254" s="4">
        <v>2017.0</v>
      </c>
      <c r="AF254" s="4" t="s">
        <v>984</v>
      </c>
      <c r="AG254" s="4" t="s">
        <v>985</v>
      </c>
      <c r="AH254" s="4" t="s">
        <v>50</v>
      </c>
      <c r="AI254" s="4" t="s">
        <v>51</v>
      </c>
      <c r="AJ254" s="4" t="s">
        <v>140</v>
      </c>
      <c r="AK254" s="4" t="s">
        <v>74</v>
      </c>
      <c r="AL254" s="4" t="s">
        <v>538</v>
      </c>
      <c r="AM254" s="4" t="s">
        <v>36</v>
      </c>
      <c r="AN254" s="4" t="s">
        <v>37</v>
      </c>
      <c r="AO254" s="4" t="s">
        <v>38</v>
      </c>
      <c r="AP254" s="4">
        <v>42883.0</v>
      </c>
      <c r="AQ254" s="4">
        <v>33900.0</v>
      </c>
      <c r="AR254" s="4">
        <v>53700.0</v>
      </c>
      <c r="AS254" s="4">
        <v>19800.0</v>
      </c>
      <c r="AT254" s="4">
        <v>42.0</v>
      </c>
      <c r="AU254" s="4">
        <v>2255400.0</v>
      </c>
      <c r="AV254" s="4">
        <v>0.01</v>
      </c>
      <c r="AW254" s="4">
        <v>22554.0</v>
      </c>
      <c r="AX254" s="4">
        <v>2232846.0</v>
      </c>
      <c r="AY254" s="4">
        <v>1423800.0</v>
      </c>
      <c r="AZ254" s="4">
        <v>809046.0</v>
      </c>
    </row>
    <row r="255" ht="15.75" customHeight="1">
      <c r="A255" s="3" t="s">
        <v>987</v>
      </c>
      <c r="B255" s="5">
        <v>42880.0</v>
      </c>
      <c r="C255" s="6">
        <f t="shared" si="1"/>
        <v>2017</v>
      </c>
      <c r="D255" s="7" t="s">
        <v>988</v>
      </c>
      <c r="E255" s="7" t="s">
        <v>253</v>
      </c>
      <c r="F255" s="7" t="s">
        <v>31</v>
      </c>
      <c r="G255" s="5" t="s">
        <v>91</v>
      </c>
      <c r="H255" s="7" t="s">
        <v>43</v>
      </c>
      <c r="I255" s="7" t="s">
        <v>53</v>
      </c>
      <c r="J255" s="7" t="s">
        <v>243</v>
      </c>
      <c r="K255" s="7" t="s">
        <v>61</v>
      </c>
      <c r="L255" s="7" t="s">
        <v>244</v>
      </c>
      <c r="M255" s="7" t="s">
        <v>38</v>
      </c>
      <c r="N255" s="5">
        <v>42881.0</v>
      </c>
      <c r="O255" s="8">
        <v>132300.0</v>
      </c>
      <c r="P255" s="8">
        <v>314850.0</v>
      </c>
      <c r="Q255" s="8">
        <f t="shared" si="2"/>
        <v>182550</v>
      </c>
      <c r="R255" s="8">
        <v>42.0</v>
      </c>
      <c r="S255" s="8">
        <f t="shared" si="3"/>
        <v>13223700</v>
      </c>
      <c r="T255" s="9">
        <v>0.07</v>
      </c>
      <c r="U255" s="8">
        <f t="shared" si="4"/>
        <v>925659</v>
      </c>
      <c r="V255" s="8">
        <f t="shared" si="5"/>
        <v>12298041</v>
      </c>
      <c r="W255" s="10">
        <f t="shared" si="6"/>
        <v>5556600</v>
      </c>
      <c r="X255" s="10">
        <f t="shared" si="7"/>
        <v>6741441</v>
      </c>
      <c r="Y255" s="10"/>
      <c r="Z255" s="10"/>
      <c r="AA255" s="10"/>
      <c r="AB255" s="4" t="s">
        <v>989</v>
      </c>
      <c r="AC255" s="4" t="s">
        <v>987</v>
      </c>
      <c r="AD255" s="4">
        <v>42880.0</v>
      </c>
      <c r="AE255" s="4">
        <v>2017.0</v>
      </c>
      <c r="AF255" s="4" t="s">
        <v>988</v>
      </c>
      <c r="AG255" s="4" t="s">
        <v>253</v>
      </c>
      <c r="AH255" s="4" t="s">
        <v>31</v>
      </c>
      <c r="AI255" s="4" t="s">
        <v>91</v>
      </c>
      <c r="AJ255" s="4" t="s">
        <v>43</v>
      </c>
      <c r="AK255" s="4" t="s">
        <v>53</v>
      </c>
      <c r="AL255" s="4" t="s">
        <v>243</v>
      </c>
      <c r="AM255" s="4" t="s">
        <v>61</v>
      </c>
      <c r="AN255" s="4" t="s">
        <v>244</v>
      </c>
      <c r="AO255" s="4" t="s">
        <v>38</v>
      </c>
      <c r="AP255" s="4">
        <v>42881.0</v>
      </c>
      <c r="AQ255" s="4">
        <v>132300.0</v>
      </c>
      <c r="AR255" s="4">
        <v>314850.0</v>
      </c>
      <c r="AS255" s="4">
        <v>182550.0</v>
      </c>
      <c r="AT255" s="4">
        <v>42.0</v>
      </c>
      <c r="AU255" s="4">
        <v>1.32237E7</v>
      </c>
      <c r="AV255" s="4">
        <v>0.07</v>
      </c>
      <c r="AW255" s="4">
        <v>925659.0</v>
      </c>
      <c r="AX255" s="4">
        <v>1.2298041E7</v>
      </c>
      <c r="AY255" s="4">
        <v>5556600.0</v>
      </c>
      <c r="AZ255" s="4">
        <v>6741441.0</v>
      </c>
    </row>
    <row r="256" ht="15.75" customHeight="1">
      <c r="A256" s="3" t="s">
        <v>990</v>
      </c>
      <c r="B256" s="5">
        <v>42880.0</v>
      </c>
      <c r="C256" s="6">
        <f t="shared" si="1"/>
        <v>2017</v>
      </c>
      <c r="D256" s="7" t="s">
        <v>991</v>
      </c>
      <c r="E256" s="7" t="s">
        <v>766</v>
      </c>
      <c r="F256" s="7" t="s">
        <v>50</v>
      </c>
      <c r="G256" s="5" t="s">
        <v>68</v>
      </c>
      <c r="H256" s="7" t="s">
        <v>189</v>
      </c>
      <c r="I256" s="7" t="s">
        <v>74</v>
      </c>
      <c r="J256" s="7" t="s">
        <v>992</v>
      </c>
      <c r="K256" s="7" t="s">
        <v>36</v>
      </c>
      <c r="L256" s="7" t="s">
        <v>37</v>
      </c>
      <c r="M256" s="7" t="s">
        <v>55</v>
      </c>
      <c r="N256" s="5">
        <v>42882.0</v>
      </c>
      <c r="O256" s="8">
        <v>781050.0</v>
      </c>
      <c r="P256" s="8">
        <v>1259700.0</v>
      </c>
      <c r="Q256" s="8">
        <f t="shared" si="2"/>
        <v>478650</v>
      </c>
      <c r="R256" s="8">
        <v>9.0</v>
      </c>
      <c r="S256" s="8">
        <f t="shared" si="3"/>
        <v>11337300</v>
      </c>
      <c r="T256" s="9">
        <v>0.05</v>
      </c>
      <c r="U256" s="8">
        <f t="shared" si="4"/>
        <v>566865</v>
      </c>
      <c r="V256" s="8">
        <f t="shared" si="5"/>
        <v>10770435</v>
      </c>
      <c r="W256" s="10">
        <f t="shared" si="6"/>
        <v>7029450</v>
      </c>
      <c r="X256" s="10">
        <f t="shared" si="7"/>
        <v>3740985</v>
      </c>
      <c r="Y256" s="10"/>
      <c r="Z256" s="10"/>
      <c r="AA256" s="10"/>
      <c r="AB256" s="4" t="s">
        <v>993</v>
      </c>
      <c r="AC256" s="4" t="s">
        <v>990</v>
      </c>
      <c r="AD256" s="4">
        <v>42880.0</v>
      </c>
      <c r="AE256" s="4">
        <v>2017.0</v>
      </c>
      <c r="AF256" s="4" t="s">
        <v>991</v>
      </c>
      <c r="AG256" s="4" t="s">
        <v>766</v>
      </c>
      <c r="AH256" s="4" t="s">
        <v>50</v>
      </c>
      <c r="AI256" s="4" t="s">
        <v>68</v>
      </c>
      <c r="AJ256" s="4" t="s">
        <v>189</v>
      </c>
      <c r="AK256" s="4" t="s">
        <v>74</v>
      </c>
      <c r="AL256" s="4" t="s">
        <v>992</v>
      </c>
      <c r="AM256" s="4" t="s">
        <v>36</v>
      </c>
      <c r="AN256" s="4" t="s">
        <v>37</v>
      </c>
      <c r="AO256" s="4" t="s">
        <v>55</v>
      </c>
      <c r="AP256" s="4">
        <v>42882.0</v>
      </c>
      <c r="AQ256" s="4">
        <v>781050.0</v>
      </c>
      <c r="AR256" s="4">
        <v>1259700.0</v>
      </c>
      <c r="AS256" s="4">
        <v>478650.0</v>
      </c>
      <c r="AT256" s="4">
        <v>9.0</v>
      </c>
      <c r="AU256" s="4">
        <v>1.13373E7</v>
      </c>
      <c r="AV256" s="4">
        <v>0.05</v>
      </c>
      <c r="AW256" s="4">
        <v>566865.0</v>
      </c>
      <c r="AX256" s="4">
        <v>1.0770435E7</v>
      </c>
      <c r="AY256" s="4">
        <v>7029450.0</v>
      </c>
      <c r="AZ256" s="4">
        <v>3740985.0</v>
      </c>
    </row>
    <row r="257" ht="15.75" customHeight="1">
      <c r="A257" s="3" t="s">
        <v>994</v>
      </c>
      <c r="B257" s="5">
        <v>42882.0</v>
      </c>
      <c r="C257" s="6">
        <f t="shared" si="1"/>
        <v>2017</v>
      </c>
      <c r="D257" s="7" t="s">
        <v>995</v>
      </c>
      <c r="E257" s="7" t="s">
        <v>258</v>
      </c>
      <c r="F257" s="7" t="s">
        <v>50</v>
      </c>
      <c r="G257" s="5" t="s">
        <v>32</v>
      </c>
      <c r="H257" s="7" t="s">
        <v>98</v>
      </c>
      <c r="I257" s="7" t="s">
        <v>34</v>
      </c>
      <c r="J257" s="7" t="s">
        <v>484</v>
      </c>
      <c r="K257" s="7" t="s">
        <v>61</v>
      </c>
      <c r="L257" s="7" t="s">
        <v>555</v>
      </c>
      <c r="M257" s="7" t="s">
        <v>38</v>
      </c>
      <c r="N257" s="5">
        <v>42883.0</v>
      </c>
      <c r="O257" s="8">
        <v>3240000.0</v>
      </c>
      <c r="P257" s="8">
        <v>6749850.0</v>
      </c>
      <c r="Q257" s="8">
        <f t="shared" si="2"/>
        <v>3509850</v>
      </c>
      <c r="R257" s="8">
        <v>5.0</v>
      </c>
      <c r="S257" s="8">
        <f t="shared" si="3"/>
        <v>33749250</v>
      </c>
      <c r="T257" s="9">
        <v>0.02</v>
      </c>
      <c r="U257" s="8">
        <f t="shared" si="4"/>
        <v>674985</v>
      </c>
      <c r="V257" s="8">
        <f t="shared" si="5"/>
        <v>33074265</v>
      </c>
      <c r="W257" s="10">
        <f t="shared" si="6"/>
        <v>16200000</v>
      </c>
      <c r="X257" s="10">
        <f t="shared" si="7"/>
        <v>16874265</v>
      </c>
      <c r="Y257" s="10"/>
      <c r="Z257" s="10"/>
      <c r="AA257" s="10"/>
      <c r="AB257" s="4" t="s">
        <v>996</v>
      </c>
      <c r="AC257" s="4" t="s">
        <v>994</v>
      </c>
      <c r="AD257" s="4">
        <v>42882.0</v>
      </c>
      <c r="AE257" s="4">
        <v>2017.0</v>
      </c>
      <c r="AF257" s="4" t="s">
        <v>995</v>
      </c>
      <c r="AG257" s="4" t="s">
        <v>258</v>
      </c>
      <c r="AH257" s="4" t="s">
        <v>50</v>
      </c>
      <c r="AI257" s="4" t="s">
        <v>32</v>
      </c>
      <c r="AJ257" s="4" t="s">
        <v>98</v>
      </c>
      <c r="AK257" s="4" t="s">
        <v>34</v>
      </c>
      <c r="AL257" s="4" t="s">
        <v>484</v>
      </c>
      <c r="AM257" s="4" t="s">
        <v>61</v>
      </c>
      <c r="AN257" s="4" t="s">
        <v>555</v>
      </c>
      <c r="AO257" s="4" t="s">
        <v>38</v>
      </c>
      <c r="AP257" s="4">
        <v>42883.0</v>
      </c>
      <c r="AQ257" s="4">
        <v>3240000.0</v>
      </c>
      <c r="AR257" s="4">
        <v>6749850.0</v>
      </c>
      <c r="AS257" s="4">
        <v>3509850.0</v>
      </c>
      <c r="AT257" s="4">
        <v>5.0</v>
      </c>
      <c r="AU257" s="4">
        <v>3.374925E7</v>
      </c>
      <c r="AV257" s="4">
        <v>0.02</v>
      </c>
      <c r="AW257" s="4">
        <v>674985.0</v>
      </c>
      <c r="AX257" s="4">
        <v>3.3074265E7</v>
      </c>
      <c r="AY257" s="4">
        <v>1.62E7</v>
      </c>
      <c r="AZ257" s="4">
        <v>1.6874265E7</v>
      </c>
    </row>
    <row r="258" ht="15.75" customHeight="1">
      <c r="A258" s="3" t="s">
        <v>997</v>
      </c>
      <c r="B258" s="5">
        <v>42883.0</v>
      </c>
      <c r="C258" s="6">
        <f t="shared" si="1"/>
        <v>2017</v>
      </c>
      <c r="D258" s="7" t="s">
        <v>376</v>
      </c>
      <c r="E258" s="7" t="s">
        <v>49</v>
      </c>
      <c r="F258" s="7" t="s">
        <v>50</v>
      </c>
      <c r="G258" s="5" t="s">
        <v>68</v>
      </c>
      <c r="H258" s="7" t="s">
        <v>52</v>
      </c>
      <c r="I258" s="7" t="s">
        <v>34</v>
      </c>
      <c r="J258" s="7" t="s">
        <v>998</v>
      </c>
      <c r="K258" s="7" t="s">
        <v>36</v>
      </c>
      <c r="L258" s="7" t="s">
        <v>45</v>
      </c>
      <c r="M258" s="7" t="s">
        <v>38</v>
      </c>
      <c r="N258" s="5">
        <v>42883.0</v>
      </c>
      <c r="O258" s="8">
        <v>32400.000000000004</v>
      </c>
      <c r="P258" s="8">
        <v>57750.0</v>
      </c>
      <c r="Q258" s="8">
        <f t="shared" si="2"/>
        <v>25350</v>
      </c>
      <c r="R258" s="8">
        <v>31.0</v>
      </c>
      <c r="S258" s="8">
        <f t="shared" si="3"/>
        <v>1790250</v>
      </c>
      <c r="T258" s="9">
        <v>0.09</v>
      </c>
      <c r="U258" s="8">
        <f t="shared" si="4"/>
        <v>161122.5</v>
      </c>
      <c r="V258" s="8">
        <f t="shared" si="5"/>
        <v>1629127.5</v>
      </c>
      <c r="W258" s="10">
        <f t="shared" si="6"/>
        <v>1004400</v>
      </c>
      <c r="X258" s="10">
        <f t="shared" si="7"/>
        <v>624727.5</v>
      </c>
      <c r="Y258" s="10"/>
      <c r="Z258" s="10"/>
      <c r="AA258" s="10"/>
      <c r="AB258" s="4" t="s">
        <v>999</v>
      </c>
      <c r="AC258" s="4" t="s">
        <v>997</v>
      </c>
      <c r="AD258" s="4">
        <v>42883.0</v>
      </c>
      <c r="AE258" s="4">
        <v>2017.0</v>
      </c>
      <c r="AF258" s="4" t="s">
        <v>376</v>
      </c>
      <c r="AG258" s="4" t="s">
        <v>49</v>
      </c>
      <c r="AH258" s="4" t="s">
        <v>50</v>
      </c>
      <c r="AI258" s="4" t="s">
        <v>68</v>
      </c>
      <c r="AJ258" s="4" t="s">
        <v>52</v>
      </c>
      <c r="AK258" s="4" t="s">
        <v>34</v>
      </c>
      <c r="AL258" s="4" t="s">
        <v>998</v>
      </c>
      <c r="AM258" s="4" t="s">
        <v>36</v>
      </c>
      <c r="AN258" s="4" t="s">
        <v>45</v>
      </c>
      <c r="AO258" s="4" t="s">
        <v>38</v>
      </c>
      <c r="AP258" s="4">
        <v>42883.0</v>
      </c>
      <c r="AQ258" s="4">
        <v>32400.0</v>
      </c>
      <c r="AR258" s="4">
        <v>57750.0</v>
      </c>
      <c r="AS258" s="4">
        <v>25350.0</v>
      </c>
      <c r="AT258" s="4">
        <v>31.0</v>
      </c>
      <c r="AU258" s="4">
        <v>1790250.0</v>
      </c>
      <c r="AV258" s="4">
        <v>0.09</v>
      </c>
      <c r="AW258" s="4">
        <v>161122.5</v>
      </c>
      <c r="AX258" s="4">
        <v>1629127.5</v>
      </c>
      <c r="AY258" s="4">
        <v>1004400.0</v>
      </c>
      <c r="AZ258" s="4">
        <v>624727.5</v>
      </c>
    </row>
    <row r="259" ht="15.75" customHeight="1">
      <c r="A259" s="3" t="s">
        <v>1000</v>
      </c>
      <c r="B259" s="5">
        <v>42885.0</v>
      </c>
      <c r="C259" s="6">
        <f t="shared" si="1"/>
        <v>2017</v>
      </c>
      <c r="D259" s="7" t="s">
        <v>1001</v>
      </c>
      <c r="E259" s="7" t="s">
        <v>384</v>
      </c>
      <c r="F259" s="7" t="s">
        <v>31</v>
      </c>
      <c r="G259" s="5" t="s">
        <v>32</v>
      </c>
      <c r="H259" s="7" t="s">
        <v>43</v>
      </c>
      <c r="I259" s="7" t="s">
        <v>104</v>
      </c>
      <c r="J259" s="7" t="s">
        <v>1002</v>
      </c>
      <c r="K259" s="7" t="s">
        <v>36</v>
      </c>
      <c r="L259" s="7" t="s">
        <v>45</v>
      </c>
      <c r="M259" s="7" t="s">
        <v>38</v>
      </c>
      <c r="N259" s="5">
        <v>42886.0</v>
      </c>
      <c r="O259" s="8">
        <v>17250.0</v>
      </c>
      <c r="P259" s="8">
        <v>40050.0</v>
      </c>
      <c r="Q259" s="8">
        <f t="shared" si="2"/>
        <v>22800</v>
      </c>
      <c r="R259" s="8">
        <v>19.0</v>
      </c>
      <c r="S259" s="8">
        <f t="shared" si="3"/>
        <v>760950</v>
      </c>
      <c r="T259" s="9">
        <v>0.03</v>
      </c>
      <c r="U259" s="8">
        <f t="shared" si="4"/>
        <v>22828.5</v>
      </c>
      <c r="V259" s="8">
        <f t="shared" si="5"/>
        <v>738121.5</v>
      </c>
      <c r="W259" s="10">
        <f t="shared" si="6"/>
        <v>327750</v>
      </c>
      <c r="X259" s="10">
        <f t="shared" si="7"/>
        <v>410371.5</v>
      </c>
      <c r="Y259" s="10"/>
      <c r="Z259" s="10"/>
      <c r="AA259" s="10"/>
      <c r="AB259" s="4" t="s">
        <v>1003</v>
      </c>
      <c r="AC259" s="4" t="s">
        <v>1000</v>
      </c>
      <c r="AD259" s="4">
        <v>42885.0</v>
      </c>
      <c r="AE259" s="4">
        <v>2017.0</v>
      </c>
      <c r="AF259" s="4" t="s">
        <v>1001</v>
      </c>
      <c r="AG259" s="4" t="s">
        <v>384</v>
      </c>
      <c r="AH259" s="4" t="s">
        <v>31</v>
      </c>
      <c r="AI259" s="4" t="s">
        <v>32</v>
      </c>
      <c r="AJ259" s="4" t="s">
        <v>43</v>
      </c>
      <c r="AK259" s="4" t="s">
        <v>104</v>
      </c>
      <c r="AL259" s="4" t="s">
        <v>1002</v>
      </c>
      <c r="AM259" s="4" t="s">
        <v>36</v>
      </c>
      <c r="AN259" s="4" t="s">
        <v>45</v>
      </c>
      <c r="AO259" s="4" t="s">
        <v>38</v>
      </c>
      <c r="AP259" s="4">
        <v>42886.0</v>
      </c>
      <c r="AQ259" s="4">
        <v>17250.0</v>
      </c>
      <c r="AR259" s="4">
        <v>40050.0</v>
      </c>
      <c r="AS259" s="4">
        <v>22800.0</v>
      </c>
      <c r="AT259" s="4">
        <v>19.0</v>
      </c>
      <c r="AU259" s="4">
        <v>760950.0</v>
      </c>
      <c r="AV259" s="4">
        <v>0.03</v>
      </c>
      <c r="AW259" s="4">
        <v>22828.5</v>
      </c>
      <c r="AX259" s="4">
        <v>738121.5</v>
      </c>
      <c r="AY259" s="4">
        <v>327750.0</v>
      </c>
      <c r="AZ259" s="4">
        <v>410371.5</v>
      </c>
    </row>
    <row r="260" ht="15.75" customHeight="1">
      <c r="A260" s="3" t="s">
        <v>1004</v>
      </c>
      <c r="B260" s="5">
        <v>42885.0</v>
      </c>
      <c r="C260" s="6">
        <f t="shared" si="1"/>
        <v>2017</v>
      </c>
      <c r="D260" s="7" t="s">
        <v>1005</v>
      </c>
      <c r="E260" s="7" t="s">
        <v>667</v>
      </c>
      <c r="F260" s="7" t="s">
        <v>50</v>
      </c>
      <c r="G260" s="5" t="s">
        <v>51</v>
      </c>
      <c r="H260" s="7" t="s">
        <v>140</v>
      </c>
      <c r="I260" s="7" t="s">
        <v>74</v>
      </c>
      <c r="J260" s="7" t="s">
        <v>1006</v>
      </c>
      <c r="K260" s="7" t="s">
        <v>36</v>
      </c>
      <c r="L260" s="7" t="s">
        <v>45</v>
      </c>
      <c r="M260" s="7" t="s">
        <v>55</v>
      </c>
      <c r="N260" s="5">
        <v>42890.0</v>
      </c>
      <c r="O260" s="8">
        <v>23550.0</v>
      </c>
      <c r="P260" s="8">
        <v>49200.0</v>
      </c>
      <c r="Q260" s="8">
        <f t="shared" si="2"/>
        <v>25650</v>
      </c>
      <c r="R260" s="8">
        <v>44.0</v>
      </c>
      <c r="S260" s="8">
        <f t="shared" si="3"/>
        <v>2164800</v>
      </c>
      <c r="T260" s="9">
        <v>0.0</v>
      </c>
      <c r="U260" s="8">
        <f t="shared" si="4"/>
        <v>0</v>
      </c>
      <c r="V260" s="8">
        <f t="shared" si="5"/>
        <v>2164800</v>
      </c>
      <c r="W260" s="10">
        <f t="shared" si="6"/>
        <v>1036200</v>
      </c>
      <c r="X260" s="10">
        <f t="shared" si="7"/>
        <v>1128600</v>
      </c>
      <c r="Y260" s="10"/>
      <c r="Z260" s="10"/>
      <c r="AA260" s="10"/>
      <c r="AB260" s="4" t="s">
        <v>1007</v>
      </c>
      <c r="AC260" s="4" t="s">
        <v>1004</v>
      </c>
      <c r="AD260" s="4">
        <v>42885.0</v>
      </c>
      <c r="AE260" s="4">
        <v>2017.0</v>
      </c>
      <c r="AF260" s="4" t="s">
        <v>1005</v>
      </c>
      <c r="AG260" s="4" t="s">
        <v>667</v>
      </c>
      <c r="AH260" s="4" t="s">
        <v>50</v>
      </c>
      <c r="AI260" s="4" t="s">
        <v>51</v>
      </c>
      <c r="AJ260" s="4" t="s">
        <v>140</v>
      </c>
      <c r="AK260" s="4" t="s">
        <v>74</v>
      </c>
      <c r="AL260" s="4" t="s">
        <v>1006</v>
      </c>
      <c r="AM260" s="4" t="s">
        <v>36</v>
      </c>
      <c r="AN260" s="4" t="s">
        <v>45</v>
      </c>
      <c r="AO260" s="4" t="s">
        <v>55</v>
      </c>
      <c r="AP260" s="4">
        <v>42890.0</v>
      </c>
      <c r="AQ260" s="4">
        <v>23550.0</v>
      </c>
      <c r="AR260" s="4">
        <v>49200.0</v>
      </c>
      <c r="AS260" s="4">
        <v>25650.0</v>
      </c>
      <c r="AT260" s="4">
        <v>44.0</v>
      </c>
      <c r="AU260" s="4">
        <v>2164800.0</v>
      </c>
      <c r="AV260" s="4">
        <v>0.0</v>
      </c>
      <c r="AW260" s="4">
        <v>0.0</v>
      </c>
      <c r="AX260" s="4">
        <v>2164800.0</v>
      </c>
      <c r="AY260" s="4">
        <v>1036200.0</v>
      </c>
      <c r="AZ260" s="4">
        <v>1128600.0</v>
      </c>
    </row>
    <row r="261" ht="15.75" customHeight="1">
      <c r="A261" s="3" t="s">
        <v>1008</v>
      </c>
      <c r="B261" s="5">
        <v>42886.0</v>
      </c>
      <c r="C261" s="6">
        <f t="shared" si="1"/>
        <v>2017</v>
      </c>
      <c r="D261" s="7" t="s">
        <v>1009</v>
      </c>
      <c r="E261" s="7" t="s">
        <v>103</v>
      </c>
      <c r="F261" s="7" t="s">
        <v>31</v>
      </c>
      <c r="G261" s="5" t="s">
        <v>51</v>
      </c>
      <c r="H261" s="7" t="s">
        <v>33</v>
      </c>
      <c r="I261" s="7" t="s">
        <v>34</v>
      </c>
      <c r="J261" s="7" t="s">
        <v>243</v>
      </c>
      <c r="K261" s="7" t="s">
        <v>61</v>
      </c>
      <c r="L261" s="7" t="s">
        <v>244</v>
      </c>
      <c r="M261" s="7" t="s">
        <v>38</v>
      </c>
      <c r="N261" s="5">
        <v>42888.0</v>
      </c>
      <c r="O261" s="8">
        <v>132300.0</v>
      </c>
      <c r="P261" s="8">
        <v>314850.0</v>
      </c>
      <c r="Q261" s="8">
        <f t="shared" si="2"/>
        <v>182550</v>
      </c>
      <c r="R261" s="8">
        <v>24.0</v>
      </c>
      <c r="S261" s="8">
        <f t="shared" si="3"/>
        <v>7556400</v>
      </c>
      <c r="T261" s="9">
        <v>0.01</v>
      </c>
      <c r="U261" s="8">
        <f t="shared" si="4"/>
        <v>75564</v>
      </c>
      <c r="V261" s="8">
        <f t="shared" si="5"/>
        <v>7480836</v>
      </c>
      <c r="W261" s="10">
        <f t="shared" si="6"/>
        <v>3175200</v>
      </c>
      <c r="X261" s="10">
        <f t="shared" si="7"/>
        <v>4305636</v>
      </c>
      <c r="Y261" s="10"/>
      <c r="Z261" s="10"/>
      <c r="AA261" s="10"/>
      <c r="AB261" s="4" t="s">
        <v>1010</v>
      </c>
      <c r="AC261" s="4" t="s">
        <v>1008</v>
      </c>
      <c r="AD261" s="4">
        <v>42886.0</v>
      </c>
      <c r="AE261" s="4">
        <v>2017.0</v>
      </c>
      <c r="AF261" s="4" t="s">
        <v>1009</v>
      </c>
      <c r="AG261" s="4" t="s">
        <v>103</v>
      </c>
      <c r="AH261" s="4" t="s">
        <v>31</v>
      </c>
      <c r="AI261" s="4" t="s">
        <v>51</v>
      </c>
      <c r="AJ261" s="4" t="s">
        <v>33</v>
      </c>
      <c r="AK261" s="4" t="s">
        <v>34</v>
      </c>
      <c r="AL261" s="4" t="s">
        <v>243</v>
      </c>
      <c r="AM261" s="4" t="s">
        <v>61</v>
      </c>
      <c r="AN261" s="4" t="s">
        <v>244</v>
      </c>
      <c r="AO261" s="4" t="s">
        <v>38</v>
      </c>
      <c r="AP261" s="4">
        <v>42888.0</v>
      </c>
      <c r="AQ261" s="4">
        <v>132300.0</v>
      </c>
      <c r="AR261" s="4">
        <v>314850.0</v>
      </c>
      <c r="AS261" s="4">
        <v>182550.0</v>
      </c>
      <c r="AT261" s="4">
        <v>24.0</v>
      </c>
      <c r="AU261" s="4">
        <v>7556400.0</v>
      </c>
      <c r="AV261" s="4">
        <v>0.01</v>
      </c>
      <c r="AW261" s="4">
        <v>75564.0</v>
      </c>
      <c r="AX261" s="4">
        <v>7480836.0</v>
      </c>
      <c r="AY261" s="4">
        <v>3175200.0</v>
      </c>
      <c r="AZ261" s="4">
        <v>4305636.0</v>
      </c>
    </row>
    <row r="262" ht="15.75" customHeight="1">
      <c r="A262" s="3" t="s">
        <v>1011</v>
      </c>
      <c r="B262" s="5">
        <v>42892.0</v>
      </c>
      <c r="C262" s="6">
        <f t="shared" si="1"/>
        <v>2017</v>
      </c>
      <c r="D262" s="7" t="s">
        <v>712</v>
      </c>
      <c r="E262" s="7" t="s">
        <v>42</v>
      </c>
      <c r="F262" s="7" t="s">
        <v>50</v>
      </c>
      <c r="G262" s="5" t="s">
        <v>51</v>
      </c>
      <c r="H262" s="7" t="s">
        <v>151</v>
      </c>
      <c r="I262" s="7" t="s">
        <v>53</v>
      </c>
      <c r="J262" s="7" t="s">
        <v>1012</v>
      </c>
      <c r="K262" s="7" t="s">
        <v>36</v>
      </c>
      <c r="L262" s="7" t="s">
        <v>127</v>
      </c>
      <c r="M262" s="7" t="s">
        <v>38</v>
      </c>
      <c r="N262" s="5">
        <v>42893.0</v>
      </c>
      <c r="O262" s="8">
        <v>62850.00000000001</v>
      </c>
      <c r="P262" s="8">
        <v>153450.0</v>
      </c>
      <c r="Q262" s="8">
        <f t="shared" si="2"/>
        <v>90600</v>
      </c>
      <c r="R262" s="8">
        <v>9.0</v>
      </c>
      <c r="S262" s="8">
        <f t="shared" si="3"/>
        <v>1381050</v>
      </c>
      <c r="T262" s="9">
        <v>0.07</v>
      </c>
      <c r="U262" s="8">
        <f t="shared" si="4"/>
        <v>96673.5</v>
      </c>
      <c r="V262" s="8">
        <f t="shared" si="5"/>
        <v>1284376.5</v>
      </c>
      <c r="W262" s="10">
        <f t="shared" si="6"/>
        <v>565650</v>
      </c>
      <c r="X262" s="10">
        <f t="shared" si="7"/>
        <v>718726.5</v>
      </c>
      <c r="Y262" s="10"/>
      <c r="Z262" s="10"/>
      <c r="AA262" s="10"/>
      <c r="AB262" s="4" t="s">
        <v>1013</v>
      </c>
      <c r="AC262" s="4" t="s">
        <v>1011</v>
      </c>
      <c r="AD262" s="4">
        <v>42892.0</v>
      </c>
      <c r="AE262" s="4">
        <v>2017.0</v>
      </c>
      <c r="AF262" s="4" t="s">
        <v>712</v>
      </c>
      <c r="AG262" s="4" t="s">
        <v>42</v>
      </c>
      <c r="AH262" s="4" t="s">
        <v>50</v>
      </c>
      <c r="AI262" s="4" t="s">
        <v>51</v>
      </c>
      <c r="AJ262" s="4" t="s">
        <v>151</v>
      </c>
      <c r="AK262" s="4" t="s">
        <v>53</v>
      </c>
      <c r="AL262" s="4" t="s">
        <v>1012</v>
      </c>
      <c r="AM262" s="4" t="s">
        <v>36</v>
      </c>
      <c r="AN262" s="4" t="s">
        <v>127</v>
      </c>
      <c r="AO262" s="4" t="s">
        <v>38</v>
      </c>
      <c r="AP262" s="4">
        <v>42893.0</v>
      </c>
      <c r="AQ262" s="4">
        <v>62850.0</v>
      </c>
      <c r="AR262" s="4">
        <v>153450.0</v>
      </c>
      <c r="AS262" s="4">
        <v>90600.0</v>
      </c>
      <c r="AT262" s="4">
        <v>9.0</v>
      </c>
      <c r="AU262" s="4">
        <v>1381050.0</v>
      </c>
      <c r="AV262" s="4">
        <v>0.07</v>
      </c>
      <c r="AW262" s="4">
        <v>96673.5</v>
      </c>
      <c r="AX262" s="4">
        <v>1284376.5</v>
      </c>
      <c r="AY262" s="4">
        <v>565650.0</v>
      </c>
      <c r="AZ262" s="4">
        <v>718726.5</v>
      </c>
    </row>
    <row r="263" ht="15.75" customHeight="1">
      <c r="A263" s="3" t="s">
        <v>1014</v>
      </c>
      <c r="B263" s="5">
        <v>42892.0</v>
      </c>
      <c r="C263" s="6">
        <f t="shared" si="1"/>
        <v>2017</v>
      </c>
      <c r="D263" s="7" t="s">
        <v>1015</v>
      </c>
      <c r="E263" s="7" t="s">
        <v>537</v>
      </c>
      <c r="F263" s="7" t="s">
        <v>31</v>
      </c>
      <c r="G263" s="5" t="s">
        <v>68</v>
      </c>
      <c r="H263" s="7" t="s">
        <v>33</v>
      </c>
      <c r="I263" s="7" t="s">
        <v>34</v>
      </c>
      <c r="J263" s="7" t="s">
        <v>567</v>
      </c>
      <c r="K263" s="7" t="s">
        <v>36</v>
      </c>
      <c r="L263" s="7" t="s">
        <v>45</v>
      </c>
      <c r="M263" s="7" t="s">
        <v>38</v>
      </c>
      <c r="N263" s="5">
        <v>42893.0</v>
      </c>
      <c r="O263" s="8">
        <v>13950.0</v>
      </c>
      <c r="P263" s="8">
        <v>22200.0</v>
      </c>
      <c r="Q263" s="8">
        <f t="shared" si="2"/>
        <v>8250</v>
      </c>
      <c r="R263" s="8">
        <v>46.0</v>
      </c>
      <c r="S263" s="8">
        <f t="shared" si="3"/>
        <v>1021200</v>
      </c>
      <c r="T263" s="9">
        <v>0.0</v>
      </c>
      <c r="U263" s="8">
        <f t="shared" si="4"/>
        <v>0</v>
      </c>
      <c r="V263" s="8">
        <f t="shared" si="5"/>
        <v>1021200</v>
      </c>
      <c r="W263" s="10">
        <f t="shared" si="6"/>
        <v>641700</v>
      </c>
      <c r="X263" s="10">
        <f t="shared" si="7"/>
        <v>379500</v>
      </c>
      <c r="Y263" s="10"/>
      <c r="Z263" s="10"/>
      <c r="AA263" s="10"/>
      <c r="AB263" s="4" t="s">
        <v>1016</v>
      </c>
      <c r="AC263" s="4" t="s">
        <v>1014</v>
      </c>
      <c r="AD263" s="4">
        <v>42892.0</v>
      </c>
      <c r="AE263" s="4">
        <v>2017.0</v>
      </c>
      <c r="AF263" s="4" t="s">
        <v>1015</v>
      </c>
      <c r="AG263" s="4" t="s">
        <v>537</v>
      </c>
      <c r="AH263" s="4" t="s">
        <v>31</v>
      </c>
      <c r="AI263" s="4" t="s">
        <v>68</v>
      </c>
      <c r="AJ263" s="4" t="s">
        <v>33</v>
      </c>
      <c r="AK263" s="4" t="s">
        <v>34</v>
      </c>
      <c r="AL263" s="4" t="s">
        <v>567</v>
      </c>
      <c r="AM263" s="4" t="s">
        <v>36</v>
      </c>
      <c r="AN263" s="4" t="s">
        <v>45</v>
      </c>
      <c r="AO263" s="4" t="s">
        <v>38</v>
      </c>
      <c r="AP263" s="4">
        <v>42893.0</v>
      </c>
      <c r="AQ263" s="4">
        <v>13950.0</v>
      </c>
      <c r="AR263" s="4">
        <v>22200.0</v>
      </c>
      <c r="AS263" s="4">
        <v>8250.0</v>
      </c>
      <c r="AT263" s="4">
        <v>46.0</v>
      </c>
      <c r="AU263" s="4">
        <v>1021200.0</v>
      </c>
      <c r="AV263" s="4">
        <v>0.0</v>
      </c>
      <c r="AW263" s="4">
        <v>0.0</v>
      </c>
      <c r="AX263" s="4">
        <v>1021200.0</v>
      </c>
      <c r="AY263" s="4">
        <v>641700.0</v>
      </c>
      <c r="AZ263" s="4">
        <v>379500.0</v>
      </c>
    </row>
    <row r="264" ht="15.75" customHeight="1">
      <c r="A264" s="3" t="s">
        <v>1017</v>
      </c>
      <c r="B264" s="5">
        <v>42892.0</v>
      </c>
      <c r="C264" s="6">
        <f t="shared" si="1"/>
        <v>2017</v>
      </c>
      <c r="D264" s="7" t="s">
        <v>637</v>
      </c>
      <c r="E264" s="7" t="s">
        <v>638</v>
      </c>
      <c r="F264" s="7" t="s">
        <v>50</v>
      </c>
      <c r="G264" s="5" t="s">
        <v>51</v>
      </c>
      <c r="H264" s="7" t="s">
        <v>98</v>
      </c>
      <c r="I264" s="7" t="s">
        <v>34</v>
      </c>
      <c r="J264" s="7" t="s">
        <v>445</v>
      </c>
      <c r="K264" s="7" t="s">
        <v>36</v>
      </c>
      <c r="L264" s="7" t="s">
        <v>37</v>
      </c>
      <c r="M264" s="7" t="s">
        <v>38</v>
      </c>
      <c r="N264" s="5">
        <v>42893.0</v>
      </c>
      <c r="O264" s="8">
        <v>323400.0</v>
      </c>
      <c r="P264" s="8">
        <v>539100.0</v>
      </c>
      <c r="Q264" s="8">
        <f t="shared" si="2"/>
        <v>215700</v>
      </c>
      <c r="R264" s="8">
        <v>13.0</v>
      </c>
      <c r="S264" s="8">
        <f t="shared" si="3"/>
        <v>7008300</v>
      </c>
      <c r="T264" s="9">
        <v>0.03</v>
      </c>
      <c r="U264" s="8">
        <f t="shared" si="4"/>
        <v>210249</v>
      </c>
      <c r="V264" s="8">
        <f t="shared" si="5"/>
        <v>6798051</v>
      </c>
      <c r="W264" s="10">
        <f t="shared" si="6"/>
        <v>4204200</v>
      </c>
      <c r="X264" s="10">
        <f t="shared" si="7"/>
        <v>2593851</v>
      </c>
      <c r="Y264" s="10"/>
      <c r="Z264" s="10"/>
      <c r="AA264" s="10"/>
      <c r="AB264" s="4" t="s">
        <v>1018</v>
      </c>
      <c r="AC264" s="4" t="s">
        <v>1017</v>
      </c>
      <c r="AD264" s="4">
        <v>42892.0</v>
      </c>
      <c r="AE264" s="4">
        <v>2017.0</v>
      </c>
      <c r="AF264" s="4" t="s">
        <v>637</v>
      </c>
      <c r="AG264" s="4" t="s">
        <v>638</v>
      </c>
      <c r="AH264" s="4" t="s">
        <v>50</v>
      </c>
      <c r="AI264" s="4" t="s">
        <v>51</v>
      </c>
      <c r="AJ264" s="4" t="s">
        <v>98</v>
      </c>
      <c r="AK264" s="4" t="s">
        <v>34</v>
      </c>
      <c r="AL264" s="4" t="s">
        <v>445</v>
      </c>
      <c r="AM264" s="4" t="s">
        <v>36</v>
      </c>
      <c r="AN264" s="4" t="s">
        <v>37</v>
      </c>
      <c r="AO264" s="4" t="s">
        <v>38</v>
      </c>
      <c r="AP264" s="4">
        <v>42893.0</v>
      </c>
      <c r="AQ264" s="4">
        <v>323400.0</v>
      </c>
      <c r="AR264" s="4">
        <v>539100.0</v>
      </c>
      <c r="AS264" s="4">
        <v>215700.0</v>
      </c>
      <c r="AT264" s="4">
        <v>13.0</v>
      </c>
      <c r="AU264" s="4">
        <v>7008300.0</v>
      </c>
      <c r="AV264" s="4">
        <v>0.03</v>
      </c>
      <c r="AW264" s="4">
        <v>210249.0</v>
      </c>
      <c r="AX264" s="4">
        <v>6798051.0</v>
      </c>
      <c r="AY264" s="4">
        <v>4204200.0</v>
      </c>
      <c r="AZ264" s="4">
        <v>2593851.0</v>
      </c>
    </row>
    <row r="265" ht="15.75" customHeight="1">
      <c r="A265" s="3" t="s">
        <v>1019</v>
      </c>
      <c r="B265" s="5">
        <v>42893.0</v>
      </c>
      <c r="C265" s="6">
        <f t="shared" si="1"/>
        <v>2017</v>
      </c>
      <c r="D265" s="7" t="s">
        <v>1020</v>
      </c>
      <c r="E265" s="7" t="s">
        <v>30</v>
      </c>
      <c r="F265" s="7" t="s">
        <v>31</v>
      </c>
      <c r="G265" s="5" t="s">
        <v>91</v>
      </c>
      <c r="H265" s="7" t="s">
        <v>33</v>
      </c>
      <c r="I265" s="7" t="s">
        <v>104</v>
      </c>
      <c r="J265" s="7" t="s">
        <v>649</v>
      </c>
      <c r="K265" s="7" t="s">
        <v>61</v>
      </c>
      <c r="L265" s="7" t="s">
        <v>37</v>
      </c>
      <c r="M265" s="7" t="s">
        <v>38</v>
      </c>
      <c r="N265" s="5">
        <v>42896.0</v>
      </c>
      <c r="O265" s="8">
        <v>631650.0</v>
      </c>
      <c r="P265" s="8">
        <v>1214700.0</v>
      </c>
      <c r="Q265" s="8">
        <f t="shared" si="2"/>
        <v>583050</v>
      </c>
      <c r="R265" s="8">
        <v>45.0</v>
      </c>
      <c r="S265" s="8">
        <f t="shared" si="3"/>
        <v>54661500</v>
      </c>
      <c r="T265" s="9">
        <v>0.0</v>
      </c>
      <c r="U265" s="8">
        <f t="shared" si="4"/>
        <v>0</v>
      </c>
      <c r="V265" s="8">
        <f t="shared" si="5"/>
        <v>54661500</v>
      </c>
      <c r="W265" s="10">
        <f t="shared" si="6"/>
        <v>28424250</v>
      </c>
      <c r="X265" s="10">
        <f t="shared" si="7"/>
        <v>26237250</v>
      </c>
      <c r="Y265" s="10"/>
      <c r="Z265" s="10"/>
      <c r="AA265" s="10"/>
      <c r="AB265" s="4" t="s">
        <v>1021</v>
      </c>
      <c r="AC265" s="4" t="s">
        <v>1019</v>
      </c>
      <c r="AD265" s="4">
        <v>42893.0</v>
      </c>
      <c r="AE265" s="4">
        <v>2017.0</v>
      </c>
      <c r="AF265" s="4" t="s">
        <v>1020</v>
      </c>
      <c r="AG265" s="4" t="s">
        <v>30</v>
      </c>
      <c r="AH265" s="4" t="s">
        <v>31</v>
      </c>
      <c r="AI265" s="4" t="s">
        <v>91</v>
      </c>
      <c r="AJ265" s="4" t="s">
        <v>33</v>
      </c>
      <c r="AK265" s="4" t="s">
        <v>104</v>
      </c>
      <c r="AL265" s="4" t="s">
        <v>649</v>
      </c>
      <c r="AM265" s="4" t="s">
        <v>61</v>
      </c>
      <c r="AN265" s="4" t="s">
        <v>37</v>
      </c>
      <c r="AO265" s="4" t="s">
        <v>38</v>
      </c>
      <c r="AP265" s="4">
        <v>42896.0</v>
      </c>
      <c r="AQ265" s="4">
        <v>631650.0</v>
      </c>
      <c r="AR265" s="4">
        <v>1214700.0</v>
      </c>
      <c r="AS265" s="4">
        <v>583050.0</v>
      </c>
      <c r="AT265" s="4">
        <v>45.0</v>
      </c>
      <c r="AU265" s="4">
        <v>5.46615E7</v>
      </c>
      <c r="AV265" s="4">
        <v>0.0</v>
      </c>
      <c r="AW265" s="4">
        <v>0.0</v>
      </c>
      <c r="AX265" s="4">
        <v>5.46615E7</v>
      </c>
      <c r="AY265" s="4">
        <v>2.842425E7</v>
      </c>
      <c r="AZ265" s="4">
        <v>2.623725E7</v>
      </c>
    </row>
    <row r="266" ht="15.75" customHeight="1">
      <c r="A266" s="3" t="s">
        <v>1022</v>
      </c>
      <c r="B266" s="5">
        <v>42894.0</v>
      </c>
      <c r="C266" s="6">
        <f t="shared" si="1"/>
        <v>2017</v>
      </c>
      <c r="D266" s="7" t="s">
        <v>1023</v>
      </c>
      <c r="E266" s="7" t="s">
        <v>1024</v>
      </c>
      <c r="F266" s="7" t="s">
        <v>50</v>
      </c>
      <c r="G266" s="5" t="s">
        <v>91</v>
      </c>
      <c r="H266" s="7" t="s">
        <v>98</v>
      </c>
      <c r="I266" s="7" t="s">
        <v>53</v>
      </c>
      <c r="J266" s="7" t="s">
        <v>449</v>
      </c>
      <c r="K266" s="7" t="s">
        <v>36</v>
      </c>
      <c r="L266" s="7" t="s">
        <v>37</v>
      </c>
      <c r="M266" s="7" t="s">
        <v>38</v>
      </c>
      <c r="N266" s="5">
        <v>42895.0</v>
      </c>
      <c r="O266" s="8">
        <v>41100.0</v>
      </c>
      <c r="P266" s="8">
        <v>67350.0</v>
      </c>
      <c r="Q266" s="8">
        <f t="shared" si="2"/>
        <v>26250</v>
      </c>
      <c r="R266" s="8">
        <v>6.0</v>
      </c>
      <c r="S266" s="8">
        <f t="shared" si="3"/>
        <v>404100</v>
      </c>
      <c r="T266" s="9">
        <v>0.03</v>
      </c>
      <c r="U266" s="8">
        <f t="shared" si="4"/>
        <v>12123</v>
      </c>
      <c r="V266" s="8">
        <f t="shared" si="5"/>
        <v>391977</v>
      </c>
      <c r="W266" s="10">
        <f t="shared" si="6"/>
        <v>246600</v>
      </c>
      <c r="X266" s="10">
        <f t="shared" si="7"/>
        <v>145377</v>
      </c>
      <c r="Y266" s="10"/>
      <c r="Z266" s="10"/>
      <c r="AA266" s="10"/>
      <c r="AB266" s="4" t="s">
        <v>1025</v>
      </c>
      <c r="AC266" s="4" t="s">
        <v>1022</v>
      </c>
      <c r="AD266" s="4">
        <v>42894.0</v>
      </c>
      <c r="AE266" s="4">
        <v>2017.0</v>
      </c>
      <c r="AF266" s="4" t="s">
        <v>1023</v>
      </c>
      <c r="AG266" s="4" t="s">
        <v>1024</v>
      </c>
      <c r="AH266" s="4" t="s">
        <v>50</v>
      </c>
      <c r="AI266" s="4" t="s">
        <v>91</v>
      </c>
      <c r="AJ266" s="4" t="s">
        <v>98</v>
      </c>
      <c r="AK266" s="4" t="s">
        <v>53</v>
      </c>
      <c r="AL266" s="4" t="s">
        <v>449</v>
      </c>
      <c r="AM266" s="4" t="s">
        <v>36</v>
      </c>
      <c r="AN266" s="4" t="s">
        <v>37</v>
      </c>
      <c r="AO266" s="4" t="s">
        <v>38</v>
      </c>
      <c r="AP266" s="4">
        <v>42895.0</v>
      </c>
      <c r="AQ266" s="4">
        <v>41100.0</v>
      </c>
      <c r="AR266" s="4">
        <v>67350.0</v>
      </c>
      <c r="AS266" s="4">
        <v>26250.0</v>
      </c>
      <c r="AT266" s="4">
        <v>6.0</v>
      </c>
      <c r="AU266" s="4">
        <v>404100.0</v>
      </c>
      <c r="AV266" s="4">
        <v>0.03</v>
      </c>
      <c r="AW266" s="4">
        <v>12123.0</v>
      </c>
      <c r="AX266" s="4">
        <v>391977.0</v>
      </c>
      <c r="AY266" s="4">
        <v>246600.0</v>
      </c>
      <c r="AZ266" s="4">
        <v>145377.0</v>
      </c>
    </row>
    <row r="267" ht="15.75" customHeight="1">
      <c r="A267" s="3" t="s">
        <v>1026</v>
      </c>
      <c r="B267" s="5">
        <v>42894.0</v>
      </c>
      <c r="C267" s="6">
        <f t="shared" si="1"/>
        <v>2017</v>
      </c>
      <c r="D267" s="7" t="s">
        <v>1027</v>
      </c>
      <c r="E267" s="7" t="s">
        <v>156</v>
      </c>
      <c r="F267" s="7" t="s">
        <v>50</v>
      </c>
      <c r="G267" s="5" t="s">
        <v>91</v>
      </c>
      <c r="H267" s="7" t="s">
        <v>110</v>
      </c>
      <c r="I267" s="7" t="s">
        <v>92</v>
      </c>
      <c r="J267" s="7" t="s">
        <v>174</v>
      </c>
      <c r="K267" s="7" t="s">
        <v>36</v>
      </c>
      <c r="L267" s="7" t="s">
        <v>45</v>
      </c>
      <c r="M267" s="7" t="s">
        <v>38</v>
      </c>
      <c r="N267" s="5">
        <v>42896.0</v>
      </c>
      <c r="O267" s="8">
        <v>37800.0</v>
      </c>
      <c r="P267" s="8">
        <v>60000.0</v>
      </c>
      <c r="Q267" s="8">
        <f t="shared" si="2"/>
        <v>22200</v>
      </c>
      <c r="R267" s="8">
        <v>33.0</v>
      </c>
      <c r="S267" s="8">
        <f t="shared" si="3"/>
        <v>1980000</v>
      </c>
      <c r="T267" s="9">
        <v>0.08</v>
      </c>
      <c r="U267" s="8">
        <f t="shared" si="4"/>
        <v>158400</v>
      </c>
      <c r="V267" s="8">
        <f t="shared" si="5"/>
        <v>1821600</v>
      </c>
      <c r="W267" s="10">
        <f t="shared" si="6"/>
        <v>1247400</v>
      </c>
      <c r="X267" s="10">
        <f t="shared" si="7"/>
        <v>574200</v>
      </c>
      <c r="Y267" s="10"/>
      <c r="Z267" s="10"/>
      <c r="AA267" s="10"/>
      <c r="AB267" s="4" t="s">
        <v>1028</v>
      </c>
      <c r="AC267" s="4" t="s">
        <v>1026</v>
      </c>
      <c r="AD267" s="4">
        <v>42894.0</v>
      </c>
      <c r="AE267" s="4">
        <v>2017.0</v>
      </c>
      <c r="AF267" s="4" t="s">
        <v>1027</v>
      </c>
      <c r="AG267" s="4" t="s">
        <v>156</v>
      </c>
      <c r="AH267" s="4" t="s">
        <v>50</v>
      </c>
      <c r="AI267" s="4" t="s">
        <v>91</v>
      </c>
      <c r="AJ267" s="4" t="s">
        <v>110</v>
      </c>
      <c r="AK267" s="4" t="s">
        <v>92</v>
      </c>
      <c r="AL267" s="4" t="s">
        <v>174</v>
      </c>
      <c r="AM267" s="4" t="s">
        <v>36</v>
      </c>
      <c r="AN267" s="4" t="s">
        <v>45</v>
      </c>
      <c r="AO267" s="4" t="s">
        <v>38</v>
      </c>
      <c r="AP267" s="4">
        <v>42896.0</v>
      </c>
      <c r="AQ267" s="4">
        <v>37800.0</v>
      </c>
      <c r="AR267" s="4">
        <v>60000.0</v>
      </c>
      <c r="AS267" s="4">
        <v>22200.0</v>
      </c>
      <c r="AT267" s="4">
        <v>33.0</v>
      </c>
      <c r="AU267" s="4">
        <v>1980000.0</v>
      </c>
      <c r="AV267" s="4">
        <v>0.08</v>
      </c>
      <c r="AW267" s="4">
        <v>158400.0</v>
      </c>
      <c r="AX267" s="4">
        <v>1821600.0</v>
      </c>
      <c r="AY267" s="4">
        <v>1247400.0</v>
      </c>
      <c r="AZ267" s="4">
        <v>574200.0</v>
      </c>
    </row>
    <row r="268" ht="15.75" customHeight="1">
      <c r="A268" s="3" t="s">
        <v>1029</v>
      </c>
      <c r="B268" s="5">
        <v>42895.0</v>
      </c>
      <c r="C268" s="6">
        <f t="shared" si="1"/>
        <v>2017</v>
      </c>
      <c r="D268" s="7" t="s">
        <v>1030</v>
      </c>
      <c r="E268" s="7" t="s">
        <v>855</v>
      </c>
      <c r="F268" s="7" t="s">
        <v>31</v>
      </c>
      <c r="G268" s="5" t="s">
        <v>91</v>
      </c>
      <c r="H268" s="7" t="s">
        <v>43</v>
      </c>
      <c r="I268" s="7" t="s">
        <v>92</v>
      </c>
      <c r="J268" s="7" t="s">
        <v>1006</v>
      </c>
      <c r="K268" s="7" t="s">
        <v>36</v>
      </c>
      <c r="L268" s="7" t="s">
        <v>45</v>
      </c>
      <c r="M268" s="7" t="s">
        <v>38</v>
      </c>
      <c r="N268" s="5">
        <v>42896.0</v>
      </c>
      <c r="O268" s="8">
        <v>23550.0</v>
      </c>
      <c r="P268" s="8">
        <v>49200.0</v>
      </c>
      <c r="Q268" s="8">
        <f t="shared" si="2"/>
        <v>25650</v>
      </c>
      <c r="R268" s="8">
        <v>26.0</v>
      </c>
      <c r="S268" s="8">
        <f t="shared" si="3"/>
        <v>1279200</v>
      </c>
      <c r="T268" s="9">
        <v>0.08</v>
      </c>
      <c r="U268" s="8">
        <f t="shared" si="4"/>
        <v>102336</v>
      </c>
      <c r="V268" s="8">
        <f t="shared" si="5"/>
        <v>1176864</v>
      </c>
      <c r="W268" s="10">
        <f t="shared" si="6"/>
        <v>612300</v>
      </c>
      <c r="X268" s="10">
        <f t="shared" si="7"/>
        <v>564564</v>
      </c>
      <c r="Y268" s="10"/>
      <c r="Z268" s="10"/>
      <c r="AA268" s="10"/>
      <c r="AB268" s="4" t="s">
        <v>1031</v>
      </c>
      <c r="AC268" s="4" t="s">
        <v>1029</v>
      </c>
      <c r="AD268" s="4">
        <v>42895.0</v>
      </c>
      <c r="AE268" s="4">
        <v>2017.0</v>
      </c>
      <c r="AF268" s="4" t="s">
        <v>1030</v>
      </c>
      <c r="AG268" s="4" t="s">
        <v>855</v>
      </c>
      <c r="AH268" s="4" t="s">
        <v>31</v>
      </c>
      <c r="AI268" s="4" t="s">
        <v>91</v>
      </c>
      <c r="AJ268" s="4" t="s">
        <v>43</v>
      </c>
      <c r="AK268" s="4" t="s">
        <v>92</v>
      </c>
      <c r="AL268" s="4" t="s">
        <v>1006</v>
      </c>
      <c r="AM268" s="4" t="s">
        <v>36</v>
      </c>
      <c r="AN268" s="4" t="s">
        <v>45</v>
      </c>
      <c r="AO268" s="4" t="s">
        <v>38</v>
      </c>
      <c r="AP268" s="4">
        <v>42896.0</v>
      </c>
      <c r="AQ268" s="4">
        <v>23550.0</v>
      </c>
      <c r="AR268" s="4">
        <v>49200.0</v>
      </c>
      <c r="AS268" s="4">
        <v>25650.0</v>
      </c>
      <c r="AT268" s="4">
        <v>26.0</v>
      </c>
      <c r="AU268" s="4">
        <v>1279200.0</v>
      </c>
      <c r="AV268" s="4">
        <v>0.08</v>
      </c>
      <c r="AW268" s="4">
        <v>102336.0</v>
      </c>
      <c r="AX268" s="4">
        <v>1176864.0</v>
      </c>
      <c r="AY268" s="4">
        <v>612300.0</v>
      </c>
      <c r="AZ268" s="4">
        <v>564564.0</v>
      </c>
    </row>
    <row r="269" ht="15.75" customHeight="1">
      <c r="A269" s="3" t="s">
        <v>1032</v>
      </c>
      <c r="B269" s="5">
        <v>42895.0</v>
      </c>
      <c r="C269" s="6">
        <f t="shared" si="1"/>
        <v>2017</v>
      </c>
      <c r="D269" s="7" t="s">
        <v>839</v>
      </c>
      <c r="E269" s="7" t="s">
        <v>220</v>
      </c>
      <c r="F269" s="7" t="s">
        <v>50</v>
      </c>
      <c r="G269" s="5" t="s">
        <v>32</v>
      </c>
      <c r="H269" s="7" t="s">
        <v>189</v>
      </c>
      <c r="I269" s="7" t="s">
        <v>53</v>
      </c>
      <c r="J269" s="7" t="s">
        <v>224</v>
      </c>
      <c r="K269" s="7" t="s">
        <v>36</v>
      </c>
      <c r="L269" s="7" t="s">
        <v>45</v>
      </c>
      <c r="M269" s="7" t="s">
        <v>38</v>
      </c>
      <c r="N269" s="5">
        <v>42897.0</v>
      </c>
      <c r="O269" s="8">
        <v>52050.0</v>
      </c>
      <c r="P269" s="8">
        <v>100200.0</v>
      </c>
      <c r="Q269" s="8">
        <f t="shared" si="2"/>
        <v>48150</v>
      </c>
      <c r="R269" s="8">
        <v>33.0</v>
      </c>
      <c r="S269" s="8">
        <f t="shared" si="3"/>
        <v>3306600</v>
      </c>
      <c r="T269" s="9">
        <v>0.03</v>
      </c>
      <c r="U269" s="8">
        <f t="shared" si="4"/>
        <v>99198</v>
      </c>
      <c r="V269" s="8">
        <f t="shared" si="5"/>
        <v>3207402</v>
      </c>
      <c r="W269" s="10">
        <f t="shared" si="6"/>
        <v>1717650</v>
      </c>
      <c r="X269" s="10">
        <f t="shared" si="7"/>
        <v>1489752</v>
      </c>
      <c r="Y269" s="10"/>
      <c r="Z269" s="10"/>
      <c r="AA269" s="10"/>
      <c r="AB269" s="4" t="s">
        <v>1033</v>
      </c>
      <c r="AC269" s="4" t="s">
        <v>1032</v>
      </c>
      <c r="AD269" s="4">
        <v>42895.0</v>
      </c>
      <c r="AE269" s="4">
        <v>2017.0</v>
      </c>
      <c r="AF269" s="4" t="s">
        <v>839</v>
      </c>
      <c r="AG269" s="4" t="s">
        <v>220</v>
      </c>
      <c r="AH269" s="4" t="s">
        <v>50</v>
      </c>
      <c r="AI269" s="4" t="s">
        <v>32</v>
      </c>
      <c r="AJ269" s="4" t="s">
        <v>189</v>
      </c>
      <c r="AK269" s="4" t="s">
        <v>53</v>
      </c>
      <c r="AL269" s="4" t="s">
        <v>224</v>
      </c>
      <c r="AM269" s="4" t="s">
        <v>36</v>
      </c>
      <c r="AN269" s="4" t="s">
        <v>45</v>
      </c>
      <c r="AO269" s="4" t="s">
        <v>38</v>
      </c>
      <c r="AP269" s="4">
        <v>42897.0</v>
      </c>
      <c r="AQ269" s="4">
        <v>52050.0</v>
      </c>
      <c r="AR269" s="4">
        <v>100200.0</v>
      </c>
      <c r="AS269" s="4">
        <v>48150.0</v>
      </c>
      <c r="AT269" s="4">
        <v>33.0</v>
      </c>
      <c r="AU269" s="4">
        <v>3306600.0</v>
      </c>
      <c r="AV269" s="4">
        <v>0.03</v>
      </c>
      <c r="AW269" s="4">
        <v>99198.0</v>
      </c>
      <c r="AX269" s="4">
        <v>3207402.0</v>
      </c>
      <c r="AY269" s="4">
        <v>1717650.0</v>
      </c>
      <c r="AZ269" s="4">
        <v>1489752.0</v>
      </c>
    </row>
    <row r="270" ht="15.75" customHeight="1">
      <c r="A270" s="3" t="s">
        <v>1034</v>
      </c>
      <c r="B270" s="5">
        <v>42898.0</v>
      </c>
      <c r="C270" s="6">
        <f t="shared" si="1"/>
        <v>2017</v>
      </c>
      <c r="D270" s="7" t="s">
        <v>1035</v>
      </c>
      <c r="E270" s="7" t="s">
        <v>228</v>
      </c>
      <c r="F270" s="7" t="s">
        <v>50</v>
      </c>
      <c r="G270" s="5" t="s">
        <v>91</v>
      </c>
      <c r="H270" s="7" t="s">
        <v>140</v>
      </c>
      <c r="I270" s="7" t="s">
        <v>104</v>
      </c>
      <c r="J270" s="7" t="s">
        <v>70</v>
      </c>
      <c r="K270" s="7" t="s">
        <v>36</v>
      </c>
      <c r="L270" s="7" t="s">
        <v>45</v>
      </c>
      <c r="M270" s="7" t="s">
        <v>38</v>
      </c>
      <c r="N270" s="5">
        <v>42899.0</v>
      </c>
      <c r="O270" s="8">
        <v>13500.0</v>
      </c>
      <c r="P270" s="8">
        <v>31500.0</v>
      </c>
      <c r="Q270" s="8">
        <f t="shared" si="2"/>
        <v>18000</v>
      </c>
      <c r="R270" s="8">
        <v>21.0</v>
      </c>
      <c r="S270" s="8">
        <f t="shared" si="3"/>
        <v>661500</v>
      </c>
      <c r="T270" s="9">
        <v>0.04</v>
      </c>
      <c r="U270" s="8">
        <f t="shared" si="4"/>
        <v>26460</v>
      </c>
      <c r="V270" s="8">
        <f t="shared" si="5"/>
        <v>635040</v>
      </c>
      <c r="W270" s="10">
        <f t="shared" si="6"/>
        <v>283500</v>
      </c>
      <c r="X270" s="10">
        <f t="shared" si="7"/>
        <v>351540</v>
      </c>
      <c r="Y270" s="10"/>
      <c r="Z270" s="10"/>
      <c r="AA270" s="10"/>
      <c r="AB270" s="4" t="s">
        <v>1036</v>
      </c>
      <c r="AC270" s="4" t="s">
        <v>1034</v>
      </c>
      <c r="AD270" s="4">
        <v>42898.0</v>
      </c>
      <c r="AE270" s="4">
        <v>2017.0</v>
      </c>
      <c r="AF270" s="4" t="s">
        <v>1035</v>
      </c>
      <c r="AG270" s="4" t="s">
        <v>228</v>
      </c>
      <c r="AH270" s="4" t="s">
        <v>50</v>
      </c>
      <c r="AI270" s="4" t="s">
        <v>91</v>
      </c>
      <c r="AJ270" s="4" t="s">
        <v>140</v>
      </c>
      <c r="AK270" s="4" t="s">
        <v>104</v>
      </c>
      <c r="AL270" s="4" t="s">
        <v>70</v>
      </c>
      <c r="AM270" s="4" t="s">
        <v>36</v>
      </c>
      <c r="AN270" s="4" t="s">
        <v>45</v>
      </c>
      <c r="AO270" s="4" t="s">
        <v>38</v>
      </c>
      <c r="AP270" s="4">
        <v>42899.0</v>
      </c>
      <c r="AQ270" s="4">
        <v>13500.0</v>
      </c>
      <c r="AR270" s="4">
        <v>31500.0</v>
      </c>
      <c r="AS270" s="4">
        <v>18000.0</v>
      </c>
      <c r="AT270" s="4">
        <v>21.0</v>
      </c>
      <c r="AU270" s="4">
        <v>661500.0</v>
      </c>
      <c r="AV270" s="4">
        <v>0.04</v>
      </c>
      <c r="AW270" s="4">
        <v>26460.0</v>
      </c>
      <c r="AX270" s="4">
        <v>635040.0</v>
      </c>
      <c r="AY270" s="4">
        <v>283500.0</v>
      </c>
      <c r="AZ270" s="4">
        <v>351540.0</v>
      </c>
    </row>
    <row r="271" ht="15.75" customHeight="1">
      <c r="A271" s="3" t="s">
        <v>1037</v>
      </c>
      <c r="B271" s="5">
        <v>42900.0</v>
      </c>
      <c r="C271" s="6">
        <f t="shared" si="1"/>
        <v>2017</v>
      </c>
      <c r="D271" s="7" t="s">
        <v>1038</v>
      </c>
      <c r="E271" s="7" t="s">
        <v>962</v>
      </c>
      <c r="F271" s="7" t="s">
        <v>50</v>
      </c>
      <c r="G271" s="5" t="s">
        <v>32</v>
      </c>
      <c r="H271" s="7" t="s">
        <v>80</v>
      </c>
      <c r="I271" s="7" t="s">
        <v>104</v>
      </c>
      <c r="J271" s="7" t="s">
        <v>551</v>
      </c>
      <c r="K271" s="7" t="s">
        <v>36</v>
      </c>
      <c r="L271" s="7" t="s">
        <v>37</v>
      </c>
      <c r="M271" s="7" t="s">
        <v>38</v>
      </c>
      <c r="N271" s="5">
        <v>42901.0</v>
      </c>
      <c r="O271" s="8">
        <v>275700.0</v>
      </c>
      <c r="P271" s="8">
        <v>437550.0</v>
      </c>
      <c r="Q271" s="8">
        <f t="shared" si="2"/>
        <v>161850</v>
      </c>
      <c r="R271" s="8">
        <v>1.0</v>
      </c>
      <c r="S271" s="8">
        <f t="shared" si="3"/>
        <v>437550</v>
      </c>
      <c r="T271" s="9">
        <v>0.02</v>
      </c>
      <c r="U271" s="8">
        <f t="shared" si="4"/>
        <v>8751</v>
      </c>
      <c r="V271" s="8">
        <f t="shared" si="5"/>
        <v>428799</v>
      </c>
      <c r="W271" s="10">
        <f t="shared" si="6"/>
        <v>275700</v>
      </c>
      <c r="X271" s="10">
        <f t="shared" si="7"/>
        <v>153099</v>
      </c>
      <c r="Y271" s="10"/>
      <c r="Z271" s="10"/>
      <c r="AA271" s="10"/>
      <c r="AB271" s="4" t="s">
        <v>1039</v>
      </c>
      <c r="AC271" s="4" t="s">
        <v>1037</v>
      </c>
      <c r="AD271" s="4">
        <v>42900.0</v>
      </c>
      <c r="AE271" s="4">
        <v>2017.0</v>
      </c>
      <c r="AF271" s="4" t="s">
        <v>1038</v>
      </c>
      <c r="AG271" s="4" t="s">
        <v>962</v>
      </c>
      <c r="AH271" s="4" t="s">
        <v>50</v>
      </c>
      <c r="AI271" s="4" t="s">
        <v>32</v>
      </c>
      <c r="AJ271" s="4" t="s">
        <v>80</v>
      </c>
      <c r="AK271" s="4" t="s">
        <v>104</v>
      </c>
      <c r="AL271" s="4" t="s">
        <v>551</v>
      </c>
      <c r="AM271" s="4" t="s">
        <v>36</v>
      </c>
      <c r="AN271" s="4" t="s">
        <v>37</v>
      </c>
      <c r="AO271" s="4" t="s">
        <v>38</v>
      </c>
      <c r="AP271" s="4">
        <v>42901.0</v>
      </c>
      <c r="AQ271" s="4">
        <v>275700.0</v>
      </c>
      <c r="AR271" s="4">
        <v>437550.0</v>
      </c>
      <c r="AS271" s="4">
        <v>161850.0</v>
      </c>
      <c r="AT271" s="4">
        <v>1.0</v>
      </c>
      <c r="AU271" s="4">
        <v>437550.0</v>
      </c>
      <c r="AV271" s="4">
        <v>0.02</v>
      </c>
      <c r="AW271" s="4">
        <v>8751.0</v>
      </c>
      <c r="AX271" s="4">
        <v>428799.0</v>
      </c>
      <c r="AY271" s="4">
        <v>275700.0</v>
      </c>
      <c r="AZ271" s="4">
        <v>153099.0</v>
      </c>
    </row>
    <row r="272" ht="15.75" customHeight="1">
      <c r="A272" s="3" t="s">
        <v>1040</v>
      </c>
      <c r="B272" s="5">
        <v>42904.0</v>
      </c>
      <c r="C272" s="6">
        <f t="shared" si="1"/>
        <v>2017</v>
      </c>
      <c r="D272" s="7" t="s">
        <v>1041</v>
      </c>
      <c r="E272" s="7" t="s">
        <v>183</v>
      </c>
      <c r="F272" s="7" t="s">
        <v>31</v>
      </c>
      <c r="G272" s="5" t="s">
        <v>91</v>
      </c>
      <c r="H272" s="7" t="s">
        <v>43</v>
      </c>
      <c r="I272" s="7" t="s">
        <v>53</v>
      </c>
      <c r="J272" s="7" t="s">
        <v>502</v>
      </c>
      <c r="K272" s="7" t="s">
        <v>36</v>
      </c>
      <c r="L272" s="7" t="s">
        <v>37</v>
      </c>
      <c r="M272" s="7" t="s">
        <v>38</v>
      </c>
      <c r="N272" s="5">
        <v>42905.0</v>
      </c>
      <c r="O272" s="8">
        <v>66900.0</v>
      </c>
      <c r="P272" s="8">
        <v>163350.0</v>
      </c>
      <c r="Q272" s="8">
        <f t="shared" si="2"/>
        <v>96450</v>
      </c>
      <c r="R272" s="8">
        <v>32.0</v>
      </c>
      <c r="S272" s="8">
        <f t="shared" si="3"/>
        <v>5227200</v>
      </c>
      <c r="T272" s="9">
        <v>0.1</v>
      </c>
      <c r="U272" s="8">
        <f t="shared" si="4"/>
        <v>522720</v>
      </c>
      <c r="V272" s="8">
        <f t="shared" si="5"/>
        <v>4704480</v>
      </c>
      <c r="W272" s="10">
        <f t="shared" si="6"/>
        <v>2140800</v>
      </c>
      <c r="X272" s="10">
        <f t="shared" si="7"/>
        <v>2563680</v>
      </c>
      <c r="Y272" s="10"/>
      <c r="Z272" s="10"/>
      <c r="AA272" s="10"/>
      <c r="AB272" s="4" t="s">
        <v>1042</v>
      </c>
      <c r="AC272" s="4" t="s">
        <v>1040</v>
      </c>
      <c r="AD272" s="4">
        <v>42904.0</v>
      </c>
      <c r="AE272" s="4">
        <v>2017.0</v>
      </c>
      <c r="AF272" s="4" t="s">
        <v>1041</v>
      </c>
      <c r="AG272" s="4" t="s">
        <v>183</v>
      </c>
      <c r="AH272" s="4" t="s">
        <v>31</v>
      </c>
      <c r="AI272" s="4" t="s">
        <v>91</v>
      </c>
      <c r="AJ272" s="4" t="s">
        <v>43</v>
      </c>
      <c r="AK272" s="4" t="s">
        <v>53</v>
      </c>
      <c r="AL272" s="4" t="s">
        <v>502</v>
      </c>
      <c r="AM272" s="4" t="s">
        <v>36</v>
      </c>
      <c r="AN272" s="4" t="s">
        <v>37</v>
      </c>
      <c r="AO272" s="4" t="s">
        <v>38</v>
      </c>
      <c r="AP272" s="4">
        <v>42905.0</v>
      </c>
      <c r="AQ272" s="4">
        <v>66900.0</v>
      </c>
      <c r="AR272" s="4">
        <v>163350.0</v>
      </c>
      <c r="AS272" s="4">
        <v>96450.0</v>
      </c>
      <c r="AT272" s="4">
        <v>32.0</v>
      </c>
      <c r="AU272" s="4">
        <v>5227200.0</v>
      </c>
      <c r="AV272" s="4">
        <v>0.1</v>
      </c>
      <c r="AW272" s="4">
        <v>522720.0</v>
      </c>
      <c r="AX272" s="4">
        <v>4704480.0</v>
      </c>
      <c r="AY272" s="4">
        <v>2140800.0</v>
      </c>
      <c r="AZ272" s="4">
        <v>2563680.0</v>
      </c>
    </row>
    <row r="273" ht="15.75" customHeight="1">
      <c r="A273" s="3" t="s">
        <v>1043</v>
      </c>
      <c r="B273" s="5">
        <v>42908.0</v>
      </c>
      <c r="C273" s="6">
        <f t="shared" si="1"/>
        <v>2017</v>
      </c>
      <c r="D273" s="7" t="s">
        <v>1044</v>
      </c>
      <c r="E273" s="7" t="s">
        <v>962</v>
      </c>
      <c r="F273" s="7" t="s">
        <v>50</v>
      </c>
      <c r="G273" s="5" t="s">
        <v>51</v>
      </c>
      <c r="H273" s="7" t="s">
        <v>80</v>
      </c>
      <c r="I273" s="7" t="s">
        <v>92</v>
      </c>
      <c r="J273" s="7" t="s">
        <v>516</v>
      </c>
      <c r="K273" s="7" t="s">
        <v>36</v>
      </c>
      <c r="L273" s="7" t="s">
        <v>37</v>
      </c>
      <c r="M273" s="7" t="s">
        <v>38</v>
      </c>
      <c r="N273" s="5">
        <v>42909.0</v>
      </c>
      <c r="O273" s="8">
        <v>29100.0</v>
      </c>
      <c r="P273" s="8">
        <v>46200.0</v>
      </c>
      <c r="Q273" s="8">
        <f t="shared" si="2"/>
        <v>17100</v>
      </c>
      <c r="R273" s="8">
        <v>1.0</v>
      </c>
      <c r="S273" s="8">
        <f t="shared" si="3"/>
        <v>46200</v>
      </c>
      <c r="T273" s="9">
        <v>0.08</v>
      </c>
      <c r="U273" s="8">
        <f t="shared" si="4"/>
        <v>3696</v>
      </c>
      <c r="V273" s="8">
        <f t="shared" si="5"/>
        <v>42504</v>
      </c>
      <c r="W273" s="10">
        <f t="shared" si="6"/>
        <v>29100</v>
      </c>
      <c r="X273" s="10">
        <f t="shared" si="7"/>
        <v>13404</v>
      </c>
      <c r="Y273" s="10"/>
      <c r="Z273" s="10"/>
      <c r="AA273" s="10"/>
      <c r="AB273" s="4" t="s">
        <v>1045</v>
      </c>
      <c r="AC273" s="4" t="s">
        <v>1043</v>
      </c>
      <c r="AD273" s="4">
        <v>42908.0</v>
      </c>
      <c r="AE273" s="4">
        <v>2017.0</v>
      </c>
      <c r="AF273" s="4" t="s">
        <v>1044</v>
      </c>
      <c r="AG273" s="4" t="s">
        <v>962</v>
      </c>
      <c r="AH273" s="4" t="s">
        <v>50</v>
      </c>
      <c r="AI273" s="4" t="s">
        <v>51</v>
      </c>
      <c r="AJ273" s="4" t="s">
        <v>80</v>
      </c>
      <c r="AK273" s="4" t="s">
        <v>92</v>
      </c>
      <c r="AL273" s="4" t="s">
        <v>516</v>
      </c>
      <c r="AM273" s="4" t="s">
        <v>36</v>
      </c>
      <c r="AN273" s="4" t="s">
        <v>37</v>
      </c>
      <c r="AO273" s="4" t="s">
        <v>38</v>
      </c>
      <c r="AP273" s="4">
        <v>42909.0</v>
      </c>
      <c r="AQ273" s="4">
        <v>29100.0</v>
      </c>
      <c r="AR273" s="4">
        <v>46200.0</v>
      </c>
      <c r="AS273" s="4">
        <v>17100.0</v>
      </c>
      <c r="AT273" s="4">
        <v>1.0</v>
      </c>
      <c r="AU273" s="4">
        <v>46200.0</v>
      </c>
      <c r="AV273" s="4">
        <v>0.08</v>
      </c>
      <c r="AW273" s="4">
        <v>3696.0</v>
      </c>
      <c r="AX273" s="4">
        <v>42504.0</v>
      </c>
      <c r="AY273" s="4">
        <v>29100.0</v>
      </c>
      <c r="AZ273" s="4">
        <v>13404.0</v>
      </c>
    </row>
    <row r="274" ht="15.75" customHeight="1">
      <c r="A274" s="3" t="s">
        <v>1046</v>
      </c>
      <c r="B274" s="5">
        <v>42909.0</v>
      </c>
      <c r="C274" s="6">
        <f t="shared" si="1"/>
        <v>2017</v>
      </c>
      <c r="D274" s="7" t="s">
        <v>325</v>
      </c>
      <c r="E274" s="7" t="s">
        <v>326</v>
      </c>
      <c r="F274" s="7" t="s">
        <v>50</v>
      </c>
      <c r="G274" s="5" t="s">
        <v>51</v>
      </c>
      <c r="H274" s="7" t="s">
        <v>69</v>
      </c>
      <c r="I274" s="7" t="s">
        <v>104</v>
      </c>
      <c r="J274" s="7" t="s">
        <v>1047</v>
      </c>
      <c r="K274" s="7" t="s">
        <v>36</v>
      </c>
      <c r="L274" s="7" t="s">
        <v>37</v>
      </c>
      <c r="M274" s="7" t="s">
        <v>38</v>
      </c>
      <c r="N274" s="5">
        <v>42910.0</v>
      </c>
      <c r="O274" s="8">
        <v>780600.0</v>
      </c>
      <c r="P274" s="8">
        <v>1258950.0</v>
      </c>
      <c r="Q274" s="8">
        <f t="shared" si="2"/>
        <v>478350</v>
      </c>
      <c r="R274" s="8">
        <v>50.0</v>
      </c>
      <c r="S274" s="8">
        <f t="shared" si="3"/>
        <v>62947500</v>
      </c>
      <c r="T274" s="9">
        <v>0.1</v>
      </c>
      <c r="U274" s="8">
        <f t="shared" si="4"/>
        <v>6294750</v>
      </c>
      <c r="V274" s="8">
        <f t="shared" si="5"/>
        <v>56652750</v>
      </c>
      <c r="W274" s="10">
        <f t="shared" si="6"/>
        <v>39030000</v>
      </c>
      <c r="X274" s="10">
        <f t="shared" si="7"/>
        <v>17622750</v>
      </c>
      <c r="Y274" s="10"/>
      <c r="Z274" s="10"/>
      <c r="AA274" s="10"/>
      <c r="AB274" s="4" t="s">
        <v>1048</v>
      </c>
      <c r="AC274" s="4" t="s">
        <v>1046</v>
      </c>
      <c r="AD274" s="4">
        <v>42909.0</v>
      </c>
      <c r="AE274" s="4">
        <v>2017.0</v>
      </c>
      <c r="AF274" s="4" t="s">
        <v>325</v>
      </c>
      <c r="AG274" s="4" t="s">
        <v>326</v>
      </c>
      <c r="AH274" s="4" t="s">
        <v>50</v>
      </c>
      <c r="AI274" s="4" t="s">
        <v>51</v>
      </c>
      <c r="AJ274" s="4" t="s">
        <v>69</v>
      </c>
      <c r="AK274" s="4" t="s">
        <v>104</v>
      </c>
      <c r="AL274" s="4" t="s">
        <v>1047</v>
      </c>
      <c r="AM274" s="4" t="s">
        <v>36</v>
      </c>
      <c r="AN274" s="4" t="s">
        <v>37</v>
      </c>
      <c r="AO274" s="4" t="s">
        <v>38</v>
      </c>
      <c r="AP274" s="4">
        <v>42910.0</v>
      </c>
      <c r="AQ274" s="4">
        <v>780600.0</v>
      </c>
      <c r="AR274" s="4">
        <v>1258950.0</v>
      </c>
      <c r="AS274" s="4">
        <v>478350.0</v>
      </c>
      <c r="AT274" s="4">
        <v>50.0</v>
      </c>
      <c r="AU274" s="4">
        <v>6.29475E7</v>
      </c>
      <c r="AV274" s="4">
        <v>0.1</v>
      </c>
      <c r="AW274" s="4">
        <v>6294750.0</v>
      </c>
      <c r="AX274" s="4">
        <v>5.665275E7</v>
      </c>
      <c r="AY274" s="4">
        <v>3.903E7</v>
      </c>
      <c r="AZ274" s="4">
        <v>1.762275E7</v>
      </c>
    </row>
    <row r="275" ht="15.75" customHeight="1">
      <c r="A275" s="3" t="s">
        <v>1049</v>
      </c>
      <c r="B275" s="5">
        <v>42910.0</v>
      </c>
      <c r="C275" s="6">
        <f t="shared" si="1"/>
        <v>2017</v>
      </c>
      <c r="D275" s="7" t="s">
        <v>1050</v>
      </c>
      <c r="E275" s="7" t="s">
        <v>1051</v>
      </c>
      <c r="F275" s="7" t="s">
        <v>289</v>
      </c>
      <c r="G275" s="5" t="s">
        <v>32</v>
      </c>
      <c r="H275" s="7" t="s">
        <v>98</v>
      </c>
      <c r="I275" s="7" t="s">
        <v>34</v>
      </c>
      <c r="J275" s="7" t="s">
        <v>331</v>
      </c>
      <c r="K275" s="7" t="s">
        <v>61</v>
      </c>
      <c r="L275" s="7" t="s">
        <v>37</v>
      </c>
      <c r="M275" s="7" t="s">
        <v>55</v>
      </c>
      <c r="N275" s="5">
        <v>42911.0</v>
      </c>
      <c r="O275" s="8">
        <v>908850.0</v>
      </c>
      <c r="P275" s="8">
        <v>1514700.0</v>
      </c>
      <c r="Q275" s="8">
        <f t="shared" si="2"/>
        <v>605850</v>
      </c>
      <c r="R275" s="8">
        <v>5.0</v>
      </c>
      <c r="S275" s="8">
        <f t="shared" si="3"/>
        <v>7573500</v>
      </c>
      <c r="T275" s="9">
        <v>0.02</v>
      </c>
      <c r="U275" s="8">
        <f t="shared" si="4"/>
        <v>151470</v>
      </c>
      <c r="V275" s="8">
        <f t="shared" si="5"/>
        <v>7422030</v>
      </c>
      <c r="W275" s="10">
        <f t="shared" si="6"/>
        <v>4544250</v>
      </c>
      <c r="X275" s="10">
        <f t="shared" si="7"/>
        <v>2877780</v>
      </c>
      <c r="Y275" s="10"/>
      <c r="Z275" s="10"/>
      <c r="AA275" s="10"/>
      <c r="AB275" s="4" t="s">
        <v>1052</v>
      </c>
      <c r="AC275" s="4" t="s">
        <v>1049</v>
      </c>
      <c r="AD275" s="4">
        <v>42910.0</v>
      </c>
      <c r="AE275" s="4">
        <v>2017.0</v>
      </c>
      <c r="AF275" s="4" t="s">
        <v>1050</v>
      </c>
      <c r="AG275" s="4" t="s">
        <v>1051</v>
      </c>
      <c r="AH275" s="4" t="s">
        <v>289</v>
      </c>
      <c r="AI275" s="4" t="s">
        <v>32</v>
      </c>
      <c r="AJ275" s="4" t="s">
        <v>98</v>
      </c>
      <c r="AK275" s="4" t="s">
        <v>34</v>
      </c>
      <c r="AL275" s="4" t="s">
        <v>331</v>
      </c>
      <c r="AM275" s="4" t="s">
        <v>61</v>
      </c>
      <c r="AN275" s="4" t="s">
        <v>37</v>
      </c>
      <c r="AO275" s="4" t="s">
        <v>55</v>
      </c>
      <c r="AP275" s="4">
        <v>42911.0</v>
      </c>
      <c r="AQ275" s="4">
        <v>908850.0</v>
      </c>
      <c r="AR275" s="4">
        <v>1514700.0</v>
      </c>
      <c r="AS275" s="4">
        <v>605850.0</v>
      </c>
      <c r="AT275" s="4">
        <v>5.0</v>
      </c>
      <c r="AU275" s="4">
        <v>7573500.0</v>
      </c>
      <c r="AV275" s="4">
        <v>0.02</v>
      </c>
      <c r="AW275" s="4">
        <v>151470.0</v>
      </c>
      <c r="AX275" s="4">
        <v>7422030.0</v>
      </c>
      <c r="AY275" s="4">
        <v>4544250.0</v>
      </c>
      <c r="AZ275" s="4">
        <v>2877780.0</v>
      </c>
    </row>
    <row r="276" ht="15.75" customHeight="1">
      <c r="A276" s="3" t="s">
        <v>1053</v>
      </c>
      <c r="B276" s="5">
        <v>42911.0</v>
      </c>
      <c r="C276" s="6">
        <f t="shared" si="1"/>
        <v>2017</v>
      </c>
      <c r="D276" s="7" t="s">
        <v>988</v>
      </c>
      <c r="E276" s="7" t="s">
        <v>253</v>
      </c>
      <c r="F276" s="7" t="s">
        <v>31</v>
      </c>
      <c r="G276" s="5" t="s">
        <v>51</v>
      </c>
      <c r="H276" s="7" t="s">
        <v>43</v>
      </c>
      <c r="I276" s="7" t="s">
        <v>74</v>
      </c>
      <c r="J276" s="7" t="s">
        <v>272</v>
      </c>
      <c r="K276" s="7" t="s">
        <v>36</v>
      </c>
      <c r="L276" s="7" t="s">
        <v>45</v>
      </c>
      <c r="M276" s="7" t="s">
        <v>38</v>
      </c>
      <c r="N276" s="5">
        <v>42911.0</v>
      </c>
      <c r="O276" s="8">
        <v>56250.0</v>
      </c>
      <c r="P276" s="8">
        <v>106200.0</v>
      </c>
      <c r="Q276" s="8">
        <f t="shared" si="2"/>
        <v>49950</v>
      </c>
      <c r="R276" s="8">
        <v>34.0</v>
      </c>
      <c r="S276" s="8">
        <f t="shared" si="3"/>
        <v>3610800</v>
      </c>
      <c r="T276" s="9">
        <v>0.03</v>
      </c>
      <c r="U276" s="8">
        <f t="shared" si="4"/>
        <v>108324</v>
      </c>
      <c r="V276" s="8">
        <f t="shared" si="5"/>
        <v>3502476</v>
      </c>
      <c r="W276" s="10">
        <f t="shared" si="6"/>
        <v>1912500</v>
      </c>
      <c r="X276" s="10">
        <f t="shared" si="7"/>
        <v>1589976</v>
      </c>
      <c r="Y276" s="10"/>
      <c r="Z276" s="10"/>
      <c r="AA276" s="10"/>
      <c r="AB276" s="4" t="s">
        <v>1054</v>
      </c>
      <c r="AC276" s="4" t="s">
        <v>1053</v>
      </c>
      <c r="AD276" s="4">
        <v>42911.0</v>
      </c>
      <c r="AE276" s="4">
        <v>2017.0</v>
      </c>
      <c r="AF276" s="4" t="s">
        <v>988</v>
      </c>
      <c r="AG276" s="4" t="s">
        <v>253</v>
      </c>
      <c r="AH276" s="4" t="s">
        <v>31</v>
      </c>
      <c r="AI276" s="4" t="s">
        <v>51</v>
      </c>
      <c r="AJ276" s="4" t="s">
        <v>43</v>
      </c>
      <c r="AK276" s="4" t="s">
        <v>74</v>
      </c>
      <c r="AL276" s="4" t="s">
        <v>272</v>
      </c>
      <c r="AM276" s="4" t="s">
        <v>36</v>
      </c>
      <c r="AN276" s="4" t="s">
        <v>45</v>
      </c>
      <c r="AO276" s="4" t="s">
        <v>38</v>
      </c>
      <c r="AP276" s="4">
        <v>42911.0</v>
      </c>
      <c r="AQ276" s="4">
        <v>56250.0</v>
      </c>
      <c r="AR276" s="4">
        <v>106200.0</v>
      </c>
      <c r="AS276" s="4">
        <v>49950.0</v>
      </c>
      <c r="AT276" s="4">
        <v>34.0</v>
      </c>
      <c r="AU276" s="4">
        <v>3610800.0</v>
      </c>
      <c r="AV276" s="4">
        <v>0.03</v>
      </c>
      <c r="AW276" s="4">
        <v>108324.0</v>
      </c>
      <c r="AX276" s="4">
        <v>3502476.0</v>
      </c>
      <c r="AY276" s="4">
        <v>1912500.0</v>
      </c>
      <c r="AZ276" s="4">
        <v>1589976.0</v>
      </c>
    </row>
    <row r="277" ht="15.75" customHeight="1">
      <c r="A277" s="3" t="s">
        <v>1055</v>
      </c>
      <c r="B277" s="5">
        <v>42913.0</v>
      </c>
      <c r="C277" s="6">
        <f t="shared" si="1"/>
        <v>2017</v>
      </c>
      <c r="D277" s="7" t="s">
        <v>89</v>
      </c>
      <c r="E277" s="7" t="s">
        <v>90</v>
      </c>
      <c r="F277" s="7" t="s">
        <v>50</v>
      </c>
      <c r="G277" s="5" t="s">
        <v>91</v>
      </c>
      <c r="H277" s="7" t="s">
        <v>52</v>
      </c>
      <c r="I277" s="7" t="s">
        <v>53</v>
      </c>
      <c r="J277" s="7" t="s">
        <v>563</v>
      </c>
      <c r="K277" s="7" t="s">
        <v>36</v>
      </c>
      <c r="L277" s="7" t="s">
        <v>37</v>
      </c>
      <c r="M277" s="7" t="s">
        <v>38</v>
      </c>
      <c r="N277" s="5">
        <v>42913.0</v>
      </c>
      <c r="O277" s="8">
        <v>52500.0</v>
      </c>
      <c r="P277" s="8">
        <v>86100.0</v>
      </c>
      <c r="Q277" s="8">
        <f t="shared" si="2"/>
        <v>33600</v>
      </c>
      <c r="R277" s="8">
        <v>45.0</v>
      </c>
      <c r="S277" s="8">
        <f t="shared" si="3"/>
        <v>3874500</v>
      </c>
      <c r="T277" s="9">
        <v>0.0</v>
      </c>
      <c r="U277" s="8">
        <f t="shared" si="4"/>
        <v>0</v>
      </c>
      <c r="V277" s="8">
        <f t="shared" si="5"/>
        <v>3874500</v>
      </c>
      <c r="W277" s="10">
        <f t="shared" si="6"/>
        <v>2362500</v>
      </c>
      <c r="X277" s="10">
        <f t="shared" si="7"/>
        <v>1512000</v>
      </c>
      <c r="Y277" s="10"/>
      <c r="Z277" s="10"/>
      <c r="AA277" s="10"/>
      <c r="AB277" s="4" t="s">
        <v>1056</v>
      </c>
      <c r="AC277" s="4" t="s">
        <v>1055</v>
      </c>
      <c r="AD277" s="4">
        <v>42913.0</v>
      </c>
      <c r="AE277" s="4">
        <v>2017.0</v>
      </c>
      <c r="AF277" s="4" t="s">
        <v>89</v>
      </c>
      <c r="AG277" s="4" t="s">
        <v>90</v>
      </c>
      <c r="AH277" s="4" t="s">
        <v>50</v>
      </c>
      <c r="AI277" s="4" t="s">
        <v>91</v>
      </c>
      <c r="AJ277" s="4" t="s">
        <v>52</v>
      </c>
      <c r="AK277" s="4" t="s">
        <v>53</v>
      </c>
      <c r="AL277" s="4" t="s">
        <v>563</v>
      </c>
      <c r="AM277" s="4" t="s">
        <v>36</v>
      </c>
      <c r="AN277" s="4" t="s">
        <v>37</v>
      </c>
      <c r="AO277" s="4" t="s">
        <v>38</v>
      </c>
      <c r="AP277" s="4">
        <v>42913.0</v>
      </c>
      <c r="AQ277" s="4">
        <v>52500.0</v>
      </c>
      <c r="AR277" s="4">
        <v>86100.0</v>
      </c>
      <c r="AS277" s="4">
        <v>33600.0</v>
      </c>
      <c r="AT277" s="4">
        <v>45.0</v>
      </c>
      <c r="AU277" s="4">
        <v>3874500.0</v>
      </c>
      <c r="AV277" s="4">
        <v>0.0</v>
      </c>
      <c r="AW277" s="4">
        <v>0.0</v>
      </c>
      <c r="AX277" s="4">
        <v>3874500.0</v>
      </c>
      <c r="AY277" s="4">
        <v>2362500.0</v>
      </c>
      <c r="AZ277" s="4">
        <v>1512000.0</v>
      </c>
    </row>
    <row r="278" ht="15.75" customHeight="1">
      <c r="A278" s="3" t="s">
        <v>1057</v>
      </c>
      <c r="B278" s="5">
        <v>42915.0</v>
      </c>
      <c r="C278" s="6">
        <f t="shared" si="1"/>
        <v>2017</v>
      </c>
      <c r="D278" s="7" t="s">
        <v>1058</v>
      </c>
      <c r="E278" s="7" t="s">
        <v>747</v>
      </c>
      <c r="F278" s="7" t="s">
        <v>50</v>
      </c>
      <c r="G278" s="5" t="s">
        <v>32</v>
      </c>
      <c r="H278" s="7" t="s">
        <v>200</v>
      </c>
      <c r="I278" s="7" t="s">
        <v>53</v>
      </c>
      <c r="J278" s="7" t="s">
        <v>75</v>
      </c>
      <c r="K278" s="7" t="s">
        <v>36</v>
      </c>
      <c r="L278" s="7" t="s">
        <v>45</v>
      </c>
      <c r="M278" s="7" t="s">
        <v>38</v>
      </c>
      <c r="N278" s="5">
        <v>42916.0</v>
      </c>
      <c r="O278" s="8">
        <v>16350.000000000002</v>
      </c>
      <c r="P278" s="8">
        <v>39000.0</v>
      </c>
      <c r="Q278" s="8">
        <f t="shared" si="2"/>
        <v>22650</v>
      </c>
      <c r="R278" s="8">
        <v>43.0</v>
      </c>
      <c r="S278" s="8">
        <f t="shared" si="3"/>
        <v>1677000</v>
      </c>
      <c r="T278" s="9">
        <v>0.01</v>
      </c>
      <c r="U278" s="8">
        <f t="shared" si="4"/>
        <v>16770</v>
      </c>
      <c r="V278" s="8">
        <f t="shared" si="5"/>
        <v>1660230</v>
      </c>
      <c r="W278" s="10">
        <f t="shared" si="6"/>
        <v>703050</v>
      </c>
      <c r="X278" s="10">
        <f t="shared" si="7"/>
        <v>957180</v>
      </c>
      <c r="Y278" s="10"/>
      <c r="Z278" s="10"/>
      <c r="AA278" s="10"/>
      <c r="AB278" s="4" t="s">
        <v>1059</v>
      </c>
      <c r="AC278" s="4" t="s">
        <v>1057</v>
      </c>
      <c r="AD278" s="4">
        <v>42915.0</v>
      </c>
      <c r="AE278" s="4">
        <v>2017.0</v>
      </c>
      <c r="AF278" s="4" t="s">
        <v>1058</v>
      </c>
      <c r="AG278" s="4" t="s">
        <v>747</v>
      </c>
      <c r="AH278" s="4" t="s">
        <v>50</v>
      </c>
      <c r="AI278" s="4" t="s">
        <v>32</v>
      </c>
      <c r="AJ278" s="4" t="s">
        <v>200</v>
      </c>
      <c r="AK278" s="4" t="s">
        <v>53</v>
      </c>
      <c r="AL278" s="4" t="s">
        <v>75</v>
      </c>
      <c r="AM278" s="4" t="s">
        <v>36</v>
      </c>
      <c r="AN278" s="4" t="s">
        <v>45</v>
      </c>
      <c r="AO278" s="4" t="s">
        <v>38</v>
      </c>
      <c r="AP278" s="4">
        <v>42916.0</v>
      </c>
      <c r="AQ278" s="4">
        <v>16350.0</v>
      </c>
      <c r="AR278" s="4">
        <v>39000.0</v>
      </c>
      <c r="AS278" s="4">
        <v>22650.0</v>
      </c>
      <c r="AT278" s="4">
        <v>43.0</v>
      </c>
      <c r="AU278" s="4">
        <v>1677000.0</v>
      </c>
      <c r="AV278" s="4">
        <v>0.01</v>
      </c>
      <c r="AW278" s="4">
        <v>16770.0</v>
      </c>
      <c r="AX278" s="4">
        <v>1660230.0</v>
      </c>
      <c r="AY278" s="4">
        <v>703050.0</v>
      </c>
      <c r="AZ278" s="4">
        <v>957180.0</v>
      </c>
    </row>
    <row r="279" ht="15.75" customHeight="1">
      <c r="A279" s="3" t="s">
        <v>1060</v>
      </c>
      <c r="B279" s="5">
        <v>42915.0</v>
      </c>
      <c r="C279" s="6">
        <f t="shared" si="1"/>
        <v>2017</v>
      </c>
      <c r="D279" s="7" t="s">
        <v>1061</v>
      </c>
      <c r="E279" s="7" t="s">
        <v>726</v>
      </c>
      <c r="F279" s="7" t="s">
        <v>50</v>
      </c>
      <c r="G279" s="5" t="s">
        <v>51</v>
      </c>
      <c r="H279" s="7" t="s">
        <v>52</v>
      </c>
      <c r="I279" s="7" t="s">
        <v>92</v>
      </c>
      <c r="J279" s="7" t="s">
        <v>327</v>
      </c>
      <c r="K279" s="7" t="s">
        <v>36</v>
      </c>
      <c r="L279" s="7" t="s">
        <v>37</v>
      </c>
      <c r="M279" s="7" t="s">
        <v>38</v>
      </c>
      <c r="N279" s="5">
        <v>42916.0</v>
      </c>
      <c r="O279" s="8">
        <v>133800.0</v>
      </c>
      <c r="P279" s="8">
        <v>446100.0</v>
      </c>
      <c r="Q279" s="8">
        <f t="shared" si="2"/>
        <v>312300</v>
      </c>
      <c r="R279" s="8">
        <v>25.0</v>
      </c>
      <c r="S279" s="8">
        <f t="shared" si="3"/>
        <v>11152500</v>
      </c>
      <c r="T279" s="9">
        <v>0.0</v>
      </c>
      <c r="U279" s="8">
        <f t="shared" si="4"/>
        <v>0</v>
      </c>
      <c r="V279" s="8">
        <f t="shared" si="5"/>
        <v>11152500</v>
      </c>
      <c r="W279" s="10">
        <f t="shared" si="6"/>
        <v>3345000</v>
      </c>
      <c r="X279" s="10">
        <f t="shared" si="7"/>
        <v>7807500</v>
      </c>
      <c r="Y279" s="10"/>
      <c r="Z279" s="10"/>
      <c r="AA279" s="10"/>
      <c r="AB279" s="4" t="s">
        <v>1062</v>
      </c>
      <c r="AC279" s="4" t="s">
        <v>1060</v>
      </c>
      <c r="AD279" s="4">
        <v>42915.0</v>
      </c>
      <c r="AE279" s="4">
        <v>2017.0</v>
      </c>
      <c r="AF279" s="4" t="s">
        <v>1061</v>
      </c>
      <c r="AG279" s="4" t="s">
        <v>726</v>
      </c>
      <c r="AH279" s="4" t="s">
        <v>50</v>
      </c>
      <c r="AI279" s="4" t="s">
        <v>51</v>
      </c>
      <c r="AJ279" s="4" t="s">
        <v>52</v>
      </c>
      <c r="AK279" s="4" t="s">
        <v>92</v>
      </c>
      <c r="AL279" s="4" t="s">
        <v>327</v>
      </c>
      <c r="AM279" s="4" t="s">
        <v>36</v>
      </c>
      <c r="AN279" s="4" t="s">
        <v>37</v>
      </c>
      <c r="AO279" s="4" t="s">
        <v>38</v>
      </c>
      <c r="AP279" s="4">
        <v>42916.0</v>
      </c>
      <c r="AQ279" s="4">
        <v>133800.0</v>
      </c>
      <c r="AR279" s="4">
        <v>446100.0</v>
      </c>
      <c r="AS279" s="4">
        <v>312300.0</v>
      </c>
      <c r="AT279" s="4">
        <v>25.0</v>
      </c>
      <c r="AU279" s="4">
        <v>1.11525E7</v>
      </c>
      <c r="AV279" s="4">
        <v>0.0</v>
      </c>
      <c r="AW279" s="4">
        <v>0.0</v>
      </c>
      <c r="AX279" s="4">
        <v>1.11525E7</v>
      </c>
      <c r="AY279" s="4">
        <v>3345000.0</v>
      </c>
      <c r="AZ279" s="4">
        <v>7807500.0</v>
      </c>
    </row>
    <row r="280" ht="15.75" customHeight="1">
      <c r="A280" s="3" t="s">
        <v>1063</v>
      </c>
      <c r="B280" s="5">
        <v>42915.0</v>
      </c>
      <c r="C280" s="6">
        <f t="shared" si="1"/>
        <v>2017</v>
      </c>
      <c r="D280" s="7" t="s">
        <v>1064</v>
      </c>
      <c r="E280" s="7" t="s">
        <v>194</v>
      </c>
      <c r="F280" s="7" t="s">
        <v>31</v>
      </c>
      <c r="G280" s="5" t="s">
        <v>91</v>
      </c>
      <c r="H280" s="7" t="s">
        <v>33</v>
      </c>
      <c r="I280" s="7" t="s">
        <v>92</v>
      </c>
      <c r="J280" s="7" t="s">
        <v>1065</v>
      </c>
      <c r="K280" s="7" t="s">
        <v>36</v>
      </c>
      <c r="L280" s="7" t="s">
        <v>37</v>
      </c>
      <c r="M280" s="7" t="s">
        <v>38</v>
      </c>
      <c r="N280" s="5">
        <v>42916.0</v>
      </c>
      <c r="O280" s="8">
        <v>329550.0</v>
      </c>
      <c r="P280" s="8">
        <v>531600.0</v>
      </c>
      <c r="Q280" s="8">
        <f t="shared" si="2"/>
        <v>202050</v>
      </c>
      <c r="R280" s="8">
        <v>21.0</v>
      </c>
      <c r="S280" s="8">
        <f t="shared" si="3"/>
        <v>11163600</v>
      </c>
      <c r="T280" s="9">
        <v>0.0</v>
      </c>
      <c r="U280" s="8">
        <f t="shared" si="4"/>
        <v>0</v>
      </c>
      <c r="V280" s="8">
        <f t="shared" si="5"/>
        <v>11163600</v>
      </c>
      <c r="W280" s="10">
        <f t="shared" si="6"/>
        <v>6920550</v>
      </c>
      <c r="X280" s="10">
        <f t="shared" si="7"/>
        <v>4243050</v>
      </c>
      <c r="Y280" s="10"/>
      <c r="Z280" s="10"/>
      <c r="AA280" s="10"/>
      <c r="AB280" s="4" t="s">
        <v>1066</v>
      </c>
      <c r="AC280" s="4" t="s">
        <v>1063</v>
      </c>
      <c r="AD280" s="4">
        <v>42915.0</v>
      </c>
      <c r="AE280" s="4">
        <v>2017.0</v>
      </c>
      <c r="AF280" s="4" t="s">
        <v>1064</v>
      </c>
      <c r="AG280" s="4" t="s">
        <v>194</v>
      </c>
      <c r="AH280" s="4" t="s">
        <v>31</v>
      </c>
      <c r="AI280" s="4" t="s">
        <v>91</v>
      </c>
      <c r="AJ280" s="4" t="s">
        <v>33</v>
      </c>
      <c r="AK280" s="4" t="s">
        <v>92</v>
      </c>
      <c r="AL280" s="4" t="s">
        <v>1065</v>
      </c>
      <c r="AM280" s="4" t="s">
        <v>36</v>
      </c>
      <c r="AN280" s="4" t="s">
        <v>37</v>
      </c>
      <c r="AO280" s="4" t="s">
        <v>38</v>
      </c>
      <c r="AP280" s="4">
        <v>42916.0</v>
      </c>
      <c r="AQ280" s="4">
        <v>329550.0</v>
      </c>
      <c r="AR280" s="4">
        <v>531600.0</v>
      </c>
      <c r="AS280" s="4">
        <v>202050.0</v>
      </c>
      <c r="AT280" s="4">
        <v>21.0</v>
      </c>
      <c r="AU280" s="4">
        <v>1.11636E7</v>
      </c>
      <c r="AV280" s="4">
        <v>0.0</v>
      </c>
      <c r="AW280" s="4">
        <v>0.0</v>
      </c>
      <c r="AX280" s="4">
        <v>1.11636E7</v>
      </c>
      <c r="AY280" s="4">
        <v>6920550.0</v>
      </c>
      <c r="AZ280" s="4">
        <v>4243050.0</v>
      </c>
    </row>
    <row r="281" ht="15.75" customHeight="1">
      <c r="A281" s="3" t="s">
        <v>1067</v>
      </c>
      <c r="B281" s="5">
        <v>42917.0</v>
      </c>
      <c r="C281" s="6">
        <f t="shared" si="1"/>
        <v>2017</v>
      </c>
      <c r="D281" s="7" t="s">
        <v>1068</v>
      </c>
      <c r="E281" s="7" t="s">
        <v>1069</v>
      </c>
      <c r="F281" s="7" t="s">
        <v>31</v>
      </c>
      <c r="G281" s="5" t="s">
        <v>91</v>
      </c>
      <c r="H281" s="7" t="s">
        <v>43</v>
      </c>
      <c r="I281" s="7" t="s">
        <v>53</v>
      </c>
      <c r="J281" s="7" t="s">
        <v>538</v>
      </c>
      <c r="K281" s="7" t="s">
        <v>36</v>
      </c>
      <c r="L281" s="7" t="s">
        <v>37</v>
      </c>
      <c r="M281" s="7" t="s">
        <v>38</v>
      </c>
      <c r="N281" s="5">
        <v>42919.0</v>
      </c>
      <c r="O281" s="8">
        <v>33900.0</v>
      </c>
      <c r="P281" s="8">
        <v>53700.0</v>
      </c>
      <c r="Q281" s="8">
        <f t="shared" si="2"/>
        <v>19800</v>
      </c>
      <c r="R281" s="8">
        <v>39.0</v>
      </c>
      <c r="S281" s="8">
        <f t="shared" si="3"/>
        <v>2094300</v>
      </c>
      <c r="T281" s="9">
        <v>0.0</v>
      </c>
      <c r="U281" s="8">
        <f t="shared" si="4"/>
        <v>0</v>
      </c>
      <c r="V281" s="8">
        <f t="shared" si="5"/>
        <v>2094300</v>
      </c>
      <c r="W281" s="10">
        <f t="shared" si="6"/>
        <v>1322100</v>
      </c>
      <c r="X281" s="10">
        <f t="shared" si="7"/>
        <v>772200</v>
      </c>
      <c r="Y281" s="10"/>
      <c r="Z281" s="10"/>
      <c r="AA281" s="10"/>
      <c r="AB281" s="4" t="s">
        <v>1070</v>
      </c>
      <c r="AC281" s="4" t="s">
        <v>1067</v>
      </c>
      <c r="AD281" s="4">
        <v>42917.0</v>
      </c>
      <c r="AE281" s="4">
        <v>2017.0</v>
      </c>
      <c r="AF281" s="4" t="s">
        <v>1068</v>
      </c>
      <c r="AG281" s="4" t="s">
        <v>1069</v>
      </c>
      <c r="AH281" s="4" t="s">
        <v>31</v>
      </c>
      <c r="AI281" s="4" t="s">
        <v>91</v>
      </c>
      <c r="AJ281" s="4" t="s">
        <v>43</v>
      </c>
      <c r="AK281" s="4" t="s">
        <v>53</v>
      </c>
      <c r="AL281" s="4" t="s">
        <v>538</v>
      </c>
      <c r="AM281" s="4" t="s">
        <v>36</v>
      </c>
      <c r="AN281" s="4" t="s">
        <v>37</v>
      </c>
      <c r="AO281" s="4" t="s">
        <v>38</v>
      </c>
      <c r="AP281" s="4">
        <v>42919.0</v>
      </c>
      <c r="AQ281" s="4">
        <v>33900.0</v>
      </c>
      <c r="AR281" s="4">
        <v>53700.0</v>
      </c>
      <c r="AS281" s="4">
        <v>19800.0</v>
      </c>
      <c r="AT281" s="4">
        <v>39.0</v>
      </c>
      <c r="AU281" s="4">
        <v>2094300.0</v>
      </c>
      <c r="AV281" s="4">
        <v>0.0</v>
      </c>
      <c r="AW281" s="4">
        <v>0.0</v>
      </c>
      <c r="AX281" s="4">
        <v>2094300.0</v>
      </c>
      <c r="AY281" s="4">
        <v>1322100.0</v>
      </c>
      <c r="AZ281" s="4">
        <v>772200.0</v>
      </c>
    </row>
    <row r="282" ht="15.75" customHeight="1">
      <c r="A282" s="3" t="s">
        <v>1071</v>
      </c>
      <c r="B282" s="5">
        <v>42919.0</v>
      </c>
      <c r="C282" s="6">
        <f t="shared" si="1"/>
        <v>2017</v>
      </c>
      <c r="D282" s="7" t="s">
        <v>1072</v>
      </c>
      <c r="E282" s="7" t="s">
        <v>766</v>
      </c>
      <c r="F282" s="7" t="s">
        <v>50</v>
      </c>
      <c r="G282" s="5" t="s">
        <v>32</v>
      </c>
      <c r="H282" s="7" t="s">
        <v>189</v>
      </c>
      <c r="I282" s="7" t="s">
        <v>74</v>
      </c>
      <c r="J282" s="7" t="s">
        <v>516</v>
      </c>
      <c r="K282" s="7" t="s">
        <v>36</v>
      </c>
      <c r="L282" s="7" t="s">
        <v>37</v>
      </c>
      <c r="M282" s="7" t="s">
        <v>38</v>
      </c>
      <c r="N282" s="5">
        <v>42924.0</v>
      </c>
      <c r="O282" s="8">
        <v>29100.0</v>
      </c>
      <c r="P282" s="8">
        <v>46200.0</v>
      </c>
      <c r="Q282" s="8">
        <f t="shared" si="2"/>
        <v>17100</v>
      </c>
      <c r="R282" s="8">
        <v>5.0</v>
      </c>
      <c r="S282" s="8">
        <f t="shared" si="3"/>
        <v>231000</v>
      </c>
      <c r="T282" s="9">
        <v>0.06</v>
      </c>
      <c r="U282" s="8">
        <f t="shared" si="4"/>
        <v>13860</v>
      </c>
      <c r="V282" s="8">
        <f t="shared" si="5"/>
        <v>217140</v>
      </c>
      <c r="W282" s="10">
        <f t="shared" si="6"/>
        <v>145500</v>
      </c>
      <c r="X282" s="10">
        <f t="shared" si="7"/>
        <v>71640</v>
      </c>
      <c r="Y282" s="10"/>
      <c r="Z282" s="10"/>
      <c r="AA282" s="10"/>
      <c r="AB282" s="4" t="s">
        <v>1073</v>
      </c>
      <c r="AC282" s="4" t="s">
        <v>1071</v>
      </c>
      <c r="AD282" s="4">
        <v>42919.0</v>
      </c>
      <c r="AE282" s="4">
        <v>2017.0</v>
      </c>
      <c r="AF282" s="4" t="s">
        <v>1072</v>
      </c>
      <c r="AG282" s="4" t="s">
        <v>766</v>
      </c>
      <c r="AH282" s="4" t="s">
        <v>50</v>
      </c>
      <c r="AI282" s="4" t="s">
        <v>32</v>
      </c>
      <c r="AJ282" s="4" t="s">
        <v>189</v>
      </c>
      <c r="AK282" s="4" t="s">
        <v>74</v>
      </c>
      <c r="AL282" s="4" t="s">
        <v>516</v>
      </c>
      <c r="AM282" s="4" t="s">
        <v>36</v>
      </c>
      <c r="AN282" s="4" t="s">
        <v>37</v>
      </c>
      <c r="AO282" s="4" t="s">
        <v>38</v>
      </c>
      <c r="AP282" s="4">
        <v>42924.0</v>
      </c>
      <c r="AQ282" s="4">
        <v>29100.0</v>
      </c>
      <c r="AR282" s="4">
        <v>46200.0</v>
      </c>
      <c r="AS282" s="4">
        <v>17100.0</v>
      </c>
      <c r="AT282" s="4">
        <v>5.0</v>
      </c>
      <c r="AU282" s="4">
        <v>231000.0</v>
      </c>
      <c r="AV282" s="4">
        <v>0.06</v>
      </c>
      <c r="AW282" s="4">
        <v>13860.0</v>
      </c>
      <c r="AX282" s="4">
        <v>217140.0</v>
      </c>
      <c r="AY282" s="4">
        <v>145500.0</v>
      </c>
      <c r="AZ282" s="4">
        <v>71640.0</v>
      </c>
    </row>
    <row r="283" ht="15.75" customHeight="1">
      <c r="A283" s="3" t="s">
        <v>1074</v>
      </c>
      <c r="B283" s="5">
        <v>42926.0</v>
      </c>
      <c r="C283" s="6">
        <f t="shared" si="1"/>
        <v>2017</v>
      </c>
      <c r="D283" s="7" t="s">
        <v>906</v>
      </c>
      <c r="E283" s="7" t="s">
        <v>199</v>
      </c>
      <c r="F283" s="7" t="s">
        <v>50</v>
      </c>
      <c r="G283" s="5" t="s">
        <v>91</v>
      </c>
      <c r="H283" s="7" t="s">
        <v>200</v>
      </c>
      <c r="I283" s="7" t="s">
        <v>34</v>
      </c>
      <c r="J283" s="7" t="s">
        <v>743</v>
      </c>
      <c r="K283" s="7" t="s">
        <v>36</v>
      </c>
      <c r="L283" s="7" t="s">
        <v>37</v>
      </c>
      <c r="M283" s="7" t="s">
        <v>38</v>
      </c>
      <c r="N283" s="5">
        <v>42926.0</v>
      </c>
      <c r="O283" s="8">
        <v>165600.0</v>
      </c>
      <c r="P283" s="8">
        <v>254700.0</v>
      </c>
      <c r="Q283" s="8">
        <f t="shared" si="2"/>
        <v>89100</v>
      </c>
      <c r="R283" s="8">
        <v>31.0</v>
      </c>
      <c r="S283" s="8">
        <f t="shared" si="3"/>
        <v>7895700</v>
      </c>
      <c r="T283" s="9">
        <v>0.03</v>
      </c>
      <c r="U283" s="8">
        <f t="shared" si="4"/>
        <v>236871</v>
      </c>
      <c r="V283" s="8">
        <f t="shared" si="5"/>
        <v>7658829</v>
      </c>
      <c r="W283" s="10">
        <f t="shared" si="6"/>
        <v>5133600</v>
      </c>
      <c r="X283" s="10">
        <f t="shared" si="7"/>
        <v>2525229</v>
      </c>
      <c r="Y283" s="10"/>
      <c r="Z283" s="10"/>
      <c r="AA283" s="10"/>
      <c r="AB283" s="4" t="s">
        <v>1075</v>
      </c>
      <c r="AC283" s="4" t="s">
        <v>1074</v>
      </c>
      <c r="AD283" s="4">
        <v>42926.0</v>
      </c>
      <c r="AE283" s="4">
        <v>2017.0</v>
      </c>
      <c r="AF283" s="4" t="s">
        <v>906</v>
      </c>
      <c r="AG283" s="4" t="s">
        <v>199</v>
      </c>
      <c r="AH283" s="4" t="s">
        <v>50</v>
      </c>
      <c r="AI283" s="4" t="s">
        <v>91</v>
      </c>
      <c r="AJ283" s="4" t="s">
        <v>200</v>
      </c>
      <c r="AK283" s="4" t="s">
        <v>34</v>
      </c>
      <c r="AL283" s="4" t="s">
        <v>743</v>
      </c>
      <c r="AM283" s="4" t="s">
        <v>36</v>
      </c>
      <c r="AN283" s="4" t="s">
        <v>37</v>
      </c>
      <c r="AO283" s="4" t="s">
        <v>38</v>
      </c>
      <c r="AP283" s="4">
        <v>42926.0</v>
      </c>
      <c r="AQ283" s="4">
        <v>165600.0</v>
      </c>
      <c r="AR283" s="4">
        <v>254700.0</v>
      </c>
      <c r="AS283" s="4">
        <v>89100.0</v>
      </c>
      <c r="AT283" s="4">
        <v>31.0</v>
      </c>
      <c r="AU283" s="4">
        <v>7895700.0</v>
      </c>
      <c r="AV283" s="4">
        <v>0.03</v>
      </c>
      <c r="AW283" s="4">
        <v>236871.0</v>
      </c>
      <c r="AX283" s="4">
        <v>7658829.0</v>
      </c>
      <c r="AY283" s="4">
        <v>5133600.0</v>
      </c>
      <c r="AZ283" s="4">
        <v>2525229.0</v>
      </c>
    </row>
    <row r="284" ht="15.75" customHeight="1">
      <c r="A284" s="3" t="s">
        <v>1076</v>
      </c>
      <c r="B284" s="5">
        <v>42927.0</v>
      </c>
      <c r="C284" s="6">
        <f t="shared" si="1"/>
        <v>2017</v>
      </c>
      <c r="D284" s="7" t="s">
        <v>1077</v>
      </c>
      <c r="E284" s="7" t="s">
        <v>693</v>
      </c>
      <c r="F284" s="7" t="s">
        <v>50</v>
      </c>
      <c r="G284" s="5" t="s">
        <v>68</v>
      </c>
      <c r="H284" s="7" t="s">
        <v>189</v>
      </c>
      <c r="I284" s="7" t="s">
        <v>92</v>
      </c>
      <c r="J284" s="7" t="s">
        <v>739</v>
      </c>
      <c r="K284" s="7" t="s">
        <v>36</v>
      </c>
      <c r="L284" s="7" t="s">
        <v>37</v>
      </c>
      <c r="M284" s="7" t="s">
        <v>38</v>
      </c>
      <c r="N284" s="5">
        <v>42928.0</v>
      </c>
      <c r="O284" s="8">
        <v>67950.0</v>
      </c>
      <c r="P284" s="8">
        <v>109500.0</v>
      </c>
      <c r="Q284" s="8">
        <f t="shared" si="2"/>
        <v>41550</v>
      </c>
      <c r="R284" s="8">
        <v>18.0</v>
      </c>
      <c r="S284" s="8">
        <f t="shared" si="3"/>
        <v>1971000</v>
      </c>
      <c r="T284" s="9">
        <v>0.05</v>
      </c>
      <c r="U284" s="8">
        <f t="shared" si="4"/>
        <v>98550</v>
      </c>
      <c r="V284" s="8">
        <f t="shared" si="5"/>
        <v>1872450</v>
      </c>
      <c r="W284" s="10">
        <f t="shared" si="6"/>
        <v>1223100</v>
      </c>
      <c r="X284" s="10">
        <f t="shared" si="7"/>
        <v>649350</v>
      </c>
      <c r="Y284" s="10"/>
      <c r="Z284" s="10"/>
      <c r="AA284" s="10"/>
      <c r="AB284" s="4" t="s">
        <v>1078</v>
      </c>
      <c r="AC284" s="4" t="s">
        <v>1076</v>
      </c>
      <c r="AD284" s="4">
        <v>42927.0</v>
      </c>
      <c r="AE284" s="4">
        <v>2017.0</v>
      </c>
      <c r="AF284" s="4" t="s">
        <v>1077</v>
      </c>
      <c r="AG284" s="4" t="s">
        <v>693</v>
      </c>
      <c r="AH284" s="4" t="s">
        <v>50</v>
      </c>
      <c r="AI284" s="4" t="s">
        <v>68</v>
      </c>
      <c r="AJ284" s="4" t="s">
        <v>189</v>
      </c>
      <c r="AK284" s="4" t="s">
        <v>92</v>
      </c>
      <c r="AL284" s="4" t="s">
        <v>739</v>
      </c>
      <c r="AM284" s="4" t="s">
        <v>36</v>
      </c>
      <c r="AN284" s="4" t="s">
        <v>37</v>
      </c>
      <c r="AO284" s="4" t="s">
        <v>38</v>
      </c>
      <c r="AP284" s="4">
        <v>42928.0</v>
      </c>
      <c r="AQ284" s="4">
        <v>67950.0</v>
      </c>
      <c r="AR284" s="4">
        <v>109500.0</v>
      </c>
      <c r="AS284" s="4">
        <v>41550.0</v>
      </c>
      <c r="AT284" s="4">
        <v>18.0</v>
      </c>
      <c r="AU284" s="4">
        <v>1971000.0</v>
      </c>
      <c r="AV284" s="4">
        <v>0.05</v>
      </c>
      <c r="AW284" s="4">
        <v>98550.0</v>
      </c>
      <c r="AX284" s="4">
        <v>1872450.0</v>
      </c>
      <c r="AY284" s="4">
        <v>1223100.0</v>
      </c>
      <c r="AZ284" s="4">
        <v>649350.0</v>
      </c>
    </row>
    <row r="285" ht="15.75" customHeight="1">
      <c r="A285" s="3" t="s">
        <v>1079</v>
      </c>
      <c r="B285" s="5">
        <v>42929.0</v>
      </c>
      <c r="C285" s="6">
        <f t="shared" si="1"/>
        <v>2017</v>
      </c>
      <c r="D285" s="7" t="s">
        <v>1080</v>
      </c>
      <c r="E285" s="7" t="s">
        <v>642</v>
      </c>
      <c r="F285" s="7" t="s">
        <v>50</v>
      </c>
      <c r="G285" s="5" t="s">
        <v>32</v>
      </c>
      <c r="H285" s="7" t="s">
        <v>69</v>
      </c>
      <c r="I285" s="7" t="s">
        <v>92</v>
      </c>
      <c r="J285" s="7" t="s">
        <v>452</v>
      </c>
      <c r="K285" s="7" t="s">
        <v>36</v>
      </c>
      <c r="L285" s="7" t="s">
        <v>45</v>
      </c>
      <c r="M285" s="7" t="s">
        <v>38</v>
      </c>
      <c r="N285" s="5">
        <v>42929.0</v>
      </c>
      <c r="O285" s="8">
        <v>65550.0</v>
      </c>
      <c r="P285" s="8">
        <v>136650.0</v>
      </c>
      <c r="Q285" s="8">
        <f t="shared" si="2"/>
        <v>71100</v>
      </c>
      <c r="R285" s="8">
        <v>1.0</v>
      </c>
      <c r="S285" s="8">
        <f t="shared" si="3"/>
        <v>136650</v>
      </c>
      <c r="T285" s="9">
        <v>0.1</v>
      </c>
      <c r="U285" s="8">
        <f t="shared" si="4"/>
        <v>13665</v>
      </c>
      <c r="V285" s="8">
        <f t="shared" si="5"/>
        <v>122985</v>
      </c>
      <c r="W285" s="10">
        <f t="shared" si="6"/>
        <v>65550</v>
      </c>
      <c r="X285" s="10">
        <f t="shared" si="7"/>
        <v>57435</v>
      </c>
      <c r="Y285" s="10"/>
      <c r="Z285" s="10"/>
      <c r="AA285" s="10"/>
      <c r="AB285" s="4" t="s">
        <v>1081</v>
      </c>
      <c r="AC285" s="4" t="s">
        <v>1079</v>
      </c>
      <c r="AD285" s="4">
        <v>42929.0</v>
      </c>
      <c r="AE285" s="4">
        <v>2017.0</v>
      </c>
      <c r="AF285" s="4" t="s">
        <v>1080</v>
      </c>
      <c r="AG285" s="4" t="s">
        <v>642</v>
      </c>
      <c r="AH285" s="4" t="s">
        <v>50</v>
      </c>
      <c r="AI285" s="4" t="s">
        <v>32</v>
      </c>
      <c r="AJ285" s="4" t="s">
        <v>69</v>
      </c>
      <c r="AK285" s="4" t="s">
        <v>92</v>
      </c>
      <c r="AL285" s="4" t="s">
        <v>452</v>
      </c>
      <c r="AM285" s="4" t="s">
        <v>36</v>
      </c>
      <c r="AN285" s="4" t="s">
        <v>45</v>
      </c>
      <c r="AO285" s="4" t="s">
        <v>38</v>
      </c>
      <c r="AP285" s="4">
        <v>42929.0</v>
      </c>
      <c r="AQ285" s="4">
        <v>65550.0</v>
      </c>
      <c r="AR285" s="4">
        <v>136650.0</v>
      </c>
      <c r="AS285" s="4">
        <v>71100.0</v>
      </c>
      <c r="AT285" s="4">
        <v>1.0</v>
      </c>
      <c r="AU285" s="4">
        <v>136650.0</v>
      </c>
      <c r="AV285" s="4">
        <v>0.1</v>
      </c>
      <c r="AW285" s="4">
        <v>13665.0</v>
      </c>
      <c r="AX285" s="4">
        <v>122985.0</v>
      </c>
      <c r="AY285" s="4">
        <v>65550.0</v>
      </c>
      <c r="AZ285" s="4">
        <v>57435.0</v>
      </c>
    </row>
    <row r="286" ht="15.75" customHeight="1">
      <c r="A286" s="3" t="s">
        <v>1082</v>
      </c>
      <c r="B286" s="5">
        <v>42930.0</v>
      </c>
      <c r="C286" s="6">
        <f t="shared" si="1"/>
        <v>2017</v>
      </c>
      <c r="D286" s="7" t="s">
        <v>911</v>
      </c>
      <c r="E286" s="7" t="s">
        <v>364</v>
      </c>
      <c r="F286" s="7" t="s">
        <v>50</v>
      </c>
      <c r="G286" s="5" t="s">
        <v>68</v>
      </c>
      <c r="H286" s="7" t="s">
        <v>151</v>
      </c>
      <c r="I286" s="7" t="s">
        <v>53</v>
      </c>
      <c r="J286" s="7" t="s">
        <v>753</v>
      </c>
      <c r="K286" s="7" t="s">
        <v>36</v>
      </c>
      <c r="L286" s="7" t="s">
        <v>127</v>
      </c>
      <c r="M286" s="7" t="s">
        <v>38</v>
      </c>
      <c r="N286" s="5">
        <v>42931.0</v>
      </c>
      <c r="O286" s="8">
        <v>252000.0</v>
      </c>
      <c r="P286" s="8">
        <v>614550.0</v>
      </c>
      <c r="Q286" s="8">
        <f t="shared" si="2"/>
        <v>362550</v>
      </c>
      <c r="R286" s="8">
        <v>44.0</v>
      </c>
      <c r="S286" s="8">
        <f t="shared" si="3"/>
        <v>27040200</v>
      </c>
      <c r="T286" s="9">
        <v>0.08</v>
      </c>
      <c r="U286" s="8">
        <f t="shared" si="4"/>
        <v>2163216</v>
      </c>
      <c r="V286" s="8">
        <f t="shared" si="5"/>
        <v>24876984</v>
      </c>
      <c r="W286" s="10">
        <f t="shared" si="6"/>
        <v>11088000</v>
      </c>
      <c r="X286" s="10">
        <f t="shared" si="7"/>
        <v>13788984</v>
      </c>
      <c r="Y286" s="10"/>
      <c r="Z286" s="10"/>
      <c r="AA286" s="10"/>
      <c r="AB286" s="4" t="s">
        <v>1083</v>
      </c>
      <c r="AC286" s="4" t="s">
        <v>1082</v>
      </c>
      <c r="AD286" s="4">
        <v>42930.0</v>
      </c>
      <c r="AE286" s="4">
        <v>2017.0</v>
      </c>
      <c r="AF286" s="4" t="s">
        <v>911</v>
      </c>
      <c r="AG286" s="4" t="s">
        <v>364</v>
      </c>
      <c r="AH286" s="4" t="s">
        <v>50</v>
      </c>
      <c r="AI286" s="4" t="s">
        <v>68</v>
      </c>
      <c r="AJ286" s="4" t="s">
        <v>151</v>
      </c>
      <c r="AK286" s="4" t="s">
        <v>53</v>
      </c>
      <c r="AL286" s="4" t="s">
        <v>753</v>
      </c>
      <c r="AM286" s="4" t="s">
        <v>36</v>
      </c>
      <c r="AN286" s="4" t="s">
        <v>127</v>
      </c>
      <c r="AO286" s="4" t="s">
        <v>38</v>
      </c>
      <c r="AP286" s="4">
        <v>42931.0</v>
      </c>
      <c r="AQ286" s="4">
        <v>252000.0</v>
      </c>
      <c r="AR286" s="4">
        <v>614550.0</v>
      </c>
      <c r="AS286" s="4">
        <v>362550.0</v>
      </c>
      <c r="AT286" s="4">
        <v>44.0</v>
      </c>
      <c r="AU286" s="4">
        <v>2.70402E7</v>
      </c>
      <c r="AV286" s="4">
        <v>0.08</v>
      </c>
      <c r="AW286" s="4">
        <v>2163216.0</v>
      </c>
      <c r="AX286" s="4">
        <v>2.4876984E7</v>
      </c>
      <c r="AY286" s="4">
        <v>1.1088E7</v>
      </c>
      <c r="AZ286" s="4">
        <v>1.3788984E7</v>
      </c>
    </row>
    <row r="287" ht="15.75" customHeight="1">
      <c r="A287" s="3" t="s">
        <v>1084</v>
      </c>
      <c r="B287" s="5">
        <v>42931.0</v>
      </c>
      <c r="C287" s="6">
        <f t="shared" si="1"/>
        <v>2017</v>
      </c>
      <c r="D287" s="7" t="s">
        <v>182</v>
      </c>
      <c r="E287" s="7" t="s">
        <v>183</v>
      </c>
      <c r="F287" s="7" t="s">
        <v>31</v>
      </c>
      <c r="G287" s="5" t="s">
        <v>51</v>
      </c>
      <c r="H287" s="7" t="s">
        <v>43</v>
      </c>
      <c r="I287" s="7" t="s">
        <v>104</v>
      </c>
      <c r="J287" s="7" t="s">
        <v>1085</v>
      </c>
      <c r="K287" s="7" t="s">
        <v>36</v>
      </c>
      <c r="L287" s="7" t="s">
        <v>37</v>
      </c>
      <c r="M287" s="7" t="s">
        <v>38</v>
      </c>
      <c r="N287" s="5">
        <v>42933.0</v>
      </c>
      <c r="O287" s="8">
        <v>106950.0</v>
      </c>
      <c r="P287" s="8">
        <v>314700.0</v>
      </c>
      <c r="Q287" s="8">
        <f t="shared" si="2"/>
        <v>207750</v>
      </c>
      <c r="R287" s="8">
        <v>39.0</v>
      </c>
      <c r="S287" s="8">
        <f t="shared" si="3"/>
        <v>12273300</v>
      </c>
      <c r="T287" s="9">
        <v>0.04</v>
      </c>
      <c r="U287" s="8">
        <f t="shared" si="4"/>
        <v>490932</v>
      </c>
      <c r="V287" s="8">
        <f t="shared" si="5"/>
        <v>11782368</v>
      </c>
      <c r="W287" s="10">
        <f t="shared" si="6"/>
        <v>4171050</v>
      </c>
      <c r="X287" s="10">
        <f t="shared" si="7"/>
        <v>7611318</v>
      </c>
      <c r="Y287" s="10"/>
      <c r="Z287" s="10"/>
      <c r="AA287" s="10"/>
      <c r="AB287" s="4" t="s">
        <v>1086</v>
      </c>
      <c r="AC287" s="4" t="s">
        <v>1084</v>
      </c>
      <c r="AD287" s="4">
        <v>42931.0</v>
      </c>
      <c r="AE287" s="4">
        <v>2017.0</v>
      </c>
      <c r="AF287" s="4" t="s">
        <v>182</v>
      </c>
      <c r="AG287" s="4" t="s">
        <v>183</v>
      </c>
      <c r="AH287" s="4" t="s">
        <v>31</v>
      </c>
      <c r="AI287" s="4" t="s">
        <v>51</v>
      </c>
      <c r="AJ287" s="4" t="s">
        <v>43</v>
      </c>
      <c r="AK287" s="4" t="s">
        <v>104</v>
      </c>
      <c r="AL287" s="4" t="s">
        <v>1085</v>
      </c>
      <c r="AM287" s="4" t="s">
        <v>36</v>
      </c>
      <c r="AN287" s="4" t="s">
        <v>37</v>
      </c>
      <c r="AO287" s="4" t="s">
        <v>38</v>
      </c>
      <c r="AP287" s="4">
        <v>42933.0</v>
      </c>
      <c r="AQ287" s="4">
        <v>106950.0</v>
      </c>
      <c r="AR287" s="4">
        <v>314700.0</v>
      </c>
      <c r="AS287" s="4">
        <v>207750.0</v>
      </c>
      <c r="AT287" s="4">
        <v>39.0</v>
      </c>
      <c r="AU287" s="4">
        <v>1.22733E7</v>
      </c>
      <c r="AV287" s="4">
        <v>0.04</v>
      </c>
      <c r="AW287" s="4">
        <v>490932.0</v>
      </c>
      <c r="AX287" s="4">
        <v>1.1782368E7</v>
      </c>
      <c r="AY287" s="4">
        <v>4171050.0</v>
      </c>
      <c r="AZ287" s="4">
        <v>7611318.0</v>
      </c>
    </row>
    <row r="288" ht="15.75" customHeight="1">
      <c r="A288" s="3" t="s">
        <v>1087</v>
      </c>
      <c r="B288" s="5">
        <v>42931.0</v>
      </c>
      <c r="C288" s="6">
        <f t="shared" si="1"/>
        <v>2017</v>
      </c>
      <c r="D288" s="7" t="s">
        <v>1088</v>
      </c>
      <c r="E288" s="7" t="s">
        <v>1089</v>
      </c>
      <c r="F288" s="7" t="s">
        <v>50</v>
      </c>
      <c r="G288" s="5" t="s">
        <v>68</v>
      </c>
      <c r="H288" s="7" t="s">
        <v>344</v>
      </c>
      <c r="I288" s="7" t="s">
        <v>53</v>
      </c>
      <c r="J288" s="7" t="s">
        <v>543</v>
      </c>
      <c r="K288" s="7" t="s">
        <v>36</v>
      </c>
      <c r="L288" s="7" t="s">
        <v>127</v>
      </c>
      <c r="M288" s="7" t="s">
        <v>38</v>
      </c>
      <c r="N288" s="5">
        <v>42933.0</v>
      </c>
      <c r="O288" s="8">
        <v>21900.0</v>
      </c>
      <c r="P288" s="8">
        <v>53550.0</v>
      </c>
      <c r="Q288" s="8">
        <f t="shared" si="2"/>
        <v>31650</v>
      </c>
      <c r="R288" s="8">
        <v>41.0</v>
      </c>
      <c r="S288" s="8">
        <f t="shared" si="3"/>
        <v>2195550</v>
      </c>
      <c r="T288" s="9">
        <v>0.03</v>
      </c>
      <c r="U288" s="8">
        <f t="shared" si="4"/>
        <v>65866.5</v>
      </c>
      <c r="V288" s="8">
        <f t="shared" si="5"/>
        <v>2129683.5</v>
      </c>
      <c r="W288" s="10">
        <f t="shared" si="6"/>
        <v>897900</v>
      </c>
      <c r="X288" s="10">
        <f t="shared" si="7"/>
        <v>1231783.5</v>
      </c>
      <c r="Y288" s="10"/>
      <c r="Z288" s="10"/>
      <c r="AA288" s="10"/>
      <c r="AB288" s="4" t="s">
        <v>1090</v>
      </c>
      <c r="AC288" s="4" t="s">
        <v>1087</v>
      </c>
      <c r="AD288" s="4">
        <v>42931.0</v>
      </c>
      <c r="AE288" s="4">
        <v>2017.0</v>
      </c>
      <c r="AF288" s="4" t="s">
        <v>1088</v>
      </c>
      <c r="AG288" s="4" t="s">
        <v>1089</v>
      </c>
      <c r="AH288" s="4" t="s">
        <v>50</v>
      </c>
      <c r="AI288" s="4" t="s">
        <v>68</v>
      </c>
      <c r="AJ288" s="4" t="s">
        <v>344</v>
      </c>
      <c r="AK288" s="4" t="s">
        <v>53</v>
      </c>
      <c r="AL288" s="4" t="s">
        <v>543</v>
      </c>
      <c r="AM288" s="4" t="s">
        <v>36</v>
      </c>
      <c r="AN288" s="4" t="s">
        <v>127</v>
      </c>
      <c r="AO288" s="4" t="s">
        <v>38</v>
      </c>
      <c r="AP288" s="4">
        <v>42933.0</v>
      </c>
      <c r="AQ288" s="4">
        <v>21900.0</v>
      </c>
      <c r="AR288" s="4">
        <v>53550.0</v>
      </c>
      <c r="AS288" s="4">
        <v>31650.0</v>
      </c>
      <c r="AT288" s="4">
        <v>41.0</v>
      </c>
      <c r="AU288" s="4">
        <v>2195550.0</v>
      </c>
      <c r="AV288" s="4">
        <v>0.03</v>
      </c>
      <c r="AW288" s="4">
        <v>65866.5</v>
      </c>
      <c r="AX288" s="4">
        <v>2129683.5</v>
      </c>
      <c r="AY288" s="4">
        <v>897900.0</v>
      </c>
      <c r="AZ288" s="4">
        <v>1231783.5</v>
      </c>
    </row>
    <row r="289" ht="15.75" customHeight="1">
      <c r="A289" s="3" t="s">
        <v>1091</v>
      </c>
      <c r="B289" s="5">
        <v>42932.0</v>
      </c>
      <c r="C289" s="6">
        <f t="shared" si="1"/>
        <v>2017</v>
      </c>
      <c r="D289" s="7" t="s">
        <v>524</v>
      </c>
      <c r="E289" s="7" t="s">
        <v>1092</v>
      </c>
      <c r="F289" s="7" t="s">
        <v>50</v>
      </c>
      <c r="G289" s="5" t="s">
        <v>68</v>
      </c>
      <c r="H289" s="7" t="s">
        <v>360</v>
      </c>
      <c r="I289" s="7" t="s">
        <v>104</v>
      </c>
      <c r="J289" s="7" t="s">
        <v>1093</v>
      </c>
      <c r="K289" s="7" t="s">
        <v>36</v>
      </c>
      <c r="L289" s="7" t="s">
        <v>45</v>
      </c>
      <c r="M289" s="7" t="s">
        <v>38</v>
      </c>
      <c r="N289" s="5">
        <v>42934.0</v>
      </c>
      <c r="O289" s="8">
        <v>31950.0</v>
      </c>
      <c r="P289" s="8">
        <v>52350.0</v>
      </c>
      <c r="Q289" s="8">
        <f t="shared" si="2"/>
        <v>20400</v>
      </c>
      <c r="R289" s="8">
        <v>46.0</v>
      </c>
      <c r="S289" s="8">
        <f t="shared" si="3"/>
        <v>2408100</v>
      </c>
      <c r="T289" s="9">
        <v>0.01</v>
      </c>
      <c r="U289" s="8">
        <f t="shared" si="4"/>
        <v>24081</v>
      </c>
      <c r="V289" s="8">
        <f t="shared" si="5"/>
        <v>2384019</v>
      </c>
      <c r="W289" s="10">
        <f t="shared" si="6"/>
        <v>1469700</v>
      </c>
      <c r="X289" s="10">
        <f t="shared" si="7"/>
        <v>914319</v>
      </c>
      <c r="Y289" s="10"/>
      <c r="Z289" s="10"/>
      <c r="AA289" s="10"/>
      <c r="AB289" s="4" t="s">
        <v>1094</v>
      </c>
      <c r="AC289" s="4" t="s">
        <v>1091</v>
      </c>
      <c r="AD289" s="4">
        <v>42932.0</v>
      </c>
      <c r="AE289" s="4">
        <v>2017.0</v>
      </c>
      <c r="AF289" s="4" t="s">
        <v>524</v>
      </c>
      <c r="AG289" s="4" t="s">
        <v>1092</v>
      </c>
      <c r="AH289" s="4" t="s">
        <v>50</v>
      </c>
      <c r="AI289" s="4" t="s">
        <v>68</v>
      </c>
      <c r="AJ289" s="4" t="s">
        <v>360</v>
      </c>
      <c r="AK289" s="4" t="s">
        <v>104</v>
      </c>
      <c r="AL289" s="4" t="s">
        <v>1093</v>
      </c>
      <c r="AM289" s="4" t="s">
        <v>36</v>
      </c>
      <c r="AN289" s="4" t="s">
        <v>45</v>
      </c>
      <c r="AO289" s="4" t="s">
        <v>38</v>
      </c>
      <c r="AP289" s="4">
        <v>42934.0</v>
      </c>
      <c r="AQ289" s="4">
        <v>31950.0</v>
      </c>
      <c r="AR289" s="4">
        <v>52350.0</v>
      </c>
      <c r="AS289" s="4">
        <v>20400.0</v>
      </c>
      <c r="AT289" s="4">
        <v>46.0</v>
      </c>
      <c r="AU289" s="4">
        <v>2408100.0</v>
      </c>
      <c r="AV289" s="4">
        <v>0.01</v>
      </c>
      <c r="AW289" s="4">
        <v>24081.0</v>
      </c>
      <c r="AX289" s="4">
        <v>2384019.0</v>
      </c>
      <c r="AY289" s="4">
        <v>1469700.0</v>
      </c>
      <c r="AZ289" s="4">
        <v>914319.0</v>
      </c>
    </row>
    <row r="290" ht="15.75" customHeight="1">
      <c r="A290" s="3" t="s">
        <v>1095</v>
      </c>
      <c r="B290" s="5">
        <v>42933.0</v>
      </c>
      <c r="C290" s="6">
        <f t="shared" si="1"/>
        <v>2017</v>
      </c>
      <c r="D290" s="7" t="s">
        <v>508</v>
      </c>
      <c r="E290" s="7" t="s">
        <v>509</v>
      </c>
      <c r="F290" s="7" t="s">
        <v>31</v>
      </c>
      <c r="G290" s="5" t="s">
        <v>91</v>
      </c>
      <c r="H290" s="7" t="s">
        <v>33</v>
      </c>
      <c r="I290" s="7" t="s">
        <v>92</v>
      </c>
      <c r="J290" s="7" t="s">
        <v>303</v>
      </c>
      <c r="K290" s="7" t="s">
        <v>36</v>
      </c>
      <c r="L290" s="7" t="s">
        <v>37</v>
      </c>
      <c r="M290" s="7" t="s">
        <v>38</v>
      </c>
      <c r="N290" s="5">
        <v>42934.0</v>
      </c>
      <c r="O290" s="8">
        <v>57600.0</v>
      </c>
      <c r="P290" s="8">
        <v>94500.0</v>
      </c>
      <c r="Q290" s="8">
        <f t="shared" si="2"/>
        <v>36900</v>
      </c>
      <c r="R290" s="8">
        <v>18.0</v>
      </c>
      <c r="S290" s="8">
        <f t="shared" si="3"/>
        <v>1701000</v>
      </c>
      <c r="T290" s="9">
        <v>0.1</v>
      </c>
      <c r="U290" s="8">
        <f t="shared" si="4"/>
        <v>170100</v>
      </c>
      <c r="V290" s="8">
        <f t="shared" si="5"/>
        <v>1530900</v>
      </c>
      <c r="W290" s="10">
        <f t="shared" si="6"/>
        <v>1036800</v>
      </c>
      <c r="X290" s="10">
        <f t="shared" si="7"/>
        <v>494100</v>
      </c>
      <c r="Y290" s="10"/>
      <c r="Z290" s="10"/>
      <c r="AA290" s="10"/>
      <c r="AB290" s="4" t="s">
        <v>1096</v>
      </c>
      <c r="AC290" s="4" t="s">
        <v>1095</v>
      </c>
      <c r="AD290" s="4">
        <v>42933.0</v>
      </c>
      <c r="AE290" s="4">
        <v>2017.0</v>
      </c>
      <c r="AF290" s="4" t="s">
        <v>508</v>
      </c>
      <c r="AG290" s="4" t="s">
        <v>509</v>
      </c>
      <c r="AH290" s="4" t="s">
        <v>31</v>
      </c>
      <c r="AI290" s="4" t="s">
        <v>91</v>
      </c>
      <c r="AJ290" s="4" t="s">
        <v>33</v>
      </c>
      <c r="AK290" s="4" t="s">
        <v>92</v>
      </c>
      <c r="AL290" s="4" t="s">
        <v>303</v>
      </c>
      <c r="AM290" s="4" t="s">
        <v>36</v>
      </c>
      <c r="AN290" s="4" t="s">
        <v>37</v>
      </c>
      <c r="AO290" s="4" t="s">
        <v>38</v>
      </c>
      <c r="AP290" s="4">
        <v>42934.0</v>
      </c>
      <c r="AQ290" s="4">
        <v>57600.0</v>
      </c>
      <c r="AR290" s="4">
        <v>94500.0</v>
      </c>
      <c r="AS290" s="4">
        <v>36900.0</v>
      </c>
      <c r="AT290" s="4">
        <v>18.0</v>
      </c>
      <c r="AU290" s="4">
        <v>1701000.0</v>
      </c>
      <c r="AV290" s="4">
        <v>0.1</v>
      </c>
      <c r="AW290" s="4">
        <v>170100.0</v>
      </c>
      <c r="AX290" s="4">
        <v>1530900.0</v>
      </c>
      <c r="AY290" s="4">
        <v>1036800.0</v>
      </c>
      <c r="AZ290" s="4">
        <v>494100.0</v>
      </c>
    </row>
    <row r="291" ht="15.75" customHeight="1">
      <c r="A291" s="3" t="s">
        <v>1097</v>
      </c>
      <c r="B291" s="5">
        <v>42935.0</v>
      </c>
      <c r="C291" s="6">
        <f t="shared" si="1"/>
        <v>2017</v>
      </c>
      <c r="D291" s="7" t="s">
        <v>1098</v>
      </c>
      <c r="E291" s="7" t="s">
        <v>1089</v>
      </c>
      <c r="F291" s="7" t="s">
        <v>50</v>
      </c>
      <c r="G291" s="5" t="s">
        <v>51</v>
      </c>
      <c r="H291" s="7" t="s">
        <v>344</v>
      </c>
      <c r="I291" s="7" t="s">
        <v>74</v>
      </c>
      <c r="J291" s="7" t="s">
        <v>1099</v>
      </c>
      <c r="K291" s="7" t="s">
        <v>36</v>
      </c>
      <c r="L291" s="7" t="s">
        <v>45</v>
      </c>
      <c r="M291" s="7" t="s">
        <v>38</v>
      </c>
      <c r="N291" s="5">
        <v>42940.0</v>
      </c>
      <c r="O291" s="8">
        <v>15750.0</v>
      </c>
      <c r="P291" s="8">
        <v>29250.0</v>
      </c>
      <c r="Q291" s="8">
        <f t="shared" si="2"/>
        <v>13500</v>
      </c>
      <c r="R291" s="8">
        <v>31.0</v>
      </c>
      <c r="S291" s="8">
        <f t="shared" si="3"/>
        <v>906750</v>
      </c>
      <c r="T291" s="9">
        <v>0.02</v>
      </c>
      <c r="U291" s="8">
        <f t="shared" si="4"/>
        <v>18135</v>
      </c>
      <c r="V291" s="8">
        <f t="shared" si="5"/>
        <v>888615</v>
      </c>
      <c r="W291" s="10">
        <f t="shared" si="6"/>
        <v>488250</v>
      </c>
      <c r="X291" s="10">
        <f t="shared" si="7"/>
        <v>400365</v>
      </c>
      <c r="Y291" s="10"/>
      <c r="Z291" s="10"/>
      <c r="AA291" s="10"/>
      <c r="AB291" s="4" t="s">
        <v>1100</v>
      </c>
      <c r="AC291" s="4" t="s">
        <v>1097</v>
      </c>
      <c r="AD291" s="4">
        <v>42935.0</v>
      </c>
      <c r="AE291" s="4">
        <v>2017.0</v>
      </c>
      <c r="AF291" s="4" t="s">
        <v>1098</v>
      </c>
      <c r="AG291" s="4" t="s">
        <v>1089</v>
      </c>
      <c r="AH291" s="4" t="s">
        <v>50</v>
      </c>
      <c r="AI291" s="4" t="s">
        <v>51</v>
      </c>
      <c r="AJ291" s="4" t="s">
        <v>344</v>
      </c>
      <c r="AK291" s="4" t="s">
        <v>74</v>
      </c>
      <c r="AL291" s="4" t="s">
        <v>1099</v>
      </c>
      <c r="AM291" s="4" t="s">
        <v>36</v>
      </c>
      <c r="AN291" s="4" t="s">
        <v>45</v>
      </c>
      <c r="AO291" s="4" t="s">
        <v>38</v>
      </c>
      <c r="AP291" s="4">
        <v>42940.0</v>
      </c>
      <c r="AQ291" s="4">
        <v>15750.0</v>
      </c>
      <c r="AR291" s="4">
        <v>29250.0</v>
      </c>
      <c r="AS291" s="4">
        <v>13500.0</v>
      </c>
      <c r="AT291" s="4">
        <v>31.0</v>
      </c>
      <c r="AU291" s="4">
        <v>906750.0</v>
      </c>
      <c r="AV291" s="4">
        <v>0.02</v>
      </c>
      <c r="AW291" s="4">
        <v>18135.0</v>
      </c>
      <c r="AX291" s="4">
        <v>888615.0</v>
      </c>
      <c r="AY291" s="4">
        <v>488250.0</v>
      </c>
      <c r="AZ291" s="4">
        <v>400365.0</v>
      </c>
    </row>
    <row r="292" ht="15.75" customHeight="1">
      <c r="A292" s="3" t="s">
        <v>1101</v>
      </c>
      <c r="B292" s="5">
        <v>42936.0</v>
      </c>
      <c r="C292" s="6">
        <f t="shared" si="1"/>
        <v>2017</v>
      </c>
      <c r="D292" s="7" t="s">
        <v>1102</v>
      </c>
      <c r="E292" s="7" t="s">
        <v>169</v>
      </c>
      <c r="F292" s="7" t="s">
        <v>31</v>
      </c>
      <c r="G292" s="5" t="s">
        <v>51</v>
      </c>
      <c r="H292" s="7" t="s">
        <v>43</v>
      </c>
      <c r="I292" s="7" t="s">
        <v>53</v>
      </c>
      <c r="J292" s="7" t="s">
        <v>467</v>
      </c>
      <c r="K292" s="7" t="s">
        <v>36</v>
      </c>
      <c r="L292" s="7" t="s">
        <v>45</v>
      </c>
      <c r="M292" s="7" t="s">
        <v>38</v>
      </c>
      <c r="N292" s="5">
        <v>42936.0</v>
      </c>
      <c r="O292" s="8">
        <v>3600.0</v>
      </c>
      <c r="P292" s="8">
        <v>18900.0</v>
      </c>
      <c r="Q292" s="8">
        <f t="shared" si="2"/>
        <v>15300</v>
      </c>
      <c r="R292" s="8">
        <v>35.0</v>
      </c>
      <c r="S292" s="8">
        <f t="shared" si="3"/>
        <v>661500</v>
      </c>
      <c r="T292" s="9">
        <v>0.09</v>
      </c>
      <c r="U292" s="8">
        <f t="shared" si="4"/>
        <v>59535</v>
      </c>
      <c r="V292" s="8">
        <f t="shared" si="5"/>
        <v>601965</v>
      </c>
      <c r="W292" s="10">
        <f t="shared" si="6"/>
        <v>126000</v>
      </c>
      <c r="X292" s="10">
        <f t="shared" si="7"/>
        <v>475965</v>
      </c>
      <c r="Y292" s="10"/>
      <c r="Z292" s="10"/>
      <c r="AA292" s="10"/>
      <c r="AB292" s="4" t="s">
        <v>1103</v>
      </c>
      <c r="AC292" s="4" t="s">
        <v>1101</v>
      </c>
      <c r="AD292" s="4">
        <v>42936.0</v>
      </c>
      <c r="AE292" s="4">
        <v>2017.0</v>
      </c>
      <c r="AF292" s="4" t="s">
        <v>1102</v>
      </c>
      <c r="AG292" s="4" t="s">
        <v>169</v>
      </c>
      <c r="AH292" s="4" t="s">
        <v>31</v>
      </c>
      <c r="AI292" s="4" t="s">
        <v>51</v>
      </c>
      <c r="AJ292" s="4" t="s">
        <v>43</v>
      </c>
      <c r="AK292" s="4" t="s">
        <v>53</v>
      </c>
      <c r="AL292" s="4" t="s">
        <v>467</v>
      </c>
      <c r="AM292" s="4" t="s">
        <v>36</v>
      </c>
      <c r="AN292" s="4" t="s">
        <v>45</v>
      </c>
      <c r="AO292" s="4" t="s">
        <v>38</v>
      </c>
      <c r="AP292" s="4">
        <v>42936.0</v>
      </c>
      <c r="AQ292" s="4">
        <v>3600.0</v>
      </c>
      <c r="AR292" s="4">
        <v>18900.0</v>
      </c>
      <c r="AS292" s="4">
        <v>15300.0</v>
      </c>
      <c r="AT292" s="4">
        <v>35.0</v>
      </c>
      <c r="AU292" s="4">
        <v>661500.0</v>
      </c>
      <c r="AV292" s="4">
        <v>0.09</v>
      </c>
      <c r="AW292" s="4">
        <v>59535.0</v>
      </c>
      <c r="AX292" s="4">
        <v>601965.0</v>
      </c>
      <c r="AY292" s="4">
        <v>126000.0</v>
      </c>
      <c r="AZ292" s="4">
        <v>475965.0</v>
      </c>
    </row>
    <row r="293" ht="15.75" customHeight="1">
      <c r="A293" s="3" t="s">
        <v>1104</v>
      </c>
      <c r="B293" s="5">
        <v>42936.0</v>
      </c>
      <c r="C293" s="6">
        <f t="shared" si="1"/>
        <v>2017</v>
      </c>
      <c r="D293" s="7" t="s">
        <v>692</v>
      </c>
      <c r="E293" s="7" t="s">
        <v>693</v>
      </c>
      <c r="F293" s="7" t="s">
        <v>50</v>
      </c>
      <c r="G293" s="5" t="s">
        <v>32</v>
      </c>
      <c r="H293" s="7" t="s">
        <v>189</v>
      </c>
      <c r="I293" s="7" t="s">
        <v>92</v>
      </c>
      <c r="J293" s="7" t="s">
        <v>1105</v>
      </c>
      <c r="K293" s="7" t="s">
        <v>61</v>
      </c>
      <c r="L293" s="7" t="s">
        <v>62</v>
      </c>
      <c r="M293" s="7" t="s">
        <v>63</v>
      </c>
      <c r="N293" s="5">
        <v>42936.0</v>
      </c>
      <c r="O293" s="8">
        <v>4734150.0</v>
      </c>
      <c r="P293" s="8">
        <v>7514550.0</v>
      </c>
      <c r="Q293" s="8">
        <f t="shared" si="2"/>
        <v>2780400</v>
      </c>
      <c r="R293" s="8">
        <v>31.0</v>
      </c>
      <c r="S293" s="8">
        <f t="shared" si="3"/>
        <v>232951050</v>
      </c>
      <c r="T293" s="9">
        <v>0.06</v>
      </c>
      <c r="U293" s="8">
        <f t="shared" si="4"/>
        <v>13977063</v>
      </c>
      <c r="V293" s="8">
        <f t="shared" si="5"/>
        <v>218973987</v>
      </c>
      <c r="W293" s="10">
        <f t="shared" si="6"/>
        <v>146758650</v>
      </c>
      <c r="X293" s="10">
        <f t="shared" si="7"/>
        <v>72215337</v>
      </c>
      <c r="Y293" s="10"/>
      <c r="Z293" s="10"/>
      <c r="AA293" s="10"/>
      <c r="AB293" s="4" t="s">
        <v>1106</v>
      </c>
      <c r="AC293" s="4" t="s">
        <v>1104</v>
      </c>
      <c r="AD293" s="4">
        <v>42936.0</v>
      </c>
      <c r="AE293" s="4">
        <v>2017.0</v>
      </c>
      <c r="AF293" s="4" t="s">
        <v>692</v>
      </c>
      <c r="AG293" s="4" t="s">
        <v>693</v>
      </c>
      <c r="AH293" s="4" t="s">
        <v>50</v>
      </c>
      <c r="AI293" s="4" t="s">
        <v>32</v>
      </c>
      <c r="AJ293" s="4" t="s">
        <v>189</v>
      </c>
      <c r="AK293" s="4" t="s">
        <v>92</v>
      </c>
      <c r="AL293" s="4" t="s">
        <v>1105</v>
      </c>
      <c r="AM293" s="4" t="s">
        <v>61</v>
      </c>
      <c r="AN293" s="4" t="s">
        <v>62</v>
      </c>
      <c r="AO293" s="4" t="s">
        <v>63</v>
      </c>
      <c r="AP293" s="4">
        <v>42936.0</v>
      </c>
      <c r="AQ293" s="4">
        <v>4734150.0</v>
      </c>
      <c r="AR293" s="4">
        <v>7514550.0</v>
      </c>
      <c r="AS293" s="4">
        <v>2780400.0</v>
      </c>
      <c r="AT293" s="4">
        <v>31.0</v>
      </c>
      <c r="AU293" s="4">
        <v>2.3295105E8</v>
      </c>
      <c r="AV293" s="4">
        <v>0.06</v>
      </c>
      <c r="AW293" s="4">
        <v>1.3977063E7</v>
      </c>
      <c r="AX293" s="4">
        <v>2.18973987E8</v>
      </c>
      <c r="AY293" s="4">
        <v>1.4675865E8</v>
      </c>
      <c r="AZ293" s="4">
        <v>7.2215337E7</v>
      </c>
    </row>
    <row r="294" ht="15.75" customHeight="1">
      <c r="A294" s="3" t="s">
        <v>1107</v>
      </c>
      <c r="B294" s="5">
        <v>42936.0</v>
      </c>
      <c r="C294" s="6">
        <f t="shared" si="1"/>
        <v>2017</v>
      </c>
      <c r="D294" s="7" t="s">
        <v>1108</v>
      </c>
      <c r="E294" s="7" t="s">
        <v>667</v>
      </c>
      <c r="F294" s="7" t="s">
        <v>50</v>
      </c>
      <c r="G294" s="5" t="s">
        <v>51</v>
      </c>
      <c r="H294" s="7" t="s">
        <v>140</v>
      </c>
      <c r="I294" s="7" t="s">
        <v>104</v>
      </c>
      <c r="J294" s="7" t="s">
        <v>978</v>
      </c>
      <c r="K294" s="7" t="s">
        <v>61</v>
      </c>
      <c r="L294" s="7" t="s">
        <v>555</v>
      </c>
      <c r="M294" s="7" t="s">
        <v>38</v>
      </c>
      <c r="N294" s="5">
        <v>42938.0</v>
      </c>
      <c r="O294" s="8">
        <v>5669850.0</v>
      </c>
      <c r="P294" s="8">
        <v>8999850.0</v>
      </c>
      <c r="Q294" s="8">
        <f t="shared" si="2"/>
        <v>3330000</v>
      </c>
      <c r="R294" s="8">
        <v>30.0</v>
      </c>
      <c r="S294" s="8">
        <f t="shared" si="3"/>
        <v>269995500</v>
      </c>
      <c r="T294" s="9">
        <v>0.09</v>
      </c>
      <c r="U294" s="8">
        <f t="shared" si="4"/>
        <v>24299595</v>
      </c>
      <c r="V294" s="8">
        <f t="shared" si="5"/>
        <v>245695905</v>
      </c>
      <c r="W294" s="10">
        <f t="shared" si="6"/>
        <v>170095500</v>
      </c>
      <c r="X294" s="10">
        <f t="shared" si="7"/>
        <v>75600405</v>
      </c>
      <c r="Y294" s="10"/>
      <c r="Z294" s="10"/>
      <c r="AA294" s="10"/>
      <c r="AB294" s="4" t="s">
        <v>1109</v>
      </c>
      <c r="AC294" s="4" t="s">
        <v>1107</v>
      </c>
      <c r="AD294" s="4">
        <v>42936.0</v>
      </c>
      <c r="AE294" s="4">
        <v>2017.0</v>
      </c>
      <c r="AF294" s="4" t="s">
        <v>1108</v>
      </c>
      <c r="AG294" s="4" t="s">
        <v>667</v>
      </c>
      <c r="AH294" s="4" t="s">
        <v>50</v>
      </c>
      <c r="AI294" s="4" t="s">
        <v>51</v>
      </c>
      <c r="AJ294" s="4" t="s">
        <v>140</v>
      </c>
      <c r="AK294" s="4" t="s">
        <v>104</v>
      </c>
      <c r="AL294" s="4" t="s">
        <v>978</v>
      </c>
      <c r="AM294" s="4" t="s">
        <v>61</v>
      </c>
      <c r="AN294" s="4" t="s">
        <v>555</v>
      </c>
      <c r="AO294" s="4" t="s">
        <v>38</v>
      </c>
      <c r="AP294" s="4">
        <v>42938.0</v>
      </c>
      <c r="AQ294" s="4">
        <v>5669850.0</v>
      </c>
      <c r="AR294" s="4">
        <v>8999850.0</v>
      </c>
      <c r="AS294" s="4">
        <v>3330000.0</v>
      </c>
      <c r="AT294" s="4">
        <v>30.0</v>
      </c>
      <c r="AU294" s="4">
        <v>2.699955E8</v>
      </c>
      <c r="AV294" s="4">
        <v>0.09</v>
      </c>
      <c r="AW294" s="4">
        <v>2.4299595E7</v>
      </c>
      <c r="AX294" s="4">
        <v>2.45695905E8</v>
      </c>
      <c r="AY294" s="4">
        <v>1.700955E8</v>
      </c>
      <c r="AZ294" s="4">
        <v>7.5600405E7</v>
      </c>
    </row>
    <row r="295" ht="15.75" customHeight="1">
      <c r="A295" s="3" t="s">
        <v>1110</v>
      </c>
      <c r="B295" s="5">
        <v>42940.0</v>
      </c>
      <c r="C295" s="6">
        <f t="shared" si="1"/>
        <v>2017</v>
      </c>
      <c r="D295" s="7" t="s">
        <v>1111</v>
      </c>
      <c r="E295" s="7" t="s">
        <v>307</v>
      </c>
      <c r="F295" s="7" t="s">
        <v>50</v>
      </c>
      <c r="G295" s="5" t="s">
        <v>91</v>
      </c>
      <c r="H295" s="7" t="s">
        <v>140</v>
      </c>
      <c r="I295" s="7" t="s">
        <v>104</v>
      </c>
      <c r="J295" s="7" t="s">
        <v>75</v>
      </c>
      <c r="K295" s="7" t="s">
        <v>36</v>
      </c>
      <c r="L295" s="7" t="s">
        <v>45</v>
      </c>
      <c r="M295" s="7" t="s">
        <v>38</v>
      </c>
      <c r="N295" s="5">
        <v>42941.0</v>
      </c>
      <c r="O295" s="8">
        <v>16350.000000000002</v>
      </c>
      <c r="P295" s="8">
        <v>39000.0</v>
      </c>
      <c r="Q295" s="8">
        <f t="shared" si="2"/>
        <v>22650</v>
      </c>
      <c r="R295" s="8">
        <v>2.0</v>
      </c>
      <c r="S295" s="8">
        <f t="shared" si="3"/>
        <v>78000</v>
      </c>
      <c r="T295" s="9">
        <v>0.03</v>
      </c>
      <c r="U295" s="8">
        <f t="shared" si="4"/>
        <v>2340</v>
      </c>
      <c r="V295" s="8">
        <f t="shared" si="5"/>
        <v>75660</v>
      </c>
      <c r="W295" s="10">
        <f t="shared" si="6"/>
        <v>32700</v>
      </c>
      <c r="X295" s="10">
        <f t="shared" si="7"/>
        <v>42960</v>
      </c>
      <c r="Y295" s="10"/>
      <c r="Z295" s="10"/>
      <c r="AA295" s="10"/>
      <c r="AB295" s="4" t="s">
        <v>1112</v>
      </c>
      <c r="AC295" s="4" t="s">
        <v>1110</v>
      </c>
      <c r="AD295" s="4">
        <v>42940.0</v>
      </c>
      <c r="AE295" s="4">
        <v>2017.0</v>
      </c>
      <c r="AF295" s="4" t="s">
        <v>1111</v>
      </c>
      <c r="AG295" s="4" t="s">
        <v>307</v>
      </c>
      <c r="AH295" s="4" t="s">
        <v>50</v>
      </c>
      <c r="AI295" s="4" t="s">
        <v>91</v>
      </c>
      <c r="AJ295" s="4" t="s">
        <v>140</v>
      </c>
      <c r="AK295" s="4" t="s">
        <v>104</v>
      </c>
      <c r="AL295" s="4" t="s">
        <v>75</v>
      </c>
      <c r="AM295" s="4" t="s">
        <v>36</v>
      </c>
      <c r="AN295" s="4" t="s">
        <v>45</v>
      </c>
      <c r="AO295" s="4" t="s">
        <v>38</v>
      </c>
      <c r="AP295" s="4">
        <v>42941.0</v>
      </c>
      <c r="AQ295" s="4">
        <v>16350.0</v>
      </c>
      <c r="AR295" s="4">
        <v>39000.0</v>
      </c>
      <c r="AS295" s="4">
        <v>22650.0</v>
      </c>
      <c r="AT295" s="4">
        <v>2.0</v>
      </c>
      <c r="AU295" s="4">
        <v>78000.0</v>
      </c>
      <c r="AV295" s="4">
        <v>0.03</v>
      </c>
      <c r="AW295" s="4">
        <v>2340.0</v>
      </c>
      <c r="AX295" s="4">
        <v>75660.0</v>
      </c>
      <c r="AY295" s="4">
        <v>32700.0</v>
      </c>
      <c r="AZ295" s="4">
        <v>42960.0</v>
      </c>
    </row>
    <row r="296" ht="15.75" customHeight="1">
      <c r="A296" s="3" t="s">
        <v>1113</v>
      </c>
      <c r="B296" s="5">
        <v>42944.0</v>
      </c>
      <c r="C296" s="6">
        <f t="shared" si="1"/>
        <v>2017</v>
      </c>
      <c r="D296" s="7" t="s">
        <v>1114</v>
      </c>
      <c r="E296" s="7" t="s">
        <v>114</v>
      </c>
      <c r="F296" s="7" t="s">
        <v>50</v>
      </c>
      <c r="G296" s="5" t="s">
        <v>51</v>
      </c>
      <c r="H296" s="7" t="s">
        <v>80</v>
      </c>
      <c r="I296" s="7" t="s">
        <v>34</v>
      </c>
      <c r="J296" s="7" t="s">
        <v>490</v>
      </c>
      <c r="K296" s="7" t="s">
        <v>61</v>
      </c>
      <c r="L296" s="7" t="s">
        <v>37</v>
      </c>
      <c r="M296" s="7" t="s">
        <v>38</v>
      </c>
      <c r="N296" s="5">
        <v>42945.0</v>
      </c>
      <c r="O296" s="8">
        <v>97650.0</v>
      </c>
      <c r="P296" s="8">
        <v>464700.0</v>
      </c>
      <c r="Q296" s="8">
        <f t="shared" si="2"/>
        <v>367050</v>
      </c>
      <c r="R296" s="8">
        <v>36.0</v>
      </c>
      <c r="S296" s="8">
        <f t="shared" si="3"/>
        <v>16729200</v>
      </c>
      <c r="T296" s="9">
        <v>0.0</v>
      </c>
      <c r="U296" s="8">
        <f t="shared" si="4"/>
        <v>0</v>
      </c>
      <c r="V296" s="8">
        <f t="shared" si="5"/>
        <v>16729200</v>
      </c>
      <c r="W296" s="10">
        <f t="shared" si="6"/>
        <v>3515400</v>
      </c>
      <c r="X296" s="10">
        <f t="shared" si="7"/>
        <v>13213800</v>
      </c>
      <c r="Y296" s="10"/>
      <c r="Z296" s="10"/>
      <c r="AA296" s="10"/>
      <c r="AB296" s="4" t="s">
        <v>1115</v>
      </c>
      <c r="AC296" s="4" t="s">
        <v>1113</v>
      </c>
      <c r="AD296" s="4">
        <v>42944.0</v>
      </c>
      <c r="AE296" s="4">
        <v>2017.0</v>
      </c>
      <c r="AF296" s="4" t="s">
        <v>1114</v>
      </c>
      <c r="AG296" s="4" t="s">
        <v>114</v>
      </c>
      <c r="AH296" s="4" t="s">
        <v>50</v>
      </c>
      <c r="AI296" s="4" t="s">
        <v>51</v>
      </c>
      <c r="AJ296" s="4" t="s">
        <v>80</v>
      </c>
      <c r="AK296" s="4" t="s">
        <v>34</v>
      </c>
      <c r="AL296" s="4" t="s">
        <v>490</v>
      </c>
      <c r="AM296" s="4" t="s">
        <v>61</v>
      </c>
      <c r="AN296" s="4" t="s">
        <v>37</v>
      </c>
      <c r="AO296" s="4" t="s">
        <v>38</v>
      </c>
      <c r="AP296" s="4">
        <v>42945.0</v>
      </c>
      <c r="AQ296" s="4">
        <v>97650.0</v>
      </c>
      <c r="AR296" s="4">
        <v>464700.0</v>
      </c>
      <c r="AS296" s="4">
        <v>367050.0</v>
      </c>
      <c r="AT296" s="4">
        <v>36.0</v>
      </c>
      <c r="AU296" s="4">
        <v>1.67292E7</v>
      </c>
      <c r="AV296" s="4">
        <v>0.0</v>
      </c>
      <c r="AW296" s="4">
        <v>0.0</v>
      </c>
      <c r="AX296" s="4">
        <v>1.67292E7</v>
      </c>
      <c r="AY296" s="4">
        <v>3515400.0</v>
      </c>
      <c r="AZ296" s="4">
        <v>1.32138E7</v>
      </c>
    </row>
    <row r="297" ht="15.75" customHeight="1">
      <c r="A297" s="3" t="s">
        <v>1116</v>
      </c>
      <c r="B297" s="5">
        <v>42946.0</v>
      </c>
      <c r="C297" s="6">
        <f t="shared" si="1"/>
        <v>2017</v>
      </c>
      <c r="D297" s="7" t="s">
        <v>1117</v>
      </c>
      <c r="E297" s="7" t="s">
        <v>194</v>
      </c>
      <c r="F297" s="7" t="s">
        <v>31</v>
      </c>
      <c r="G297" s="5" t="s">
        <v>68</v>
      </c>
      <c r="H297" s="7" t="s">
        <v>33</v>
      </c>
      <c r="I297" s="7" t="s">
        <v>34</v>
      </c>
      <c r="J297" s="7" t="s">
        <v>135</v>
      </c>
      <c r="K297" s="7" t="s">
        <v>36</v>
      </c>
      <c r="L297" s="7" t="s">
        <v>37</v>
      </c>
      <c r="M297" s="7" t="s">
        <v>38</v>
      </c>
      <c r="N297" s="5">
        <v>42948.0</v>
      </c>
      <c r="O297" s="8">
        <v>68850.0</v>
      </c>
      <c r="P297" s="8">
        <v>109200.0</v>
      </c>
      <c r="Q297" s="8">
        <f t="shared" si="2"/>
        <v>40350</v>
      </c>
      <c r="R297" s="8">
        <v>11.0</v>
      </c>
      <c r="S297" s="8">
        <f t="shared" si="3"/>
        <v>1201200</v>
      </c>
      <c r="T297" s="9">
        <v>0.07</v>
      </c>
      <c r="U297" s="8">
        <f t="shared" si="4"/>
        <v>84084</v>
      </c>
      <c r="V297" s="8">
        <f t="shared" si="5"/>
        <v>1117116</v>
      </c>
      <c r="W297" s="10">
        <f t="shared" si="6"/>
        <v>757350</v>
      </c>
      <c r="X297" s="10">
        <f t="shared" si="7"/>
        <v>359766</v>
      </c>
      <c r="Y297" s="10"/>
      <c r="Z297" s="10"/>
      <c r="AA297" s="10"/>
      <c r="AB297" s="4" t="s">
        <v>1118</v>
      </c>
      <c r="AC297" s="4" t="s">
        <v>1116</v>
      </c>
      <c r="AD297" s="4">
        <v>42946.0</v>
      </c>
      <c r="AE297" s="4">
        <v>2017.0</v>
      </c>
      <c r="AF297" s="4" t="s">
        <v>1117</v>
      </c>
      <c r="AG297" s="4" t="s">
        <v>194</v>
      </c>
      <c r="AH297" s="4" t="s">
        <v>31</v>
      </c>
      <c r="AI297" s="4" t="s">
        <v>68</v>
      </c>
      <c r="AJ297" s="4" t="s">
        <v>33</v>
      </c>
      <c r="AK297" s="4" t="s">
        <v>34</v>
      </c>
      <c r="AL297" s="4" t="s">
        <v>135</v>
      </c>
      <c r="AM297" s="4" t="s">
        <v>36</v>
      </c>
      <c r="AN297" s="4" t="s">
        <v>37</v>
      </c>
      <c r="AO297" s="4" t="s">
        <v>38</v>
      </c>
      <c r="AP297" s="4">
        <v>42948.0</v>
      </c>
      <c r="AQ297" s="4">
        <v>68850.0</v>
      </c>
      <c r="AR297" s="4">
        <v>109200.0</v>
      </c>
      <c r="AS297" s="4">
        <v>40350.0</v>
      </c>
      <c r="AT297" s="4">
        <v>11.0</v>
      </c>
      <c r="AU297" s="4">
        <v>1201200.0</v>
      </c>
      <c r="AV297" s="4">
        <v>0.07</v>
      </c>
      <c r="AW297" s="4">
        <v>84084.0</v>
      </c>
      <c r="AX297" s="4">
        <v>1117116.0</v>
      </c>
      <c r="AY297" s="4">
        <v>757350.0</v>
      </c>
      <c r="AZ297" s="4">
        <v>359766.0</v>
      </c>
    </row>
    <row r="298" ht="15.75" customHeight="1">
      <c r="A298" s="3" t="s">
        <v>1119</v>
      </c>
      <c r="B298" s="5">
        <v>42946.0</v>
      </c>
      <c r="C298" s="6">
        <f t="shared" si="1"/>
        <v>2017</v>
      </c>
      <c r="D298" s="7" t="s">
        <v>1120</v>
      </c>
      <c r="E298" s="7" t="s">
        <v>977</v>
      </c>
      <c r="F298" s="7" t="s">
        <v>31</v>
      </c>
      <c r="G298" s="5" t="s">
        <v>32</v>
      </c>
      <c r="H298" s="7" t="s">
        <v>33</v>
      </c>
      <c r="I298" s="7" t="s">
        <v>104</v>
      </c>
      <c r="J298" s="7" t="s">
        <v>1012</v>
      </c>
      <c r="K298" s="7" t="s">
        <v>36</v>
      </c>
      <c r="L298" s="7" t="s">
        <v>127</v>
      </c>
      <c r="M298" s="7" t="s">
        <v>38</v>
      </c>
      <c r="N298" s="5">
        <v>42947.0</v>
      </c>
      <c r="O298" s="8">
        <v>62850.00000000001</v>
      </c>
      <c r="P298" s="8">
        <v>153450.0</v>
      </c>
      <c r="Q298" s="8">
        <f t="shared" si="2"/>
        <v>90600</v>
      </c>
      <c r="R298" s="8">
        <v>22.0</v>
      </c>
      <c r="S298" s="8">
        <f t="shared" si="3"/>
        <v>3375900</v>
      </c>
      <c r="T298" s="9">
        <v>0.07</v>
      </c>
      <c r="U298" s="8">
        <f t="shared" si="4"/>
        <v>236313</v>
      </c>
      <c r="V298" s="8">
        <f t="shared" si="5"/>
        <v>3139587</v>
      </c>
      <c r="W298" s="10">
        <f t="shared" si="6"/>
        <v>1382700</v>
      </c>
      <c r="X298" s="10">
        <f t="shared" si="7"/>
        <v>1756887</v>
      </c>
      <c r="Y298" s="10"/>
      <c r="Z298" s="10"/>
      <c r="AA298" s="10"/>
      <c r="AB298" s="4" t="s">
        <v>1121</v>
      </c>
      <c r="AC298" s="4" t="s">
        <v>1119</v>
      </c>
      <c r="AD298" s="4">
        <v>42946.0</v>
      </c>
      <c r="AE298" s="4">
        <v>2017.0</v>
      </c>
      <c r="AF298" s="4" t="s">
        <v>1120</v>
      </c>
      <c r="AG298" s="4" t="s">
        <v>977</v>
      </c>
      <c r="AH298" s="4" t="s">
        <v>31</v>
      </c>
      <c r="AI298" s="4" t="s">
        <v>32</v>
      </c>
      <c r="AJ298" s="4" t="s">
        <v>33</v>
      </c>
      <c r="AK298" s="4" t="s">
        <v>104</v>
      </c>
      <c r="AL298" s="4" t="s">
        <v>1012</v>
      </c>
      <c r="AM298" s="4" t="s">
        <v>36</v>
      </c>
      <c r="AN298" s="4" t="s">
        <v>127</v>
      </c>
      <c r="AO298" s="4" t="s">
        <v>38</v>
      </c>
      <c r="AP298" s="4">
        <v>42947.0</v>
      </c>
      <c r="AQ298" s="4">
        <v>62850.0</v>
      </c>
      <c r="AR298" s="4">
        <v>153450.0</v>
      </c>
      <c r="AS298" s="4">
        <v>90600.0</v>
      </c>
      <c r="AT298" s="4">
        <v>22.0</v>
      </c>
      <c r="AU298" s="4">
        <v>3375900.0</v>
      </c>
      <c r="AV298" s="4">
        <v>0.07</v>
      </c>
      <c r="AW298" s="4">
        <v>236313.0</v>
      </c>
      <c r="AX298" s="4">
        <v>3139587.0</v>
      </c>
      <c r="AY298" s="4">
        <v>1382700.0</v>
      </c>
      <c r="AZ298" s="4">
        <v>1756887.0</v>
      </c>
    </row>
    <row r="299" ht="15.75" customHeight="1">
      <c r="A299" s="3" t="s">
        <v>1122</v>
      </c>
      <c r="B299" s="5">
        <v>42946.0</v>
      </c>
      <c r="C299" s="6">
        <f t="shared" si="1"/>
        <v>2017</v>
      </c>
      <c r="D299" s="7" t="s">
        <v>1123</v>
      </c>
      <c r="E299" s="7" t="s">
        <v>1124</v>
      </c>
      <c r="F299" s="7" t="s">
        <v>50</v>
      </c>
      <c r="G299" s="5" t="s">
        <v>91</v>
      </c>
      <c r="H299" s="7" t="s">
        <v>125</v>
      </c>
      <c r="I299" s="7" t="s">
        <v>53</v>
      </c>
      <c r="J299" s="7" t="s">
        <v>126</v>
      </c>
      <c r="K299" s="7" t="s">
        <v>36</v>
      </c>
      <c r="L299" s="7" t="s">
        <v>127</v>
      </c>
      <c r="M299" s="7" t="s">
        <v>55</v>
      </c>
      <c r="N299" s="5">
        <v>42947.0</v>
      </c>
      <c r="O299" s="8">
        <v>51300.0</v>
      </c>
      <c r="P299" s="8">
        <v>125100.0</v>
      </c>
      <c r="Q299" s="8">
        <f t="shared" si="2"/>
        <v>73800</v>
      </c>
      <c r="R299" s="8">
        <v>16.0</v>
      </c>
      <c r="S299" s="8">
        <f t="shared" si="3"/>
        <v>2001600</v>
      </c>
      <c r="T299" s="9">
        <v>0.04</v>
      </c>
      <c r="U299" s="8">
        <f t="shared" si="4"/>
        <v>80064</v>
      </c>
      <c r="V299" s="8">
        <f t="shared" si="5"/>
        <v>1921536</v>
      </c>
      <c r="W299" s="10">
        <f t="shared" si="6"/>
        <v>820800</v>
      </c>
      <c r="X299" s="10">
        <f t="shared" si="7"/>
        <v>1100736</v>
      </c>
      <c r="Y299" s="10"/>
      <c r="Z299" s="10"/>
      <c r="AA299" s="10"/>
      <c r="AB299" s="4" t="s">
        <v>1125</v>
      </c>
      <c r="AC299" s="4" t="s">
        <v>1122</v>
      </c>
      <c r="AD299" s="4">
        <v>42946.0</v>
      </c>
      <c r="AE299" s="4">
        <v>2017.0</v>
      </c>
      <c r="AF299" s="4" t="s">
        <v>1123</v>
      </c>
      <c r="AG299" s="4" t="s">
        <v>1124</v>
      </c>
      <c r="AH299" s="4" t="s">
        <v>50</v>
      </c>
      <c r="AI299" s="4" t="s">
        <v>91</v>
      </c>
      <c r="AJ299" s="4" t="s">
        <v>125</v>
      </c>
      <c r="AK299" s="4" t="s">
        <v>53</v>
      </c>
      <c r="AL299" s="4" t="s">
        <v>126</v>
      </c>
      <c r="AM299" s="4" t="s">
        <v>36</v>
      </c>
      <c r="AN299" s="4" t="s">
        <v>127</v>
      </c>
      <c r="AO299" s="4" t="s">
        <v>55</v>
      </c>
      <c r="AP299" s="4">
        <v>42947.0</v>
      </c>
      <c r="AQ299" s="4">
        <v>51300.0</v>
      </c>
      <c r="AR299" s="4">
        <v>125100.0</v>
      </c>
      <c r="AS299" s="4">
        <v>73800.0</v>
      </c>
      <c r="AT299" s="4">
        <v>16.0</v>
      </c>
      <c r="AU299" s="4">
        <v>2001600.0</v>
      </c>
      <c r="AV299" s="4">
        <v>0.04</v>
      </c>
      <c r="AW299" s="4">
        <v>80064.0</v>
      </c>
      <c r="AX299" s="4">
        <v>1921536.0</v>
      </c>
      <c r="AY299" s="4">
        <v>820800.0</v>
      </c>
      <c r="AZ299" s="4">
        <v>1100736.0</v>
      </c>
    </row>
    <row r="300" ht="15.75" customHeight="1">
      <c r="A300" s="3" t="s">
        <v>1126</v>
      </c>
      <c r="B300" s="5">
        <v>42961.0</v>
      </c>
      <c r="C300" s="6">
        <f t="shared" si="1"/>
        <v>2017</v>
      </c>
      <c r="D300" s="7" t="s">
        <v>1127</v>
      </c>
      <c r="E300" s="7" t="s">
        <v>1128</v>
      </c>
      <c r="F300" s="7" t="s">
        <v>50</v>
      </c>
      <c r="G300" s="5" t="s">
        <v>68</v>
      </c>
      <c r="H300" s="7" t="s">
        <v>189</v>
      </c>
      <c r="I300" s="7" t="s">
        <v>74</v>
      </c>
      <c r="J300" s="7" t="s">
        <v>1129</v>
      </c>
      <c r="K300" s="7" t="s">
        <v>36</v>
      </c>
      <c r="L300" s="7" t="s">
        <v>37</v>
      </c>
      <c r="M300" s="7" t="s">
        <v>38</v>
      </c>
      <c r="N300" s="5">
        <v>42963.0</v>
      </c>
      <c r="O300" s="8">
        <v>1263300.0</v>
      </c>
      <c r="P300" s="8">
        <v>3158250.0</v>
      </c>
      <c r="Q300" s="8">
        <f t="shared" si="2"/>
        <v>1894950</v>
      </c>
      <c r="R300" s="8">
        <v>32.0</v>
      </c>
      <c r="S300" s="8">
        <f t="shared" si="3"/>
        <v>101064000</v>
      </c>
      <c r="T300" s="9">
        <v>0.1</v>
      </c>
      <c r="U300" s="8">
        <f t="shared" si="4"/>
        <v>10106400</v>
      </c>
      <c r="V300" s="8">
        <f t="shared" si="5"/>
        <v>90957600</v>
      </c>
      <c r="W300" s="10">
        <f t="shared" si="6"/>
        <v>40425600</v>
      </c>
      <c r="X300" s="10">
        <f t="shared" si="7"/>
        <v>50532000</v>
      </c>
      <c r="Y300" s="10"/>
      <c r="Z300" s="10"/>
      <c r="AA300" s="10"/>
      <c r="AB300" s="4" t="s">
        <v>1130</v>
      </c>
      <c r="AC300" s="4" t="s">
        <v>1126</v>
      </c>
      <c r="AD300" s="4">
        <v>42961.0</v>
      </c>
      <c r="AE300" s="4">
        <v>2017.0</v>
      </c>
      <c r="AF300" s="4" t="s">
        <v>1127</v>
      </c>
      <c r="AG300" s="4" t="s">
        <v>1128</v>
      </c>
      <c r="AH300" s="4" t="s">
        <v>50</v>
      </c>
      <c r="AI300" s="4" t="s">
        <v>68</v>
      </c>
      <c r="AJ300" s="4" t="s">
        <v>189</v>
      </c>
      <c r="AK300" s="4" t="s">
        <v>74</v>
      </c>
      <c r="AL300" s="4" t="s">
        <v>1129</v>
      </c>
      <c r="AM300" s="4" t="s">
        <v>36</v>
      </c>
      <c r="AN300" s="4" t="s">
        <v>37</v>
      </c>
      <c r="AO300" s="4" t="s">
        <v>38</v>
      </c>
      <c r="AP300" s="4">
        <v>42963.0</v>
      </c>
      <c r="AQ300" s="4">
        <v>1263300.0</v>
      </c>
      <c r="AR300" s="4">
        <v>3158250.0</v>
      </c>
      <c r="AS300" s="4">
        <v>1894950.0</v>
      </c>
      <c r="AT300" s="4">
        <v>32.0</v>
      </c>
      <c r="AU300" s="4">
        <v>1.01064E8</v>
      </c>
      <c r="AV300" s="4">
        <v>0.1</v>
      </c>
      <c r="AW300" s="4">
        <v>1.01064E7</v>
      </c>
      <c r="AX300" s="4">
        <v>9.09576E7</v>
      </c>
      <c r="AY300" s="4">
        <v>4.04256E7</v>
      </c>
      <c r="AZ300" s="4">
        <v>5.0532E7</v>
      </c>
    </row>
    <row r="301" ht="15.75" customHeight="1">
      <c r="A301" s="3" t="s">
        <v>1131</v>
      </c>
      <c r="B301" s="5">
        <v>42961.0</v>
      </c>
      <c r="C301" s="6">
        <f t="shared" si="1"/>
        <v>2017</v>
      </c>
      <c r="D301" s="7" t="s">
        <v>1132</v>
      </c>
      <c r="E301" s="7" t="s">
        <v>369</v>
      </c>
      <c r="F301" s="7" t="s">
        <v>50</v>
      </c>
      <c r="G301" s="5" t="s">
        <v>51</v>
      </c>
      <c r="H301" s="7" t="s">
        <v>200</v>
      </c>
      <c r="I301" s="7" t="s">
        <v>92</v>
      </c>
      <c r="J301" s="7" t="s">
        <v>1085</v>
      </c>
      <c r="K301" s="7" t="s">
        <v>36</v>
      </c>
      <c r="L301" s="7" t="s">
        <v>37</v>
      </c>
      <c r="M301" s="7" t="s">
        <v>55</v>
      </c>
      <c r="N301" s="5">
        <v>42962.0</v>
      </c>
      <c r="O301" s="8">
        <v>106950.0</v>
      </c>
      <c r="P301" s="8">
        <v>314700.0</v>
      </c>
      <c r="Q301" s="8">
        <f t="shared" si="2"/>
        <v>207750</v>
      </c>
      <c r="R301" s="8">
        <v>14.0</v>
      </c>
      <c r="S301" s="8">
        <f t="shared" si="3"/>
        <v>4405800</v>
      </c>
      <c r="T301" s="9">
        <v>0.1</v>
      </c>
      <c r="U301" s="8">
        <f t="shared" si="4"/>
        <v>440580</v>
      </c>
      <c r="V301" s="8">
        <f t="shared" si="5"/>
        <v>3965220</v>
      </c>
      <c r="W301" s="10">
        <f t="shared" si="6"/>
        <v>1497300</v>
      </c>
      <c r="X301" s="10">
        <f t="shared" si="7"/>
        <v>2467920</v>
      </c>
      <c r="Y301" s="10"/>
      <c r="Z301" s="10"/>
      <c r="AA301" s="10"/>
      <c r="AB301" s="4" t="s">
        <v>1133</v>
      </c>
      <c r="AC301" s="4" t="s">
        <v>1131</v>
      </c>
      <c r="AD301" s="4">
        <v>42961.0</v>
      </c>
      <c r="AE301" s="4">
        <v>2017.0</v>
      </c>
      <c r="AF301" s="4" t="s">
        <v>1132</v>
      </c>
      <c r="AG301" s="4" t="s">
        <v>369</v>
      </c>
      <c r="AH301" s="4" t="s">
        <v>50</v>
      </c>
      <c r="AI301" s="4" t="s">
        <v>51</v>
      </c>
      <c r="AJ301" s="4" t="s">
        <v>200</v>
      </c>
      <c r="AK301" s="4" t="s">
        <v>92</v>
      </c>
      <c r="AL301" s="4" t="s">
        <v>1085</v>
      </c>
      <c r="AM301" s="4" t="s">
        <v>36</v>
      </c>
      <c r="AN301" s="4" t="s">
        <v>37</v>
      </c>
      <c r="AO301" s="4" t="s">
        <v>55</v>
      </c>
      <c r="AP301" s="4">
        <v>42962.0</v>
      </c>
      <c r="AQ301" s="4">
        <v>106950.0</v>
      </c>
      <c r="AR301" s="4">
        <v>314700.0</v>
      </c>
      <c r="AS301" s="4">
        <v>207750.0</v>
      </c>
      <c r="AT301" s="4">
        <v>14.0</v>
      </c>
      <c r="AU301" s="4">
        <v>4405800.0</v>
      </c>
      <c r="AV301" s="4">
        <v>0.1</v>
      </c>
      <c r="AW301" s="4">
        <v>440580.0</v>
      </c>
      <c r="AX301" s="4">
        <v>3965220.0</v>
      </c>
      <c r="AY301" s="4">
        <v>1497300.0</v>
      </c>
      <c r="AZ301" s="4">
        <v>2467920.0</v>
      </c>
    </row>
    <row r="302" ht="15.75" customHeight="1">
      <c r="A302" s="3" t="s">
        <v>1134</v>
      </c>
      <c r="B302" s="5">
        <v>42961.0</v>
      </c>
      <c r="C302" s="6">
        <f t="shared" si="1"/>
        <v>2017</v>
      </c>
      <c r="D302" s="7" t="s">
        <v>1135</v>
      </c>
      <c r="E302" s="7" t="s">
        <v>268</v>
      </c>
      <c r="F302" s="7" t="s">
        <v>50</v>
      </c>
      <c r="G302" s="5" t="s">
        <v>32</v>
      </c>
      <c r="H302" s="7" t="s">
        <v>140</v>
      </c>
      <c r="I302" s="7" t="s">
        <v>53</v>
      </c>
      <c r="J302" s="7" t="s">
        <v>313</v>
      </c>
      <c r="K302" s="7" t="s">
        <v>36</v>
      </c>
      <c r="L302" s="7" t="s">
        <v>45</v>
      </c>
      <c r="M302" s="7" t="s">
        <v>38</v>
      </c>
      <c r="N302" s="5">
        <v>42962.0</v>
      </c>
      <c r="O302" s="8">
        <v>34350.0</v>
      </c>
      <c r="P302" s="8">
        <v>53700.0</v>
      </c>
      <c r="Q302" s="8">
        <f t="shared" si="2"/>
        <v>19350</v>
      </c>
      <c r="R302" s="8">
        <v>15.0</v>
      </c>
      <c r="S302" s="8">
        <f t="shared" si="3"/>
        <v>805500</v>
      </c>
      <c r="T302" s="9">
        <v>0.05</v>
      </c>
      <c r="U302" s="8">
        <f t="shared" si="4"/>
        <v>40275</v>
      </c>
      <c r="V302" s="8">
        <f t="shared" si="5"/>
        <v>765225</v>
      </c>
      <c r="W302" s="10">
        <f t="shared" si="6"/>
        <v>515250</v>
      </c>
      <c r="X302" s="10">
        <f t="shared" si="7"/>
        <v>249975</v>
      </c>
      <c r="Y302" s="10"/>
      <c r="Z302" s="10"/>
      <c r="AA302" s="10"/>
      <c r="AB302" s="4" t="s">
        <v>1136</v>
      </c>
      <c r="AC302" s="4" t="s">
        <v>1134</v>
      </c>
      <c r="AD302" s="4">
        <v>42961.0</v>
      </c>
      <c r="AE302" s="4">
        <v>2017.0</v>
      </c>
      <c r="AF302" s="4" t="s">
        <v>1135</v>
      </c>
      <c r="AG302" s="4" t="s">
        <v>268</v>
      </c>
      <c r="AH302" s="4" t="s">
        <v>50</v>
      </c>
      <c r="AI302" s="4" t="s">
        <v>32</v>
      </c>
      <c r="AJ302" s="4" t="s">
        <v>140</v>
      </c>
      <c r="AK302" s="4" t="s">
        <v>53</v>
      </c>
      <c r="AL302" s="4" t="s">
        <v>313</v>
      </c>
      <c r="AM302" s="4" t="s">
        <v>36</v>
      </c>
      <c r="AN302" s="4" t="s">
        <v>45</v>
      </c>
      <c r="AO302" s="4" t="s">
        <v>38</v>
      </c>
      <c r="AP302" s="4">
        <v>42962.0</v>
      </c>
      <c r="AQ302" s="4">
        <v>34350.0</v>
      </c>
      <c r="AR302" s="4">
        <v>53700.0</v>
      </c>
      <c r="AS302" s="4">
        <v>19350.0</v>
      </c>
      <c r="AT302" s="4">
        <v>15.0</v>
      </c>
      <c r="AU302" s="4">
        <v>805500.0</v>
      </c>
      <c r="AV302" s="4">
        <v>0.05</v>
      </c>
      <c r="AW302" s="4">
        <v>40275.0</v>
      </c>
      <c r="AX302" s="4">
        <v>765225.0</v>
      </c>
      <c r="AY302" s="4">
        <v>515250.0</v>
      </c>
      <c r="AZ302" s="4">
        <v>249975.0</v>
      </c>
    </row>
    <row r="303" ht="15.75" customHeight="1">
      <c r="A303" s="3" t="s">
        <v>1137</v>
      </c>
      <c r="B303" s="5">
        <v>42962.0</v>
      </c>
      <c r="C303" s="6">
        <f t="shared" si="1"/>
        <v>2017</v>
      </c>
      <c r="D303" s="7" t="s">
        <v>566</v>
      </c>
      <c r="E303" s="7" t="s">
        <v>509</v>
      </c>
      <c r="F303" s="7" t="s">
        <v>31</v>
      </c>
      <c r="G303" s="5" t="s">
        <v>32</v>
      </c>
      <c r="H303" s="7" t="s">
        <v>33</v>
      </c>
      <c r="I303" s="7" t="s">
        <v>74</v>
      </c>
      <c r="J303" s="7" t="s">
        <v>462</v>
      </c>
      <c r="K303" s="7" t="s">
        <v>36</v>
      </c>
      <c r="L303" s="7" t="s">
        <v>45</v>
      </c>
      <c r="M303" s="7" t="s">
        <v>38</v>
      </c>
      <c r="N303" s="5">
        <v>42966.0</v>
      </c>
      <c r="O303" s="8">
        <v>19650.0</v>
      </c>
      <c r="P303" s="8">
        <v>42600.0</v>
      </c>
      <c r="Q303" s="8">
        <f t="shared" si="2"/>
        <v>22950</v>
      </c>
      <c r="R303" s="8">
        <v>48.0</v>
      </c>
      <c r="S303" s="8">
        <f t="shared" si="3"/>
        <v>2044800</v>
      </c>
      <c r="T303" s="9">
        <v>0.1</v>
      </c>
      <c r="U303" s="8">
        <f t="shared" si="4"/>
        <v>204480</v>
      </c>
      <c r="V303" s="8">
        <f t="shared" si="5"/>
        <v>1840320</v>
      </c>
      <c r="W303" s="10">
        <f t="shared" si="6"/>
        <v>943200</v>
      </c>
      <c r="X303" s="10">
        <f t="shared" si="7"/>
        <v>897120</v>
      </c>
      <c r="Y303" s="10"/>
      <c r="Z303" s="10"/>
      <c r="AA303" s="10"/>
      <c r="AB303" s="4" t="s">
        <v>1138</v>
      </c>
      <c r="AC303" s="4" t="s">
        <v>1137</v>
      </c>
      <c r="AD303" s="4">
        <v>42962.0</v>
      </c>
      <c r="AE303" s="4">
        <v>2017.0</v>
      </c>
      <c r="AF303" s="4" t="s">
        <v>566</v>
      </c>
      <c r="AG303" s="4" t="s">
        <v>509</v>
      </c>
      <c r="AH303" s="4" t="s">
        <v>31</v>
      </c>
      <c r="AI303" s="4" t="s">
        <v>32</v>
      </c>
      <c r="AJ303" s="4" t="s">
        <v>33</v>
      </c>
      <c r="AK303" s="4" t="s">
        <v>74</v>
      </c>
      <c r="AL303" s="4" t="s">
        <v>462</v>
      </c>
      <c r="AM303" s="4" t="s">
        <v>36</v>
      </c>
      <c r="AN303" s="4" t="s">
        <v>45</v>
      </c>
      <c r="AO303" s="4" t="s">
        <v>38</v>
      </c>
      <c r="AP303" s="4">
        <v>42966.0</v>
      </c>
      <c r="AQ303" s="4">
        <v>19650.0</v>
      </c>
      <c r="AR303" s="4">
        <v>42600.0</v>
      </c>
      <c r="AS303" s="4">
        <v>22950.0</v>
      </c>
      <c r="AT303" s="4">
        <v>48.0</v>
      </c>
      <c r="AU303" s="4">
        <v>2044800.0</v>
      </c>
      <c r="AV303" s="4">
        <v>0.1</v>
      </c>
      <c r="AW303" s="4">
        <v>204480.0</v>
      </c>
      <c r="AX303" s="4">
        <v>1840320.0</v>
      </c>
      <c r="AY303" s="4">
        <v>943200.0</v>
      </c>
      <c r="AZ303" s="4">
        <v>897120.0</v>
      </c>
    </row>
    <row r="304" ht="15.75" customHeight="1">
      <c r="A304" s="3" t="s">
        <v>1139</v>
      </c>
      <c r="B304" s="5">
        <v>42965.0</v>
      </c>
      <c r="C304" s="6">
        <f t="shared" si="1"/>
        <v>2017</v>
      </c>
      <c r="D304" s="7" t="s">
        <v>1140</v>
      </c>
      <c r="E304" s="7" t="s">
        <v>432</v>
      </c>
      <c r="F304" s="7" t="s">
        <v>50</v>
      </c>
      <c r="G304" s="5" t="s">
        <v>32</v>
      </c>
      <c r="H304" s="7" t="s">
        <v>140</v>
      </c>
      <c r="I304" s="7" t="s">
        <v>92</v>
      </c>
      <c r="J304" s="7" t="s">
        <v>538</v>
      </c>
      <c r="K304" s="7" t="s">
        <v>36</v>
      </c>
      <c r="L304" s="7" t="s">
        <v>37</v>
      </c>
      <c r="M304" s="7" t="s">
        <v>38</v>
      </c>
      <c r="N304" s="5">
        <v>42967.0</v>
      </c>
      <c r="O304" s="8">
        <v>33900.0</v>
      </c>
      <c r="P304" s="8">
        <v>53700.0</v>
      </c>
      <c r="Q304" s="8">
        <f t="shared" si="2"/>
        <v>19800</v>
      </c>
      <c r="R304" s="8">
        <v>25.0</v>
      </c>
      <c r="S304" s="8">
        <f t="shared" si="3"/>
        <v>1342500</v>
      </c>
      <c r="T304" s="9">
        <v>0.0</v>
      </c>
      <c r="U304" s="8">
        <f t="shared" si="4"/>
        <v>0</v>
      </c>
      <c r="V304" s="8">
        <f t="shared" si="5"/>
        <v>1342500</v>
      </c>
      <c r="W304" s="10">
        <f t="shared" si="6"/>
        <v>847500</v>
      </c>
      <c r="X304" s="10">
        <f t="shared" si="7"/>
        <v>495000</v>
      </c>
      <c r="Y304" s="10"/>
      <c r="Z304" s="10"/>
      <c r="AA304" s="10"/>
      <c r="AB304" s="4" t="s">
        <v>1141</v>
      </c>
      <c r="AC304" s="4" t="s">
        <v>1139</v>
      </c>
      <c r="AD304" s="4">
        <v>42965.0</v>
      </c>
      <c r="AE304" s="4">
        <v>2017.0</v>
      </c>
      <c r="AF304" s="4" t="s">
        <v>1140</v>
      </c>
      <c r="AG304" s="4" t="s">
        <v>432</v>
      </c>
      <c r="AH304" s="4" t="s">
        <v>50</v>
      </c>
      <c r="AI304" s="4" t="s">
        <v>32</v>
      </c>
      <c r="AJ304" s="4" t="s">
        <v>140</v>
      </c>
      <c r="AK304" s="4" t="s">
        <v>92</v>
      </c>
      <c r="AL304" s="4" t="s">
        <v>538</v>
      </c>
      <c r="AM304" s="4" t="s">
        <v>36</v>
      </c>
      <c r="AN304" s="4" t="s">
        <v>37</v>
      </c>
      <c r="AO304" s="4" t="s">
        <v>38</v>
      </c>
      <c r="AP304" s="4">
        <v>42967.0</v>
      </c>
      <c r="AQ304" s="4">
        <v>33900.0</v>
      </c>
      <c r="AR304" s="4">
        <v>53700.0</v>
      </c>
      <c r="AS304" s="4">
        <v>19800.0</v>
      </c>
      <c r="AT304" s="4">
        <v>25.0</v>
      </c>
      <c r="AU304" s="4">
        <v>1342500.0</v>
      </c>
      <c r="AV304" s="4">
        <v>0.0</v>
      </c>
      <c r="AW304" s="4">
        <v>0.0</v>
      </c>
      <c r="AX304" s="4">
        <v>1342500.0</v>
      </c>
      <c r="AY304" s="4">
        <v>847500.0</v>
      </c>
      <c r="AZ304" s="4">
        <v>495000.0</v>
      </c>
    </row>
    <row r="305" ht="15.75" customHeight="1">
      <c r="A305" s="3" t="s">
        <v>1142</v>
      </c>
      <c r="B305" s="5">
        <v>42965.0</v>
      </c>
      <c r="C305" s="6">
        <f t="shared" si="1"/>
        <v>2017</v>
      </c>
      <c r="D305" s="7" t="s">
        <v>1140</v>
      </c>
      <c r="E305" s="7" t="s">
        <v>432</v>
      </c>
      <c r="F305" s="7" t="s">
        <v>50</v>
      </c>
      <c r="G305" s="5" t="s">
        <v>32</v>
      </c>
      <c r="H305" s="7" t="s">
        <v>140</v>
      </c>
      <c r="I305" s="7" t="s">
        <v>92</v>
      </c>
      <c r="J305" s="7" t="s">
        <v>1143</v>
      </c>
      <c r="K305" s="7" t="s">
        <v>36</v>
      </c>
      <c r="L305" s="7" t="s">
        <v>45</v>
      </c>
      <c r="M305" s="7" t="s">
        <v>38</v>
      </c>
      <c r="N305" s="5">
        <v>42967.0</v>
      </c>
      <c r="O305" s="8">
        <v>13050.0</v>
      </c>
      <c r="P305" s="8">
        <v>27150.0</v>
      </c>
      <c r="Q305" s="8">
        <f t="shared" si="2"/>
        <v>14100</v>
      </c>
      <c r="R305" s="8">
        <v>45.0</v>
      </c>
      <c r="S305" s="8">
        <f t="shared" si="3"/>
        <v>1221750</v>
      </c>
      <c r="T305" s="9">
        <v>0.08</v>
      </c>
      <c r="U305" s="8">
        <f t="shared" si="4"/>
        <v>97740</v>
      </c>
      <c r="V305" s="8">
        <f t="shared" si="5"/>
        <v>1124010</v>
      </c>
      <c r="W305" s="10">
        <f t="shared" si="6"/>
        <v>587250</v>
      </c>
      <c r="X305" s="10">
        <f t="shared" si="7"/>
        <v>536760</v>
      </c>
      <c r="Y305" s="10"/>
      <c r="Z305" s="10"/>
      <c r="AA305" s="10"/>
      <c r="AB305" s="4" t="s">
        <v>1144</v>
      </c>
      <c r="AC305" s="4" t="s">
        <v>1142</v>
      </c>
      <c r="AD305" s="4">
        <v>42965.0</v>
      </c>
      <c r="AE305" s="4">
        <v>2017.0</v>
      </c>
      <c r="AF305" s="4" t="s">
        <v>1140</v>
      </c>
      <c r="AG305" s="4" t="s">
        <v>432</v>
      </c>
      <c r="AH305" s="4" t="s">
        <v>50</v>
      </c>
      <c r="AI305" s="4" t="s">
        <v>32</v>
      </c>
      <c r="AJ305" s="4" t="s">
        <v>140</v>
      </c>
      <c r="AK305" s="4" t="s">
        <v>92</v>
      </c>
      <c r="AL305" s="4" t="s">
        <v>1143</v>
      </c>
      <c r="AM305" s="4" t="s">
        <v>36</v>
      </c>
      <c r="AN305" s="4" t="s">
        <v>45</v>
      </c>
      <c r="AO305" s="4" t="s">
        <v>38</v>
      </c>
      <c r="AP305" s="4">
        <v>42967.0</v>
      </c>
      <c r="AQ305" s="4">
        <v>13050.0</v>
      </c>
      <c r="AR305" s="4">
        <v>27150.0</v>
      </c>
      <c r="AS305" s="4">
        <v>14100.0</v>
      </c>
      <c r="AT305" s="4">
        <v>45.0</v>
      </c>
      <c r="AU305" s="4">
        <v>1221750.0</v>
      </c>
      <c r="AV305" s="4">
        <v>0.08</v>
      </c>
      <c r="AW305" s="4">
        <v>97740.0</v>
      </c>
      <c r="AX305" s="4">
        <v>1124010.0</v>
      </c>
      <c r="AY305" s="4">
        <v>587250.0</v>
      </c>
      <c r="AZ305" s="4">
        <v>536760.0</v>
      </c>
    </row>
    <row r="306" ht="15.75" customHeight="1">
      <c r="A306" s="3" t="s">
        <v>1145</v>
      </c>
      <c r="B306" s="5">
        <v>42967.0</v>
      </c>
      <c r="C306" s="6">
        <f t="shared" si="1"/>
        <v>2017</v>
      </c>
      <c r="D306" s="7" t="s">
        <v>1146</v>
      </c>
      <c r="E306" s="7" t="s">
        <v>1147</v>
      </c>
      <c r="F306" s="7" t="s">
        <v>289</v>
      </c>
      <c r="G306" s="5" t="s">
        <v>51</v>
      </c>
      <c r="H306" s="7" t="s">
        <v>98</v>
      </c>
      <c r="I306" s="7" t="s">
        <v>74</v>
      </c>
      <c r="J306" s="7" t="s">
        <v>567</v>
      </c>
      <c r="K306" s="7" t="s">
        <v>36</v>
      </c>
      <c r="L306" s="7" t="s">
        <v>45</v>
      </c>
      <c r="M306" s="7" t="s">
        <v>38</v>
      </c>
      <c r="N306" s="5">
        <v>42972.0</v>
      </c>
      <c r="O306" s="8">
        <v>13950.0</v>
      </c>
      <c r="P306" s="8">
        <v>22200.0</v>
      </c>
      <c r="Q306" s="8">
        <f t="shared" si="2"/>
        <v>8250</v>
      </c>
      <c r="R306" s="8">
        <v>33.0</v>
      </c>
      <c r="S306" s="8">
        <f t="shared" si="3"/>
        <v>732600</v>
      </c>
      <c r="T306" s="9">
        <v>0.07</v>
      </c>
      <c r="U306" s="8">
        <f t="shared" si="4"/>
        <v>51282</v>
      </c>
      <c r="V306" s="8">
        <f t="shared" si="5"/>
        <v>681318</v>
      </c>
      <c r="W306" s="10">
        <f t="shared" si="6"/>
        <v>460350</v>
      </c>
      <c r="X306" s="10">
        <f t="shared" si="7"/>
        <v>220968</v>
      </c>
      <c r="Y306" s="10"/>
      <c r="Z306" s="10"/>
      <c r="AA306" s="10"/>
      <c r="AB306" s="4" t="s">
        <v>1148</v>
      </c>
      <c r="AC306" s="4" t="s">
        <v>1145</v>
      </c>
      <c r="AD306" s="4">
        <v>42967.0</v>
      </c>
      <c r="AE306" s="4">
        <v>2017.0</v>
      </c>
      <c r="AF306" s="4" t="s">
        <v>1146</v>
      </c>
      <c r="AG306" s="4" t="s">
        <v>1147</v>
      </c>
      <c r="AH306" s="4" t="s">
        <v>289</v>
      </c>
      <c r="AI306" s="4" t="s">
        <v>51</v>
      </c>
      <c r="AJ306" s="4" t="s">
        <v>98</v>
      </c>
      <c r="AK306" s="4" t="s">
        <v>74</v>
      </c>
      <c r="AL306" s="4" t="s">
        <v>567</v>
      </c>
      <c r="AM306" s="4" t="s">
        <v>36</v>
      </c>
      <c r="AN306" s="4" t="s">
        <v>45</v>
      </c>
      <c r="AO306" s="4" t="s">
        <v>38</v>
      </c>
      <c r="AP306" s="4">
        <v>42972.0</v>
      </c>
      <c r="AQ306" s="4">
        <v>13950.0</v>
      </c>
      <c r="AR306" s="4">
        <v>22200.0</v>
      </c>
      <c r="AS306" s="4">
        <v>8250.0</v>
      </c>
      <c r="AT306" s="4">
        <v>33.0</v>
      </c>
      <c r="AU306" s="4">
        <v>732600.0</v>
      </c>
      <c r="AV306" s="4">
        <v>0.07</v>
      </c>
      <c r="AW306" s="4">
        <v>51282.0</v>
      </c>
      <c r="AX306" s="4">
        <v>681318.0</v>
      </c>
      <c r="AY306" s="4">
        <v>460350.0</v>
      </c>
      <c r="AZ306" s="4">
        <v>220968.0</v>
      </c>
    </row>
    <row r="307" ht="15.75" customHeight="1">
      <c r="A307" s="3" t="s">
        <v>1149</v>
      </c>
      <c r="B307" s="5">
        <v>42967.0</v>
      </c>
      <c r="C307" s="6">
        <f t="shared" si="1"/>
        <v>2017</v>
      </c>
      <c r="D307" s="7" t="s">
        <v>1150</v>
      </c>
      <c r="E307" s="7" t="s">
        <v>312</v>
      </c>
      <c r="F307" s="7" t="s">
        <v>50</v>
      </c>
      <c r="G307" s="5" t="s">
        <v>51</v>
      </c>
      <c r="H307" s="7" t="s">
        <v>151</v>
      </c>
      <c r="I307" s="7" t="s">
        <v>74</v>
      </c>
      <c r="J307" s="7" t="s">
        <v>412</v>
      </c>
      <c r="K307" s="7" t="s">
        <v>36</v>
      </c>
      <c r="L307" s="7" t="s">
        <v>37</v>
      </c>
      <c r="M307" s="7" t="s">
        <v>38</v>
      </c>
      <c r="N307" s="5">
        <v>42971.0</v>
      </c>
      <c r="O307" s="8">
        <v>19950.0</v>
      </c>
      <c r="P307" s="8">
        <v>31200.0</v>
      </c>
      <c r="Q307" s="8">
        <f t="shared" si="2"/>
        <v>11250</v>
      </c>
      <c r="R307" s="8">
        <v>40.0</v>
      </c>
      <c r="S307" s="8">
        <f t="shared" si="3"/>
        <v>1248000</v>
      </c>
      <c r="T307" s="9">
        <v>0.0</v>
      </c>
      <c r="U307" s="8">
        <f t="shared" si="4"/>
        <v>0</v>
      </c>
      <c r="V307" s="8">
        <f t="shared" si="5"/>
        <v>1248000</v>
      </c>
      <c r="W307" s="10">
        <f t="shared" si="6"/>
        <v>798000</v>
      </c>
      <c r="X307" s="10">
        <f t="shared" si="7"/>
        <v>450000</v>
      </c>
      <c r="Y307" s="10"/>
      <c r="Z307" s="10"/>
      <c r="AA307" s="10"/>
      <c r="AB307" s="4" t="s">
        <v>1151</v>
      </c>
      <c r="AC307" s="4" t="s">
        <v>1149</v>
      </c>
      <c r="AD307" s="4">
        <v>42967.0</v>
      </c>
      <c r="AE307" s="4">
        <v>2017.0</v>
      </c>
      <c r="AF307" s="4" t="s">
        <v>1150</v>
      </c>
      <c r="AG307" s="4" t="s">
        <v>312</v>
      </c>
      <c r="AH307" s="4" t="s">
        <v>50</v>
      </c>
      <c r="AI307" s="4" t="s">
        <v>51</v>
      </c>
      <c r="AJ307" s="4" t="s">
        <v>151</v>
      </c>
      <c r="AK307" s="4" t="s">
        <v>74</v>
      </c>
      <c r="AL307" s="4" t="s">
        <v>412</v>
      </c>
      <c r="AM307" s="4" t="s">
        <v>36</v>
      </c>
      <c r="AN307" s="4" t="s">
        <v>37</v>
      </c>
      <c r="AO307" s="4" t="s">
        <v>38</v>
      </c>
      <c r="AP307" s="4">
        <v>42971.0</v>
      </c>
      <c r="AQ307" s="4">
        <v>19950.0</v>
      </c>
      <c r="AR307" s="4">
        <v>31200.0</v>
      </c>
      <c r="AS307" s="4">
        <v>11250.0</v>
      </c>
      <c r="AT307" s="4">
        <v>40.0</v>
      </c>
      <c r="AU307" s="4">
        <v>1248000.0</v>
      </c>
      <c r="AV307" s="4">
        <v>0.0</v>
      </c>
      <c r="AW307" s="4">
        <v>0.0</v>
      </c>
      <c r="AX307" s="4">
        <v>1248000.0</v>
      </c>
      <c r="AY307" s="4">
        <v>798000.0</v>
      </c>
      <c r="AZ307" s="4">
        <v>450000.0</v>
      </c>
    </row>
    <row r="308" ht="15.75" customHeight="1">
      <c r="A308" s="3" t="s">
        <v>1152</v>
      </c>
      <c r="B308" s="5">
        <v>42968.0</v>
      </c>
      <c r="C308" s="6">
        <f t="shared" si="1"/>
        <v>2017</v>
      </c>
      <c r="D308" s="7" t="s">
        <v>1153</v>
      </c>
      <c r="E308" s="7" t="s">
        <v>977</v>
      </c>
      <c r="F308" s="7" t="s">
        <v>31</v>
      </c>
      <c r="G308" s="5" t="s">
        <v>51</v>
      </c>
      <c r="H308" s="7" t="s">
        <v>33</v>
      </c>
      <c r="I308" s="7" t="s">
        <v>53</v>
      </c>
      <c r="J308" s="7" t="s">
        <v>584</v>
      </c>
      <c r="K308" s="7" t="s">
        <v>278</v>
      </c>
      <c r="L308" s="7" t="s">
        <v>555</v>
      </c>
      <c r="M308" s="7" t="s">
        <v>38</v>
      </c>
      <c r="N308" s="5">
        <v>42969.0</v>
      </c>
      <c r="O308" s="8">
        <v>842400.0</v>
      </c>
      <c r="P308" s="8">
        <v>2054699.9999999998</v>
      </c>
      <c r="Q308" s="8">
        <f t="shared" si="2"/>
        <v>1212300</v>
      </c>
      <c r="R308" s="8">
        <v>44.0</v>
      </c>
      <c r="S308" s="8">
        <f t="shared" si="3"/>
        <v>90406800</v>
      </c>
      <c r="T308" s="9">
        <v>0.08</v>
      </c>
      <c r="U308" s="8">
        <f t="shared" si="4"/>
        <v>7232544</v>
      </c>
      <c r="V308" s="8">
        <f t="shared" si="5"/>
        <v>83174256</v>
      </c>
      <c r="W308" s="10">
        <f t="shared" si="6"/>
        <v>37065600</v>
      </c>
      <c r="X308" s="10">
        <f t="shared" si="7"/>
        <v>46108656</v>
      </c>
      <c r="Y308" s="10"/>
      <c r="Z308" s="10"/>
      <c r="AA308" s="10"/>
      <c r="AB308" s="4" t="s">
        <v>1154</v>
      </c>
      <c r="AC308" s="4" t="s">
        <v>1152</v>
      </c>
      <c r="AD308" s="4">
        <v>42968.0</v>
      </c>
      <c r="AE308" s="4">
        <v>2017.0</v>
      </c>
      <c r="AF308" s="4" t="s">
        <v>1153</v>
      </c>
      <c r="AG308" s="4" t="s">
        <v>977</v>
      </c>
      <c r="AH308" s="4" t="s">
        <v>31</v>
      </c>
      <c r="AI308" s="4" t="s">
        <v>51</v>
      </c>
      <c r="AJ308" s="4" t="s">
        <v>33</v>
      </c>
      <c r="AK308" s="4" t="s">
        <v>53</v>
      </c>
      <c r="AL308" s="4" t="s">
        <v>584</v>
      </c>
      <c r="AM308" s="4" t="s">
        <v>278</v>
      </c>
      <c r="AN308" s="4" t="s">
        <v>555</v>
      </c>
      <c r="AO308" s="4" t="s">
        <v>38</v>
      </c>
      <c r="AP308" s="4">
        <v>42969.0</v>
      </c>
      <c r="AQ308" s="4">
        <v>842400.0</v>
      </c>
      <c r="AR308" s="4">
        <v>2054700.0</v>
      </c>
      <c r="AS308" s="4">
        <v>1212300.0</v>
      </c>
      <c r="AT308" s="4">
        <v>44.0</v>
      </c>
      <c r="AU308" s="4">
        <v>9.04068E7</v>
      </c>
      <c r="AV308" s="4">
        <v>0.08</v>
      </c>
      <c r="AW308" s="4">
        <v>7232544.0</v>
      </c>
      <c r="AX308" s="4">
        <v>8.3174256E7</v>
      </c>
      <c r="AY308" s="4">
        <v>3.70656E7</v>
      </c>
      <c r="AZ308" s="4">
        <v>4.6108656E7</v>
      </c>
    </row>
    <row r="309" ht="15.75" customHeight="1">
      <c r="A309" s="3" t="s">
        <v>1155</v>
      </c>
      <c r="B309" s="5">
        <v>42970.0</v>
      </c>
      <c r="C309" s="6">
        <f t="shared" si="1"/>
        <v>2017</v>
      </c>
      <c r="D309" s="7" t="s">
        <v>402</v>
      </c>
      <c r="E309" s="7" t="s">
        <v>403</v>
      </c>
      <c r="F309" s="7" t="s">
        <v>289</v>
      </c>
      <c r="G309" s="5" t="s">
        <v>51</v>
      </c>
      <c r="H309" s="7" t="s">
        <v>140</v>
      </c>
      <c r="I309" s="7" t="s">
        <v>104</v>
      </c>
      <c r="J309" s="7" t="s">
        <v>776</v>
      </c>
      <c r="K309" s="7" t="s">
        <v>36</v>
      </c>
      <c r="L309" s="7" t="s">
        <v>45</v>
      </c>
      <c r="M309" s="7" t="s">
        <v>38</v>
      </c>
      <c r="N309" s="5">
        <v>42971.0</v>
      </c>
      <c r="O309" s="8">
        <v>78300.0</v>
      </c>
      <c r="P309" s="8">
        <v>147750.0</v>
      </c>
      <c r="Q309" s="8">
        <f t="shared" si="2"/>
        <v>69450</v>
      </c>
      <c r="R309" s="8">
        <v>20.0</v>
      </c>
      <c r="S309" s="8">
        <f t="shared" si="3"/>
        <v>2955000</v>
      </c>
      <c r="T309" s="9">
        <v>0.06</v>
      </c>
      <c r="U309" s="8">
        <f t="shared" si="4"/>
        <v>177300</v>
      </c>
      <c r="V309" s="8">
        <f t="shared" si="5"/>
        <v>2777700</v>
      </c>
      <c r="W309" s="10">
        <f t="shared" si="6"/>
        <v>1566000</v>
      </c>
      <c r="X309" s="10">
        <f t="shared" si="7"/>
        <v>1211700</v>
      </c>
      <c r="Y309" s="10"/>
      <c r="Z309" s="10"/>
      <c r="AA309" s="10"/>
      <c r="AB309" s="4" t="s">
        <v>1156</v>
      </c>
      <c r="AC309" s="4" t="s">
        <v>1155</v>
      </c>
      <c r="AD309" s="4">
        <v>42970.0</v>
      </c>
      <c r="AE309" s="4">
        <v>2017.0</v>
      </c>
      <c r="AF309" s="4" t="s">
        <v>402</v>
      </c>
      <c r="AG309" s="4" t="s">
        <v>403</v>
      </c>
      <c r="AH309" s="4" t="s">
        <v>289</v>
      </c>
      <c r="AI309" s="4" t="s">
        <v>51</v>
      </c>
      <c r="AJ309" s="4" t="s">
        <v>140</v>
      </c>
      <c r="AK309" s="4" t="s">
        <v>104</v>
      </c>
      <c r="AL309" s="4" t="s">
        <v>776</v>
      </c>
      <c r="AM309" s="4" t="s">
        <v>36</v>
      </c>
      <c r="AN309" s="4" t="s">
        <v>45</v>
      </c>
      <c r="AO309" s="4" t="s">
        <v>38</v>
      </c>
      <c r="AP309" s="4">
        <v>42971.0</v>
      </c>
      <c r="AQ309" s="4">
        <v>78300.0</v>
      </c>
      <c r="AR309" s="4">
        <v>147750.0</v>
      </c>
      <c r="AS309" s="4">
        <v>69450.0</v>
      </c>
      <c r="AT309" s="4">
        <v>20.0</v>
      </c>
      <c r="AU309" s="4">
        <v>2955000.0</v>
      </c>
      <c r="AV309" s="4">
        <v>0.06</v>
      </c>
      <c r="AW309" s="4">
        <v>177300.0</v>
      </c>
      <c r="AX309" s="4">
        <v>2777700.0</v>
      </c>
      <c r="AY309" s="4">
        <v>1566000.0</v>
      </c>
      <c r="AZ309" s="4">
        <v>1211700.0</v>
      </c>
    </row>
    <row r="310" ht="15.75" customHeight="1">
      <c r="A310" s="3" t="s">
        <v>1157</v>
      </c>
      <c r="B310" s="5">
        <v>42972.0</v>
      </c>
      <c r="C310" s="6">
        <f t="shared" si="1"/>
        <v>2017</v>
      </c>
      <c r="D310" s="7" t="s">
        <v>583</v>
      </c>
      <c r="E310" s="7" t="s">
        <v>150</v>
      </c>
      <c r="F310" s="7" t="s">
        <v>50</v>
      </c>
      <c r="G310" s="5" t="s">
        <v>32</v>
      </c>
      <c r="H310" s="7" t="s">
        <v>151</v>
      </c>
      <c r="I310" s="7" t="s">
        <v>92</v>
      </c>
      <c r="J310" s="7" t="s">
        <v>1158</v>
      </c>
      <c r="K310" s="7" t="s">
        <v>36</v>
      </c>
      <c r="L310" s="7" t="s">
        <v>37</v>
      </c>
      <c r="M310" s="7" t="s">
        <v>38</v>
      </c>
      <c r="N310" s="5">
        <v>42973.0</v>
      </c>
      <c r="O310" s="8">
        <v>41400.0</v>
      </c>
      <c r="P310" s="8">
        <v>65700.0</v>
      </c>
      <c r="Q310" s="8">
        <f t="shared" si="2"/>
        <v>24300</v>
      </c>
      <c r="R310" s="8">
        <v>29.0</v>
      </c>
      <c r="S310" s="8">
        <f t="shared" si="3"/>
        <v>1905300</v>
      </c>
      <c r="T310" s="9">
        <v>0.08</v>
      </c>
      <c r="U310" s="8">
        <f t="shared" si="4"/>
        <v>152424</v>
      </c>
      <c r="V310" s="8">
        <f t="shared" si="5"/>
        <v>1752876</v>
      </c>
      <c r="W310" s="10">
        <f t="shared" si="6"/>
        <v>1200600</v>
      </c>
      <c r="X310" s="10">
        <f t="shared" si="7"/>
        <v>552276</v>
      </c>
      <c r="Y310" s="10"/>
      <c r="Z310" s="10"/>
      <c r="AA310" s="10"/>
      <c r="AB310" s="4" t="s">
        <v>1159</v>
      </c>
      <c r="AC310" s="4" t="s">
        <v>1157</v>
      </c>
      <c r="AD310" s="4">
        <v>42972.0</v>
      </c>
      <c r="AE310" s="4">
        <v>2017.0</v>
      </c>
      <c r="AF310" s="4" t="s">
        <v>583</v>
      </c>
      <c r="AG310" s="4" t="s">
        <v>150</v>
      </c>
      <c r="AH310" s="4" t="s">
        <v>50</v>
      </c>
      <c r="AI310" s="4" t="s">
        <v>32</v>
      </c>
      <c r="AJ310" s="4" t="s">
        <v>151</v>
      </c>
      <c r="AK310" s="4" t="s">
        <v>92</v>
      </c>
      <c r="AL310" s="4" t="s">
        <v>1158</v>
      </c>
      <c r="AM310" s="4" t="s">
        <v>36</v>
      </c>
      <c r="AN310" s="4" t="s">
        <v>37</v>
      </c>
      <c r="AO310" s="4" t="s">
        <v>38</v>
      </c>
      <c r="AP310" s="4">
        <v>42973.0</v>
      </c>
      <c r="AQ310" s="4">
        <v>41400.0</v>
      </c>
      <c r="AR310" s="4">
        <v>65700.0</v>
      </c>
      <c r="AS310" s="4">
        <v>24300.0</v>
      </c>
      <c r="AT310" s="4">
        <v>29.0</v>
      </c>
      <c r="AU310" s="4">
        <v>1905300.0</v>
      </c>
      <c r="AV310" s="4">
        <v>0.08</v>
      </c>
      <c r="AW310" s="4">
        <v>152424.0</v>
      </c>
      <c r="AX310" s="4">
        <v>1752876.0</v>
      </c>
      <c r="AY310" s="4">
        <v>1200600.0</v>
      </c>
      <c r="AZ310" s="4">
        <v>552276.0</v>
      </c>
    </row>
    <row r="311" ht="15.75" customHeight="1">
      <c r="A311" s="3" t="s">
        <v>1160</v>
      </c>
      <c r="B311" s="5">
        <v>42974.0</v>
      </c>
      <c r="C311" s="6">
        <f t="shared" si="1"/>
        <v>2017</v>
      </c>
      <c r="D311" s="7" t="s">
        <v>500</v>
      </c>
      <c r="E311" s="7" t="s">
        <v>501</v>
      </c>
      <c r="F311" s="7" t="s">
        <v>289</v>
      </c>
      <c r="G311" s="5" t="s">
        <v>68</v>
      </c>
      <c r="H311" s="7" t="s">
        <v>80</v>
      </c>
      <c r="I311" s="7" t="s">
        <v>104</v>
      </c>
      <c r="J311" s="7" t="s">
        <v>516</v>
      </c>
      <c r="K311" s="7" t="s">
        <v>36</v>
      </c>
      <c r="L311" s="7" t="s">
        <v>37</v>
      </c>
      <c r="M311" s="7" t="s">
        <v>38</v>
      </c>
      <c r="N311" s="5">
        <v>42975.0</v>
      </c>
      <c r="O311" s="8">
        <v>29100.0</v>
      </c>
      <c r="P311" s="8">
        <v>46200.0</v>
      </c>
      <c r="Q311" s="8">
        <f t="shared" si="2"/>
        <v>17100</v>
      </c>
      <c r="R311" s="8">
        <v>9.0</v>
      </c>
      <c r="S311" s="8">
        <f t="shared" si="3"/>
        <v>415800</v>
      </c>
      <c r="T311" s="9">
        <v>0.01</v>
      </c>
      <c r="U311" s="8">
        <f t="shared" si="4"/>
        <v>4158</v>
      </c>
      <c r="V311" s="8">
        <f t="shared" si="5"/>
        <v>411642</v>
      </c>
      <c r="W311" s="10">
        <f t="shared" si="6"/>
        <v>261900</v>
      </c>
      <c r="X311" s="10">
        <f t="shared" si="7"/>
        <v>149742</v>
      </c>
      <c r="Y311" s="10"/>
      <c r="Z311" s="10"/>
      <c r="AA311" s="10"/>
      <c r="AB311" s="4" t="s">
        <v>1161</v>
      </c>
      <c r="AC311" s="4" t="s">
        <v>1160</v>
      </c>
      <c r="AD311" s="4">
        <v>42974.0</v>
      </c>
      <c r="AE311" s="4">
        <v>2017.0</v>
      </c>
      <c r="AF311" s="4" t="s">
        <v>500</v>
      </c>
      <c r="AG311" s="4" t="s">
        <v>501</v>
      </c>
      <c r="AH311" s="4" t="s">
        <v>289</v>
      </c>
      <c r="AI311" s="4" t="s">
        <v>68</v>
      </c>
      <c r="AJ311" s="4" t="s">
        <v>80</v>
      </c>
      <c r="AK311" s="4" t="s">
        <v>104</v>
      </c>
      <c r="AL311" s="4" t="s">
        <v>516</v>
      </c>
      <c r="AM311" s="4" t="s">
        <v>36</v>
      </c>
      <c r="AN311" s="4" t="s">
        <v>37</v>
      </c>
      <c r="AO311" s="4" t="s">
        <v>38</v>
      </c>
      <c r="AP311" s="4">
        <v>42975.0</v>
      </c>
      <c r="AQ311" s="4">
        <v>29100.0</v>
      </c>
      <c r="AR311" s="4">
        <v>46200.0</v>
      </c>
      <c r="AS311" s="4">
        <v>17100.0</v>
      </c>
      <c r="AT311" s="4">
        <v>9.0</v>
      </c>
      <c r="AU311" s="4">
        <v>415800.0</v>
      </c>
      <c r="AV311" s="4">
        <v>0.01</v>
      </c>
      <c r="AW311" s="4">
        <v>4158.0</v>
      </c>
      <c r="AX311" s="4">
        <v>411642.0</v>
      </c>
      <c r="AY311" s="4">
        <v>261900.0</v>
      </c>
      <c r="AZ311" s="4">
        <v>149742.0</v>
      </c>
    </row>
    <row r="312" ht="15.75" customHeight="1">
      <c r="A312" s="3" t="s">
        <v>1162</v>
      </c>
      <c r="B312" s="5">
        <v>42976.0</v>
      </c>
      <c r="C312" s="6">
        <f t="shared" si="1"/>
        <v>2017</v>
      </c>
      <c r="D312" s="7" t="s">
        <v>351</v>
      </c>
      <c r="E312" s="7" t="s">
        <v>156</v>
      </c>
      <c r="F312" s="7" t="s">
        <v>50</v>
      </c>
      <c r="G312" s="5" t="s">
        <v>91</v>
      </c>
      <c r="H312" s="7" t="s">
        <v>110</v>
      </c>
      <c r="I312" s="7" t="s">
        <v>92</v>
      </c>
      <c r="J312" s="7" t="s">
        <v>595</v>
      </c>
      <c r="K312" s="7" t="s">
        <v>36</v>
      </c>
      <c r="L312" s="7" t="s">
        <v>127</v>
      </c>
      <c r="M312" s="7" t="s">
        <v>38</v>
      </c>
      <c r="N312" s="5">
        <v>42977.0</v>
      </c>
      <c r="O312" s="8">
        <v>77850.0</v>
      </c>
      <c r="P312" s="8">
        <v>194700.0</v>
      </c>
      <c r="Q312" s="8">
        <f t="shared" si="2"/>
        <v>116850</v>
      </c>
      <c r="R312" s="8">
        <v>20.0</v>
      </c>
      <c r="S312" s="8">
        <f t="shared" si="3"/>
        <v>3894000</v>
      </c>
      <c r="T312" s="9">
        <v>0.04</v>
      </c>
      <c r="U312" s="8">
        <f t="shared" si="4"/>
        <v>155760</v>
      </c>
      <c r="V312" s="8">
        <f t="shared" si="5"/>
        <v>3738240</v>
      </c>
      <c r="W312" s="10">
        <f t="shared" si="6"/>
        <v>1557000</v>
      </c>
      <c r="X312" s="10">
        <f t="shared" si="7"/>
        <v>2181240</v>
      </c>
      <c r="Y312" s="10"/>
      <c r="Z312" s="10"/>
      <c r="AA312" s="10"/>
      <c r="AB312" s="4" t="s">
        <v>1163</v>
      </c>
      <c r="AC312" s="4" t="s">
        <v>1162</v>
      </c>
      <c r="AD312" s="4">
        <v>42976.0</v>
      </c>
      <c r="AE312" s="4">
        <v>2017.0</v>
      </c>
      <c r="AF312" s="4" t="s">
        <v>351</v>
      </c>
      <c r="AG312" s="4" t="s">
        <v>156</v>
      </c>
      <c r="AH312" s="4" t="s">
        <v>50</v>
      </c>
      <c r="AI312" s="4" t="s">
        <v>91</v>
      </c>
      <c r="AJ312" s="4" t="s">
        <v>110</v>
      </c>
      <c r="AK312" s="4" t="s">
        <v>92</v>
      </c>
      <c r="AL312" s="4" t="s">
        <v>595</v>
      </c>
      <c r="AM312" s="4" t="s">
        <v>36</v>
      </c>
      <c r="AN312" s="4" t="s">
        <v>127</v>
      </c>
      <c r="AO312" s="4" t="s">
        <v>38</v>
      </c>
      <c r="AP312" s="4">
        <v>42977.0</v>
      </c>
      <c r="AQ312" s="4">
        <v>77850.0</v>
      </c>
      <c r="AR312" s="4">
        <v>194700.0</v>
      </c>
      <c r="AS312" s="4">
        <v>116850.0</v>
      </c>
      <c r="AT312" s="4">
        <v>20.0</v>
      </c>
      <c r="AU312" s="4">
        <v>3894000.0</v>
      </c>
      <c r="AV312" s="4">
        <v>0.04</v>
      </c>
      <c r="AW312" s="4">
        <v>155760.0</v>
      </c>
      <c r="AX312" s="4">
        <v>3738240.0</v>
      </c>
      <c r="AY312" s="4">
        <v>1557000.0</v>
      </c>
      <c r="AZ312" s="4">
        <v>2181240.0</v>
      </c>
    </row>
    <row r="313" ht="15.75" customHeight="1">
      <c r="A313" s="3" t="s">
        <v>1164</v>
      </c>
      <c r="B313" s="5">
        <v>42978.0</v>
      </c>
      <c r="C313" s="6">
        <f t="shared" si="1"/>
        <v>2017</v>
      </c>
      <c r="D313" s="7" t="s">
        <v>1165</v>
      </c>
      <c r="E313" s="7" t="s">
        <v>1069</v>
      </c>
      <c r="F313" s="7" t="s">
        <v>31</v>
      </c>
      <c r="G313" s="5" t="s">
        <v>68</v>
      </c>
      <c r="H313" s="7" t="s">
        <v>43</v>
      </c>
      <c r="I313" s="7" t="s">
        <v>104</v>
      </c>
      <c r="J313" s="7" t="s">
        <v>277</v>
      </c>
      <c r="K313" s="7" t="s">
        <v>278</v>
      </c>
      <c r="L313" s="7" t="s">
        <v>127</v>
      </c>
      <c r="M313" s="7" t="s">
        <v>55</v>
      </c>
      <c r="N313" s="5">
        <v>42979.0</v>
      </c>
      <c r="O313" s="8">
        <v>82500.0</v>
      </c>
      <c r="P313" s="8">
        <v>183300.0</v>
      </c>
      <c r="Q313" s="8">
        <f t="shared" si="2"/>
        <v>100800</v>
      </c>
      <c r="R313" s="8">
        <v>18.0</v>
      </c>
      <c r="S313" s="8">
        <f t="shared" si="3"/>
        <v>3299400</v>
      </c>
      <c r="T313" s="9">
        <v>0.04</v>
      </c>
      <c r="U313" s="8">
        <f t="shared" si="4"/>
        <v>131976</v>
      </c>
      <c r="V313" s="8">
        <f t="shared" si="5"/>
        <v>3167424</v>
      </c>
      <c r="W313" s="10">
        <f t="shared" si="6"/>
        <v>1485000</v>
      </c>
      <c r="X313" s="10">
        <f t="shared" si="7"/>
        <v>1682424</v>
      </c>
      <c r="Y313" s="10"/>
      <c r="Z313" s="10"/>
      <c r="AA313" s="10"/>
      <c r="AB313" s="4" t="s">
        <v>1166</v>
      </c>
      <c r="AC313" s="4" t="s">
        <v>1164</v>
      </c>
      <c r="AD313" s="4">
        <v>42978.0</v>
      </c>
      <c r="AE313" s="4">
        <v>2017.0</v>
      </c>
      <c r="AF313" s="4" t="s">
        <v>1165</v>
      </c>
      <c r="AG313" s="4" t="s">
        <v>1069</v>
      </c>
      <c r="AH313" s="4" t="s">
        <v>31</v>
      </c>
      <c r="AI313" s="4" t="s">
        <v>68</v>
      </c>
      <c r="AJ313" s="4" t="s">
        <v>43</v>
      </c>
      <c r="AK313" s="4" t="s">
        <v>104</v>
      </c>
      <c r="AL313" s="4" t="s">
        <v>277</v>
      </c>
      <c r="AM313" s="4" t="s">
        <v>278</v>
      </c>
      <c r="AN313" s="4" t="s">
        <v>127</v>
      </c>
      <c r="AO313" s="4" t="s">
        <v>55</v>
      </c>
      <c r="AP313" s="4">
        <v>42979.0</v>
      </c>
      <c r="AQ313" s="4">
        <v>82500.0</v>
      </c>
      <c r="AR313" s="4">
        <v>183300.0</v>
      </c>
      <c r="AS313" s="4">
        <v>100800.0</v>
      </c>
      <c r="AT313" s="4">
        <v>18.0</v>
      </c>
      <c r="AU313" s="4">
        <v>3299400.0</v>
      </c>
      <c r="AV313" s="4">
        <v>0.04</v>
      </c>
      <c r="AW313" s="4">
        <v>131976.0</v>
      </c>
      <c r="AX313" s="4">
        <v>3167424.0</v>
      </c>
      <c r="AY313" s="4">
        <v>1485000.0</v>
      </c>
      <c r="AZ313" s="4">
        <v>1682424.0</v>
      </c>
    </row>
    <row r="314" ht="15.75" customHeight="1">
      <c r="A314" s="3" t="s">
        <v>1167</v>
      </c>
      <c r="B314" s="5">
        <v>42978.0</v>
      </c>
      <c r="C314" s="6">
        <f t="shared" si="1"/>
        <v>2017</v>
      </c>
      <c r="D314" s="7" t="s">
        <v>1168</v>
      </c>
      <c r="E314" s="7" t="s">
        <v>276</v>
      </c>
      <c r="F314" s="7" t="s">
        <v>50</v>
      </c>
      <c r="G314" s="5" t="s">
        <v>51</v>
      </c>
      <c r="H314" s="7" t="s">
        <v>110</v>
      </c>
      <c r="I314" s="7" t="s">
        <v>74</v>
      </c>
      <c r="J314" s="7" t="s">
        <v>903</v>
      </c>
      <c r="K314" s="7" t="s">
        <v>36</v>
      </c>
      <c r="L314" s="7" t="s">
        <v>45</v>
      </c>
      <c r="M314" s="7" t="s">
        <v>55</v>
      </c>
      <c r="N314" s="5">
        <v>42983.0</v>
      </c>
      <c r="O314" s="8">
        <v>34650.0</v>
      </c>
      <c r="P314" s="8">
        <v>56700.0</v>
      </c>
      <c r="Q314" s="8">
        <f t="shared" si="2"/>
        <v>22050</v>
      </c>
      <c r="R314" s="8">
        <v>15.0</v>
      </c>
      <c r="S314" s="8">
        <f t="shared" si="3"/>
        <v>850500</v>
      </c>
      <c r="T314" s="9">
        <v>0.03</v>
      </c>
      <c r="U314" s="8">
        <f t="shared" si="4"/>
        <v>25515</v>
      </c>
      <c r="V314" s="8">
        <f t="shared" si="5"/>
        <v>824985</v>
      </c>
      <c r="W314" s="10">
        <f t="shared" si="6"/>
        <v>519750</v>
      </c>
      <c r="X314" s="10">
        <f t="shared" si="7"/>
        <v>305235</v>
      </c>
      <c r="Y314" s="10"/>
      <c r="Z314" s="10"/>
      <c r="AA314" s="10"/>
      <c r="AB314" s="4" t="s">
        <v>1169</v>
      </c>
      <c r="AC314" s="4" t="s">
        <v>1167</v>
      </c>
      <c r="AD314" s="4">
        <v>42978.0</v>
      </c>
      <c r="AE314" s="4">
        <v>2017.0</v>
      </c>
      <c r="AF314" s="4" t="s">
        <v>1168</v>
      </c>
      <c r="AG314" s="4" t="s">
        <v>276</v>
      </c>
      <c r="AH314" s="4" t="s">
        <v>50</v>
      </c>
      <c r="AI314" s="4" t="s">
        <v>51</v>
      </c>
      <c r="AJ314" s="4" t="s">
        <v>110</v>
      </c>
      <c r="AK314" s="4" t="s">
        <v>74</v>
      </c>
      <c r="AL314" s="4" t="s">
        <v>903</v>
      </c>
      <c r="AM314" s="4" t="s">
        <v>36</v>
      </c>
      <c r="AN314" s="4" t="s">
        <v>45</v>
      </c>
      <c r="AO314" s="4" t="s">
        <v>55</v>
      </c>
      <c r="AP314" s="4">
        <v>42983.0</v>
      </c>
      <c r="AQ314" s="4">
        <v>34650.0</v>
      </c>
      <c r="AR314" s="4">
        <v>56700.0</v>
      </c>
      <c r="AS314" s="4">
        <v>22050.0</v>
      </c>
      <c r="AT314" s="4">
        <v>15.0</v>
      </c>
      <c r="AU314" s="4">
        <v>850500.0</v>
      </c>
      <c r="AV314" s="4">
        <v>0.03</v>
      </c>
      <c r="AW314" s="4">
        <v>25515.0</v>
      </c>
      <c r="AX314" s="4">
        <v>824985.0</v>
      </c>
      <c r="AY314" s="4">
        <v>519750.0</v>
      </c>
      <c r="AZ314" s="4">
        <v>305235.0</v>
      </c>
    </row>
    <row r="315" ht="15.75" customHeight="1">
      <c r="A315" s="3" t="s">
        <v>1170</v>
      </c>
      <c r="B315" s="5">
        <v>42984.0</v>
      </c>
      <c r="C315" s="6">
        <f t="shared" si="1"/>
        <v>2017</v>
      </c>
      <c r="D315" s="7" t="s">
        <v>1171</v>
      </c>
      <c r="E315" s="7" t="s">
        <v>1172</v>
      </c>
      <c r="F315" s="7" t="s">
        <v>50</v>
      </c>
      <c r="G315" s="5" t="s">
        <v>91</v>
      </c>
      <c r="H315" s="7" t="s">
        <v>360</v>
      </c>
      <c r="I315" s="7" t="s">
        <v>74</v>
      </c>
      <c r="J315" s="7" t="s">
        <v>484</v>
      </c>
      <c r="K315" s="7" t="s">
        <v>61</v>
      </c>
      <c r="L315" s="7" t="s">
        <v>62</v>
      </c>
      <c r="M315" s="7" t="s">
        <v>63</v>
      </c>
      <c r="N315" s="5">
        <v>42988.0</v>
      </c>
      <c r="O315" s="8">
        <v>4184850.0</v>
      </c>
      <c r="P315" s="8">
        <v>6749850.0</v>
      </c>
      <c r="Q315" s="8">
        <f t="shared" si="2"/>
        <v>2565000</v>
      </c>
      <c r="R315" s="8">
        <v>47.0</v>
      </c>
      <c r="S315" s="8">
        <f t="shared" si="3"/>
        <v>317242950</v>
      </c>
      <c r="T315" s="9">
        <v>0.1</v>
      </c>
      <c r="U315" s="8">
        <f t="shared" si="4"/>
        <v>31724295</v>
      </c>
      <c r="V315" s="8">
        <f t="shared" si="5"/>
        <v>285518655</v>
      </c>
      <c r="W315" s="10">
        <f t="shared" si="6"/>
        <v>196687950</v>
      </c>
      <c r="X315" s="10">
        <f t="shared" si="7"/>
        <v>88830705</v>
      </c>
      <c r="Y315" s="10"/>
      <c r="Z315" s="10"/>
      <c r="AA315" s="10"/>
      <c r="AB315" s="4" t="s">
        <v>1173</v>
      </c>
      <c r="AC315" s="4" t="s">
        <v>1170</v>
      </c>
      <c r="AD315" s="4">
        <v>42984.0</v>
      </c>
      <c r="AE315" s="4">
        <v>2017.0</v>
      </c>
      <c r="AF315" s="4" t="s">
        <v>1171</v>
      </c>
      <c r="AG315" s="4" t="s">
        <v>1172</v>
      </c>
      <c r="AH315" s="4" t="s">
        <v>50</v>
      </c>
      <c r="AI315" s="4" t="s">
        <v>91</v>
      </c>
      <c r="AJ315" s="4" t="s">
        <v>360</v>
      </c>
      <c r="AK315" s="4" t="s">
        <v>74</v>
      </c>
      <c r="AL315" s="4" t="s">
        <v>484</v>
      </c>
      <c r="AM315" s="4" t="s">
        <v>61</v>
      </c>
      <c r="AN315" s="4" t="s">
        <v>62</v>
      </c>
      <c r="AO315" s="4" t="s">
        <v>63</v>
      </c>
      <c r="AP315" s="4">
        <v>42988.0</v>
      </c>
      <c r="AQ315" s="4">
        <v>4184850.0</v>
      </c>
      <c r="AR315" s="4">
        <v>6749850.0</v>
      </c>
      <c r="AS315" s="4">
        <v>2565000.0</v>
      </c>
      <c r="AT315" s="4">
        <v>47.0</v>
      </c>
      <c r="AU315" s="4">
        <v>3.1724295E8</v>
      </c>
      <c r="AV315" s="4">
        <v>0.1</v>
      </c>
      <c r="AW315" s="4">
        <v>3.1724295E7</v>
      </c>
      <c r="AX315" s="4">
        <v>2.85518655E8</v>
      </c>
      <c r="AY315" s="4">
        <v>1.9668795E8</v>
      </c>
      <c r="AZ315" s="4">
        <v>8.8830705E7</v>
      </c>
    </row>
    <row r="316" ht="15.75" customHeight="1">
      <c r="A316" s="3" t="s">
        <v>1174</v>
      </c>
      <c r="B316" s="5">
        <v>42988.0</v>
      </c>
      <c r="C316" s="6">
        <f t="shared" si="1"/>
        <v>2017</v>
      </c>
      <c r="D316" s="7" t="s">
        <v>1175</v>
      </c>
      <c r="E316" s="7" t="s">
        <v>307</v>
      </c>
      <c r="F316" s="7" t="s">
        <v>50</v>
      </c>
      <c r="G316" s="5" t="s">
        <v>51</v>
      </c>
      <c r="H316" s="7" t="s">
        <v>140</v>
      </c>
      <c r="I316" s="7" t="s">
        <v>74</v>
      </c>
      <c r="J316" s="7" t="s">
        <v>195</v>
      </c>
      <c r="K316" s="7" t="s">
        <v>61</v>
      </c>
      <c r="L316" s="7" t="s">
        <v>37</v>
      </c>
      <c r="M316" s="7" t="s">
        <v>38</v>
      </c>
      <c r="N316" s="5">
        <v>42992.0</v>
      </c>
      <c r="O316" s="8">
        <v>480300.00000000006</v>
      </c>
      <c r="P316" s="8">
        <v>2287200.0</v>
      </c>
      <c r="Q316" s="8">
        <f t="shared" si="2"/>
        <v>1806900</v>
      </c>
      <c r="R316" s="8">
        <v>49.0</v>
      </c>
      <c r="S316" s="8">
        <f t="shared" si="3"/>
        <v>112072800</v>
      </c>
      <c r="T316" s="9">
        <v>0.03</v>
      </c>
      <c r="U316" s="8">
        <f t="shared" si="4"/>
        <v>3362184</v>
      </c>
      <c r="V316" s="8">
        <f t="shared" si="5"/>
        <v>108710616</v>
      </c>
      <c r="W316" s="10">
        <f t="shared" si="6"/>
        <v>23534700</v>
      </c>
      <c r="X316" s="10">
        <f t="shared" si="7"/>
        <v>85175916</v>
      </c>
      <c r="Y316" s="10"/>
      <c r="Z316" s="10"/>
      <c r="AA316" s="10"/>
      <c r="AB316" s="4" t="s">
        <v>1176</v>
      </c>
      <c r="AC316" s="4" t="s">
        <v>1174</v>
      </c>
      <c r="AD316" s="4">
        <v>42988.0</v>
      </c>
      <c r="AE316" s="4">
        <v>2017.0</v>
      </c>
      <c r="AF316" s="4" t="s">
        <v>1175</v>
      </c>
      <c r="AG316" s="4" t="s">
        <v>307</v>
      </c>
      <c r="AH316" s="4" t="s">
        <v>50</v>
      </c>
      <c r="AI316" s="4" t="s">
        <v>51</v>
      </c>
      <c r="AJ316" s="4" t="s">
        <v>140</v>
      </c>
      <c r="AK316" s="4" t="s">
        <v>74</v>
      </c>
      <c r="AL316" s="4" t="s">
        <v>195</v>
      </c>
      <c r="AM316" s="4" t="s">
        <v>61</v>
      </c>
      <c r="AN316" s="4" t="s">
        <v>37</v>
      </c>
      <c r="AO316" s="4" t="s">
        <v>38</v>
      </c>
      <c r="AP316" s="4">
        <v>42992.0</v>
      </c>
      <c r="AQ316" s="4">
        <v>480300.0</v>
      </c>
      <c r="AR316" s="4">
        <v>2287200.0</v>
      </c>
      <c r="AS316" s="4">
        <v>1806900.0</v>
      </c>
      <c r="AT316" s="4">
        <v>49.0</v>
      </c>
      <c r="AU316" s="4">
        <v>1.120728E8</v>
      </c>
      <c r="AV316" s="4">
        <v>0.03</v>
      </c>
      <c r="AW316" s="4">
        <v>3362184.0</v>
      </c>
      <c r="AX316" s="4">
        <v>1.08710616E8</v>
      </c>
      <c r="AY316" s="4">
        <v>2.35347E7</v>
      </c>
      <c r="AZ316" s="4">
        <v>8.5175916E7</v>
      </c>
    </row>
    <row r="317" ht="15.75" customHeight="1">
      <c r="A317" s="3" t="s">
        <v>1177</v>
      </c>
      <c r="B317" s="5">
        <v>42988.0</v>
      </c>
      <c r="C317" s="6">
        <f t="shared" si="1"/>
        <v>2017</v>
      </c>
      <c r="D317" s="7" t="s">
        <v>1178</v>
      </c>
      <c r="E317" s="7" t="s">
        <v>1179</v>
      </c>
      <c r="F317" s="7" t="s">
        <v>50</v>
      </c>
      <c r="G317" s="5" t="s">
        <v>51</v>
      </c>
      <c r="H317" s="7" t="s">
        <v>98</v>
      </c>
      <c r="I317" s="7" t="s">
        <v>34</v>
      </c>
      <c r="J317" s="7" t="s">
        <v>254</v>
      </c>
      <c r="K317" s="7" t="s">
        <v>36</v>
      </c>
      <c r="L317" s="7" t="s">
        <v>37</v>
      </c>
      <c r="M317" s="7" t="s">
        <v>38</v>
      </c>
      <c r="N317" s="5">
        <v>42988.0</v>
      </c>
      <c r="O317" s="8">
        <v>208200.0</v>
      </c>
      <c r="P317" s="8">
        <v>335700.0</v>
      </c>
      <c r="Q317" s="8">
        <f t="shared" si="2"/>
        <v>127500</v>
      </c>
      <c r="R317" s="8">
        <v>26.0</v>
      </c>
      <c r="S317" s="8">
        <f t="shared" si="3"/>
        <v>8728200</v>
      </c>
      <c r="T317" s="9">
        <v>0.07</v>
      </c>
      <c r="U317" s="8">
        <f t="shared" si="4"/>
        <v>610974</v>
      </c>
      <c r="V317" s="8">
        <f t="shared" si="5"/>
        <v>8117226</v>
      </c>
      <c r="W317" s="10">
        <f t="shared" si="6"/>
        <v>5413200</v>
      </c>
      <c r="X317" s="10">
        <f t="shared" si="7"/>
        <v>2704026</v>
      </c>
      <c r="Y317" s="10"/>
      <c r="Z317" s="10"/>
      <c r="AA317" s="10"/>
      <c r="AB317" s="4" t="s">
        <v>1180</v>
      </c>
      <c r="AC317" s="4" t="s">
        <v>1177</v>
      </c>
      <c r="AD317" s="4">
        <v>42988.0</v>
      </c>
      <c r="AE317" s="4">
        <v>2017.0</v>
      </c>
      <c r="AF317" s="4" t="s">
        <v>1178</v>
      </c>
      <c r="AG317" s="4" t="s">
        <v>1179</v>
      </c>
      <c r="AH317" s="4" t="s">
        <v>50</v>
      </c>
      <c r="AI317" s="4" t="s">
        <v>51</v>
      </c>
      <c r="AJ317" s="4" t="s">
        <v>98</v>
      </c>
      <c r="AK317" s="4" t="s">
        <v>34</v>
      </c>
      <c r="AL317" s="4" t="s">
        <v>254</v>
      </c>
      <c r="AM317" s="4" t="s">
        <v>36</v>
      </c>
      <c r="AN317" s="4" t="s">
        <v>37</v>
      </c>
      <c r="AO317" s="4" t="s">
        <v>38</v>
      </c>
      <c r="AP317" s="4">
        <v>42988.0</v>
      </c>
      <c r="AQ317" s="4">
        <v>208200.0</v>
      </c>
      <c r="AR317" s="4">
        <v>335700.0</v>
      </c>
      <c r="AS317" s="4">
        <v>127500.0</v>
      </c>
      <c r="AT317" s="4">
        <v>26.0</v>
      </c>
      <c r="AU317" s="4">
        <v>8728200.0</v>
      </c>
      <c r="AV317" s="4">
        <v>0.07</v>
      </c>
      <c r="AW317" s="4">
        <v>610974.0</v>
      </c>
      <c r="AX317" s="4">
        <v>8117226.0</v>
      </c>
      <c r="AY317" s="4">
        <v>5413200.0</v>
      </c>
      <c r="AZ317" s="4">
        <v>2704026.0</v>
      </c>
    </row>
    <row r="318" ht="15.75" customHeight="1">
      <c r="A318" s="3" t="s">
        <v>1181</v>
      </c>
      <c r="B318" s="5">
        <v>42988.0</v>
      </c>
      <c r="C318" s="6">
        <f t="shared" si="1"/>
        <v>2017</v>
      </c>
      <c r="D318" s="7" t="s">
        <v>1182</v>
      </c>
      <c r="E318" s="7" t="s">
        <v>537</v>
      </c>
      <c r="F318" s="7" t="s">
        <v>31</v>
      </c>
      <c r="G318" s="5" t="s">
        <v>51</v>
      </c>
      <c r="H318" s="7" t="s">
        <v>33</v>
      </c>
      <c r="I318" s="7" t="s">
        <v>104</v>
      </c>
      <c r="J318" s="7" t="s">
        <v>208</v>
      </c>
      <c r="K318" s="7" t="s">
        <v>36</v>
      </c>
      <c r="L318" s="7" t="s">
        <v>127</v>
      </c>
      <c r="M318" s="7" t="s">
        <v>38</v>
      </c>
      <c r="N318" s="5">
        <v>42988.0</v>
      </c>
      <c r="O318" s="8">
        <v>71850.0</v>
      </c>
      <c r="P318" s="8">
        <v>179550.0</v>
      </c>
      <c r="Q318" s="8">
        <f t="shared" si="2"/>
        <v>107700</v>
      </c>
      <c r="R318" s="8">
        <v>46.0</v>
      </c>
      <c r="S318" s="8">
        <f t="shared" si="3"/>
        <v>8259300</v>
      </c>
      <c r="T318" s="9">
        <v>0.07</v>
      </c>
      <c r="U318" s="8">
        <f t="shared" si="4"/>
        <v>578151</v>
      </c>
      <c r="V318" s="8">
        <f t="shared" si="5"/>
        <v>7681149</v>
      </c>
      <c r="W318" s="10">
        <f t="shared" si="6"/>
        <v>3305100</v>
      </c>
      <c r="X318" s="10">
        <f t="shared" si="7"/>
        <v>4376049</v>
      </c>
      <c r="Y318" s="10"/>
      <c r="Z318" s="10"/>
      <c r="AA318" s="10"/>
      <c r="AB318" s="4" t="s">
        <v>1183</v>
      </c>
      <c r="AC318" s="4" t="s">
        <v>1181</v>
      </c>
      <c r="AD318" s="4">
        <v>42988.0</v>
      </c>
      <c r="AE318" s="4">
        <v>2017.0</v>
      </c>
      <c r="AF318" s="4" t="s">
        <v>1182</v>
      </c>
      <c r="AG318" s="4" t="s">
        <v>537</v>
      </c>
      <c r="AH318" s="4" t="s">
        <v>31</v>
      </c>
      <c r="AI318" s="4" t="s">
        <v>51</v>
      </c>
      <c r="AJ318" s="4" t="s">
        <v>33</v>
      </c>
      <c r="AK318" s="4" t="s">
        <v>104</v>
      </c>
      <c r="AL318" s="4" t="s">
        <v>208</v>
      </c>
      <c r="AM318" s="4" t="s">
        <v>36</v>
      </c>
      <c r="AN318" s="4" t="s">
        <v>127</v>
      </c>
      <c r="AO318" s="4" t="s">
        <v>38</v>
      </c>
      <c r="AP318" s="4">
        <v>42988.0</v>
      </c>
      <c r="AQ318" s="4">
        <v>71850.0</v>
      </c>
      <c r="AR318" s="4">
        <v>179550.0</v>
      </c>
      <c r="AS318" s="4">
        <v>107700.0</v>
      </c>
      <c r="AT318" s="4">
        <v>46.0</v>
      </c>
      <c r="AU318" s="4">
        <v>8259300.0</v>
      </c>
      <c r="AV318" s="4">
        <v>0.07</v>
      </c>
      <c r="AW318" s="4">
        <v>578151.0</v>
      </c>
      <c r="AX318" s="4">
        <v>7681149.0</v>
      </c>
      <c r="AY318" s="4">
        <v>3305100.0</v>
      </c>
      <c r="AZ318" s="4">
        <v>4376049.0</v>
      </c>
    </row>
    <row r="319" ht="15.75" customHeight="1">
      <c r="A319" s="3" t="s">
        <v>1184</v>
      </c>
      <c r="B319" s="5">
        <v>42992.0</v>
      </c>
      <c r="C319" s="6">
        <f t="shared" si="1"/>
        <v>2017</v>
      </c>
      <c r="D319" s="7" t="s">
        <v>1185</v>
      </c>
      <c r="E319" s="7" t="s">
        <v>1186</v>
      </c>
      <c r="F319" s="7" t="s">
        <v>31</v>
      </c>
      <c r="G319" s="5" t="s">
        <v>51</v>
      </c>
      <c r="H319" s="7" t="s">
        <v>43</v>
      </c>
      <c r="I319" s="7" t="s">
        <v>53</v>
      </c>
      <c r="J319" s="7" t="s">
        <v>243</v>
      </c>
      <c r="K319" s="7" t="s">
        <v>61</v>
      </c>
      <c r="L319" s="7" t="s">
        <v>244</v>
      </c>
      <c r="M319" s="7" t="s">
        <v>38</v>
      </c>
      <c r="N319" s="5">
        <v>42994.0</v>
      </c>
      <c r="O319" s="8">
        <v>132300.0</v>
      </c>
      <c r="P319" s="8">
        <v>314850.0</v>
      </c>
      <c r="Q319" s="8">
        <f t="shared" si="2"/>
        <v>182550</v>
      </c>
      <c r="R319" s="8">
        <v>10.0</v>
      </c>
      <c r="S319" s="8">
        <f t="shared" si="3"/>
        <v>3148500</v>
      </c>
      <c r="T319" s="9">
        <v>0.0</v>
      </c>
      <c r="U319" s="8">
        <f t="shared" si="4"/>
        <v>0</v>
      </c>
      <c r="V319" s="8">
        <f t="shared" si="5"/>
        <v>3148500</v>
      </c>
      <c r="W319" s="10">
        <f t="shared" si="6"/>
        <v>1323000</v>
      </c>
      <c r="X319" s="10">
        <f t="shared" si="7"/>
        <v>1825500</v>
      </c>
      <c r="Y319" s="10"/>
      <c r="Z319" s="10"/>
      <c r="AA319" s="10"/>
      <c r="AB319" s="4" t="s">
        <v>1187</v>
      </c>
      <c r="AC319" s="4" t="s">
        <v>1184</v>
      </c>
      <c r="AD319" s="4">
        <v>42992.0</v>
      </c>
      <c r="AE319" s="4">
        <v>2017.0</v>
      </c>
      <c r="AF319" s="4" t="s">
        <v>1185</v>
      </c>
      <c r="AG319" s="4" t="s">
        <v>1186</v>
      </c>
      <c r="AH319" s="4" t="s">
        <v>31</v>
      </c>
      <c r="AI319" s="4" t="s">
        <v>51</v>
      </c>
      <c r="AJ319" s="4" t="s">
        <v>43</v>
      </c>
      <c r="AK319" s="4" t="s">
        <v>53</v>
      </c>
      <c r="AL319" s="4" t="s">
        <v>243</v>
      </c>
      <c r="AM319" s="4" t="s">
        <v>61</v>
      </c>
      <c r="AN319" s="4" t="s">
        <v>244</v>
      </c>
      <c r="AO319" s="4" t="s">
        <v>38</v>
      </c>
      <c r="AP319" s="4">
        <v>42994.0</v>
      </c>
      <c r="AQ319" s="4">
        <v>132300.0</v>
      </c>
      <c r="AR319" s="4">
        <v>314850.0</v>
      </c>
      <c r="AS319" s="4">
        <v>182550.0</v>
      </c>
      <c r="AT319" s="4">
        <v>10.0</v>
      </c>
      <c r="AU319" s="4">
        <v>3148500.0</v>
      </c>
      <c r="AV319" s="4">
        <v>0.0</v>
      </c>
      <c r="AW319" s="4">
        <v>0.0</v>
      </c>
      <c r="AX319" s="4">
        <v>3148500.0</v>
      </c>
      <c r="AY319" s="4">
        <v>1323000.0</v>
      </c>
      <c r="AZ319" s="4">
        <v>1825500.0</v>
      </c>
    </row>
    <row r="320" ht="15.75" customHeight="1">
      <c r="A320" s="3" t="s">
        <v>1188</v>
      </c>
      <c r="B320" s="5">
        <v>42993.0</v>
      </c>
      <c r="C320" s="6">
        <f t="shared" si="1"/>
        <v>2017</v>
      </c>
      <c r="D320" s="7" t="s">
        <v>765</v>
      </c>
      <c r="E320" s="7" t="s">
        <v>766</v>
      </c>
      <c r="F320" s="7" t="s">
        <v>50</v>
      </c>
      <c r="G320" s="5" t="s">
        <v>51</v>
      </c>
      <c r="H320" s="7" t="s">
        <v>189</v>
      </c>
      <c r="I320" s="7" t="s">
        <v>92</v>
      </c>
      <c r="J320" s="7" t="s">
        <v>1189</v>
      </c>
      <c r="K320" s="7" t="s">
        <v>36</v>
      </c>
      <c r="L320" s="7" t="s">
        <v>45</v>
      </c>
      <c r="M320" s="7" t="s">
        <v>38</v>
      </c>
      <c r="N320" s="5">
        <v>42994.0</v>
      </c>
      <c r="O320" s="8">
        <v>16350.000000000002</v>
      </c>
      <c r="P320" s="8">
        <v>27300.0</v>
      </c>
      <c r="Q320" s="8">
        <f t="shared" si="2"/>
        <v>10950</v>
      </c>
      <c r="R320" s="8">
        <v>40.0</v>
      </c>
      <c r="S320" s="8">
        <f t="shared" si="3"/>
        <v>1092000</v>
      </c>
      <c r="T320" s="9">
        <v>0.1</v>
      </c>
      <c r="U320" s="8">
        <f t="shared" si="4"/>
        <v>109200</v>
      </c>
      <c r="V320" s="8">
        <f t="shared" si="5"/>
        <v>982800</v>
      </c>
      <c r="W320" s="10">
        <f t="shared" si="6"/>
        <v>654000</v>
      </c>
      <c r="X320" s="10">
        <f t="shared" si="7"/>
        <v>328800</v>
      </c>
      <c r="Y320" s="10"/>
      <c r="Z320" s="10"/>
      <c r="AA320" s="10"/>
      <c r="AB320" s="4" t="s">
        <v>1190</v>
      </c>
      <c r="AC320" s="4" t="s">
        <v>1188</v>
      </c>
      <c r="AD320" s="4">
        <v>42993.0</v>
      </c>
      <c r="AE320" s="4">
        <v>2017.0</v>
      </c>
      <c r="AF320" s="4" t="s">
        <v>765</v>
      </c>
      <c r="AG320" s="4" t="s">
        <v>766</v>
      </c>
      <c r="AH320" s="4" t="s">
        <v>50</v>
      </c>
      <c r="AI320" s="4" t="s">
        <v>51</v>
      </c>
      <c r="AJ320" s="4" t="s">
        <v>189</v>
      </c>
      <c r="AK320" s="4" t="s">
        <v>92</v>
      </c>
      <c r="AL320" s="4" t="s">
        <v>1189</v>
      </c>
      <c r="AM320" s="4" t="s">
        <v>36</v>
      </c>
      <c r="AN320" s="4" t="s">
        <v>45</v>
      </c>
      <c r="AO320" s="4" t="s">
        <v>38</v>
      </c>
      <c r="AP320" s="4">
        <v>42994.0</v>
      </c>
      <c r="AQ320" s="4">
        <v>16350.0</v>
      </c>
      <c r="AR320" s="4">
        <v>27300.0</v>
      </c>
      <c r="AS320" s="4">
        <v>10950.0</v>
      </c>
      <c r="AT320" s="4">
        <v>40.0</v>
      </c>
      <c r="AU320" s="4">
        <v>1092000.0</v>
      </c>
      <c r="AV320" s="4">
        <v>0.1</v>
      </c>
      <c r="AW320" s="4">
        <v>109200.0</v>
      </c>
      <c r="AX320" s="4">
        <v>982800.0</v>
      </c>
      <c r="AY320" s="4">
        <v>654000.0</v>
      </c>
      <c r="AZ320" s="4">
        <v>328800.0</v>
      </c>
    </row>
    <row r="321" ht="15.75" customHeight="1">
      <c r="A321" s="3" t="s">
        <v>1191</v>
      </c>
      <c r="B321" s="5">
        <v>42993.0</v>
      </c>
      <c r="C321" s="6">
        <f t="shared" si="1"/>
        <v>2017</v>
      </c>
      <c r="D321" s="7" t="s">
        <v>1192</v>
      </c>
      <c r="E321" s="7" t="s">
        <v>1193</v>
      </c>
      <c r="F321" s="7" t="s">
        <v>289</v>
      </c>
      <c r="G321" s="5" t="s">
        <v>91</v>
      </c>
      <c r="H321" s="7" t="s">
        <v>140</v>
      </c>
      <c r="I321" s="7" t="s">
        <v>34</v>
      </c>
      <c r="J321" s="7" t="s">
        <v>272</v>
      </c>
      <c r="K321" s="7" t="s">
        <v>36</v>
      </c>
      <c r="L321" s="7" t="s">
        <v>45</v>
      </c>
      <c r="M321" s="7" t="s">
        <v>38</v>
      </c>
      <c r="N321" s="5">
        <v>42995.0</v>
      </c>
      <c r="O321" s="8">
        <v>56250.0</v>
      </c>
      <c r="P321" s="8">
        <v>106200.0</v>
      </c>
      <c r="Q321" s="8">
        <f t="shared" si="2"/>
        <v>49950</v>
      </c>
      <c r="R321" s="8">
        <v>45.0</v>
      </c>
      <c r="S321" s="8">
        <f t="shared" si="3"/>
        <v>4779000</v>
      </c>
      <c r="T321" s="9">
        <v>0.06</v>
      </c>
      <c r="U321" s="8">
        <f t="shared" si="4"/>
        <v>286740</v>
      </c>
      <c r="V321" s="8">
        <f t="shared" si="5"/>
        <v>4492260</v>
      </c>
      <c r="W321" s="10">
        <f t="shared" si="6"/>
        <v>2531250</v>
      </c>
      <c r="X321" s="10">
        <f t="shared" si="7"/>
        <v>1961010</v>
      </c>
      <c r="Y321" s="10"/>
      <c r="Z321" s="10"/>
      <c r="AA321" s="10"/>
      <c r="AB321" s="4" t="s">
        <v>1194</v>
      </c>
      <c r="AC321" s="4" t="s">
        <v>1191</v>
      </c>
      <c r="AD321" s="4">
        <v>42993.0</v>
      </c>
      <c r="AE321" s="4">
        <v>2017.0</v>
      </c>
      <c r="AF321" s="4" t="s">
        <v>1192</v>
      </c>
      <c r="AG321" s="4" t="s">
        <v>1193</v>
      </c>
      <c r="AH321" s="4" t="s">
        <v>289</v>
      </c>
      <c r="AI321" s="4" t="s">
        <v>91</v>
      </c>
      <c r="AJ321" s="4" t="s">
        <v>140</v>
      </c>
      <c r="AK321" s="4" t="s">
        <v>34</v>
      </c>
      <c r="AL321" s="4" t="s">
        <v>272</v>
      </c>
      <c r="AM321" s="4" t="s">
        <v>36</v>
      </c>
      <c r="AN321" s="4" t="s">
        <v>45</v>
      </c>
      <c r="AO321" s="4" t="s">
        <v>38</v>
      </c>
      <c r="AP321" s="4">
        <v>42995.0</v>
      </c>
      <c r="AQ321" s="4">
        <v>56250.0</v>
      </c>
      <c r="AR321" s="4">
        <v>106200.0</v>
      </c>
      <c r="AS321" s="4">
        <v>49950.0</v>
      </c>
      <c r="AT321" s="4">
        <v>45.0</v>
      </c>
      <c r="AU321" s="4">
        <v>4779000.0</v>
      </c>
      <c r="AV321" s="4">
        <v>0.06</v>
      </c>
      <c r="AW321" s="4">
        <v>286740.0</v>
      </c>
      <c r="AX321" s="4">
        <v>4492260.0</v>
      </c>
      <c r="AY321" s="4">
        <v>2531250.0</v>
      </c>
      <c r="AZ321" s="4">
        <v>1961010.0</v>
      </c>
    </row>
    <row r="322" ht="15.75" customHeight="1">
      <c r="A322" s="3" t="s">
        <v>1195</v>
      </c>
      <c r="B322" s="5">
        <v>42994.0</v>
      </c>
      <c r="C322" s="6">
        <f t="shared" si="1"/>
        <v>2017</v>
      </c>
      <c r="D322" s="7" t="s">
        <v>704</v>
      </c>
      <c r="E322" s="7" t="s">
        <v>359</v>
      </c>
      <c r="F322" s="7" t="s">
        <v>50</v>
      </c>
      <c r="G322" s="5" t="s">
        <v>68</v>
      </c>
      <c r="H322" s="7" t="s">
        <v>360</v>
      </c>
      <c r="I322" s="7" t="s">
        <v>34</v>
      </c>
      <c r="J322" s="7" t="s">
        <v>365</v>
      </c>
      <c r="K322" s="7" t="s">
        <v>36</v>
      </c>
      <c r="L322" s="7" t="s">
        <v>37</v>
      </c>
      <c r="M322" s="7" t="s">
        <v>38</v>
      </c>
      <c r="N322" s="5">
        <v>42995.0</v>
      </c>
      <c r="O322" s="8">
        <v>2682450.0</v>
      </c>
      <c r="P322" s="8">
        <v>6238200.0</v>
      </c>
      <c r="Q322" s="8">
        <f t="shared" si="2"/>
        <v>3555750</v>
      </c>
      <c r="R322" s="8">
        <v>43.0</v>
      </c>
      <c r="S322" s="8">
        <f t="shared" si="3"/>
        <v>268242600</v>
      </c>
      <c r="T322" s="9">
        <v>0.07</v>
      </c>
      <c r="U322" s="8">
        <f t="shared" si="4"/>
        <v>18776982</v>
      </c>
      <c r="V322" s="8">
        <f t="shared" si="5"/>
        <v>249465618</v>
      </c>
      <c r="W322" s="10">
        <f t="shared" si="6"/>
        <v>115345350</v>
      </c>
      <c r="X322" s="10">
        <f t="shared" si="7"/>
        <v>134120268</v>
      </c>
      <c r="Y322" s="10"/>
      <c r="Z322" s="10"/>
      <c r="AA322" s="10"/>
      <c r="AB322" s="4" t="s">
        <v>1196</v>
      </c>
      <c r="AC322" s="4" t="s">
        <v>1195</v>
      </c>
      <c r="AD322" s="4">
        <v>42994.0</v>
      </c>
      <c r="AE322" s="4">
        <v>2017.0</v>
      </c>
      <c r="AF322" s="4" t="s">
        <v>704</v>
      </c>
      <c r="AG322" s="4" t="s">
        <v>359</v>
      </c>
      <c r="AH322" s="4" t="s">
        <v>50</v>
      </c>
      <c r="AI322" s="4" t="s">
        <v>68</v>
      </c>
      <c r="AJ322" s="4" t="s">
        <v>360</v>
      </c>
      <c r="AK322" s="4" t="s">
        <v>34</v>
      </c>
      <c r="AL322" s="4" t="s">
        <v>365</v>
      </c>
      <c r="AM322" s="4" t="s">
        <v>36</v>
      </c>
      <c r="AN322" s="4" t="s">
        <v>37</v>
      </c>
      <c r="AO322" s="4" t="s">
        <v>38</v>
      </c>
      <c r="AP322" s="4">
        <v>42995.0</v>
      </c>
      <c r="AQ322" s="4">
        <v>2682450.0</v>
      </c>
      <c r="AR322" s="4">
        <v>6238200.0</v>
      </c>
      <c r="AS322" s="4">
        <v>3555750.0</v>
      </c>
      <c r="AT322" s="4">
        <v>43.0</v>
      </c>
      <c r="AU322" s="4">
        <v>2.682426E8</v>
      </c>
      <c r="AV322" s="4">
        <v>0.07</v>
      </c>
      <c r="AW322" s="4">
        <v>1.8776982E7</v>
      </c>
      <c r="AX322" s="4">
        <v>2.49465618E8</v>
      </c>
      <c r="AY322" s="4">
        <v>1.1534535E8</v>
      </c>
      <c r="AZ322" s="4">
        <v>1.34120268E8</v>
      </c>
    </row>
    <row r="323" ht="15.75" customHeight="1">
      <c r="A323" s="3" t="s">
        <v>1197</v>
      </c>
      <c r="B323" s="5">
        <v>42994.0</v>
      </c>
      <c r="C323" s="6">
        <f t="shared" si="1"/>
        <v>2017</v>
      </c>
      <c r="D323" s="7" t="s">
        <v>1198</v>
      </c>
      <c r="E323" s="7" t="s">
        <v>312</v>
      </c>
      <c r="F323" s="7" t="s">
        <v>50</v>
      </c>
      <c r="G323" s="5" t="s">
        <v>91</v>
      </c>
      <c r="H323" s="7" t="s">
        <v>151</v>
      </c>
      <c r="I323" s="7" t="s">
        <v>92</v>
      </c>
      <c r="J323" s="7" t="s">
        <v>308</v>
      </c>
      <c r="K323" s="7" t="s">
        <v>61</v>
      </c>
      <c r="L323" s="7" t="s">
        <v>37</v>
      </c>
      <c r="M323" s="7" t="s">
        <v>38</v>
      </c>
      <c r="N323" s="5">
        <v>42995.0</v>
      </c>
      <c r="O323" s="8">
        <v>2347500.0</v>
      </c>
      <c r="P323" s="8">
        <v>4514550.0</v>
      </c>
      <c r="Q323" s="8">
        <f t="shared" si="2"/>
        <v>2167050</v>
      </c>
      <c r="R323" s="8">
        <v>6.0</v>
      </c>
      <c r="S323" s="8">
        <f t="shared" si="3"/>
        <v>27087300</v>
      </c>
      <c r="T323" s="9">
        <v>0.04</v>
      </c>
      <c r="U323" s="8">
        <f t="shared" si="4"/>
        <v>1083492</v>
      </c>
      <c r="V323" s="8">
        <f t="shared" si="5"/>
        <v>26003808</v>
      </c>
      <c r="W323" s="10">
        <f t="shared" si="6"/>
        <v>14085000</v>
      </c>
      <c r="X323" s="10">
        <f t="shared" si="7"/>
        <v>11918808</v>
      </c>
      <c r="Y323" s="10"/>
      <c r="Z323" s="10"/>
      <c r="AA323" s="10"/>
      <c r="AB323" s="4" t="s">
        <v>1199</v>
      </c>
      <c r="AC323" s="4" t="s">
        <v>1197</v>
      </c>
      <c r="AD323" s="4">
        <v>42994.0</v>
      </c>
      <c r="AE323" s="4">
        <v>2017.0</v>
      </c>
      <c r="AF323" s="4" t="s">
        <v>1198</v>
      </c>
      <c r="AG323" s="4" t="s">
        <v>312</v>
      </c>
      <c r="AH323" s="4" t="s">
        <v>50</v>
      </c>
      <c r="AI323" s="4" t="s">
        <v>91</v>
      </c>
      <c r="AJ323" s="4" t="s">
        <v>151</v>
      </c>
      <c r="AK323" s="4" t="s">
        <v>92</v>
      </c>
      <c r="AL323" s="4" t="s">
        <v>308</v>
      </c>
      <c r="AM323" s="4" t="s">
        <v>61</v>
      </c>
      <c r="AN323" s="4" t="s">
        <v>37</v>
      </c>
      <c r="AO323" s="4" t="s">
        <v>38</v>
      </c>
      <c r="AP323" s="4">
        <v>42995.0</v>
      </c>
      <c r="AQ323" s="4">
        <v>2347500.0</v>
      </c>
      <c r="AR323" s="4">
        <v>4514550.0</v>
      </c>
      <c r="AS323" s="4">
        <v>2167050.0</v>
      </c>
      <c r="AT323" s="4">
        <v>6.0</v>
      </c>
      <c r="AU323" s="4">
        <v>2.70873E7</v>
      </c>
      <c r="AV323" s="4">
        <v>0.04</v>
      </c>
      <c r="AW323" s="4">
        <v>1083492.0</v>
      </c>
      <c r="AX323" s="4">
        <v>2.6003808E7</v>
      </c>
      <c r="AY323" s="4">
        <v>1.4085E7</v>
      </c>
      <c r="AZ323" s="4">
        <v>1.1918808E7</v>
      </c>
    </row>
    <row r="324" ht="15.75" customHeight="1">
      <c r="A324" s="3" t="s">
        <v>1200</v>
      </c>
      <c r="B324" s="5">
        <v>42995.0</v>
      </c>
      <c r="C324" s="6">
        <f t="shared" si="1"/>
        <v>2017</v>
      </c>
      <c r="D324" s="7" t="s">
        <v>1201</v>
      </c>
      <c r="E324" s="7" t="s">
        <v>823</v>
      </c>
      <c r="F324" s="7" t="s">
        <v>50</v>
      </c>
      <c r="G324" s="5" t="s">
        <v>51</v>
      </c>
      <c r="H324" s="7" t="s">
        <v>80</v>
      </c>
      <c r="I324" s="7" t="s">
        <v>104</v>
      </c>
      <c r="J324" s="7" t="s">
        <v>322</v>
      </c>
      <c r="K324" s="7" t="s">
        <v>36</v>
      </c>
      <c r="L324" s="7" t="s">
        <v>37</v>
      </c>
      <c r="M324" s="7" t="s">
        <v>38</v>
      </c>
      <c r="N324" s="5">
        <v>42997.0</v>
      </c>
      <c r="O324" s="8">
        <v>185850.0</v>
      </c>
      <c r="P324" s="8">
        <v>299700.0</v>
      </c>
      <c r="Q324" s="8">
        <f t="shared" si="2"/>
        <v>113850</v>
      </c>
      <c r="R324" s="8">
        <v>10.0</v>
      </c>
      <c r="S324" s="8">
        <f t="shared" si="3"/>
        <v>2997000</v>
      </c>
      <c r="T324" s="9">
        <v>0.1</v>
      </c>
      <c r="U324" s="8">
        <f t="shared" si="4"/>
        <v>299700</v>
      </c>
      <c r="V324" s="8">
        <f t="shared" si="5"/>
        <v>2697300</v>
      </c>
      <c r="W324" s="10">
        <f t="shared" si="6"/>
        <v>1858500</v>
      </c>
      <c r="X324" s="10">
        <f t="shared" si="7"/>
        <v>838800</v>
      </c>
      <c r="Y324" s="10"/>
      <c r="Z324" s="10"/>
      <c r="AA324" s="10"/>
      <c r="AB324" s="4" t="s">
        <v>1202</v>
      </c>
      <c r="AC324" s="4" t="s">
        <v>1200</v>
      </c>
      <c r="AD324" s="4">
        <v>42995.0</v>
      </c>
      <c r="AE324" s="4">
        <v>2017.0</v>
      </c>
      <c r="AF324" s="4" t="s">
        <v>1201</v>
      </c>
      <c r="AG324" s="4" t="s">
        <v>823</v>
      </c>
      <c r="AH324" s="4" t="s">
        <v>50</v>
      </c>
      <c r="AI324" s="4" t="s">
        <v>51</v>
      </c>
      <c r="AJ324" s="4" t="s">
        <v>80</v>
      </c>
      <c r="AK324" s="4" t="s">
        <v>104</v>
      </c>
      <c r="AL324" s="4" t="s">
        <v>322</v>
      </c>
      <c r="AM324" s="4" t="s">
        <v>36</v>
      </c>
      <c r="AN324" s="4" t="s">
        <v>37</v>
      </c>
      <c r="AO324" s="4" t="s">
        <v>38</v>
      </c>
      <c r="AP324" s="4">
        <v>42997.0</v>
      </c>
      <c r="AQ324" s="4">
        <v>185850.0</v>
      </c>
      <c r="AR324" s="4">
        <v>299700.0</v>
      </c>
      <c r="AS324" s="4">
        <v>113850.0</v>
      </c>
      <c r="AT324" s="4">
        <v>10.0</v>
      </c>
      <c r="AU324" s="4">
        <v>2997000.0</v>
      </c>
      <c r="AV324" s="4">
        <v>0.1</v>
      </c>
      <c r="AW324" s="4">
        <v>299700.0</v>
      </c>
      <c r="AX324" s="4">
        <v>2697300.0</v>
      </c>
      <c r="AY324" s="4">
        <v>1858500.0</v>
      </c>
      <c r="AZ324" s="4">
        <v>838800.0</v>
      </c>
    </row>
    <row r="325" ht="15.75" customHeight="1">
      <c r="A325" s="3" t="s">
        <v>1203</v>
      </c>
      <c r="B325" s="5">
        <v>42997.0</v>
      </c>
      <c r="C325" s="6">
        <f t="shared" si="1"/>
        <v>2017</v>
      </c>
      <c r="D325" s="7" t="s">
        <v>1204</v>
      </c>
      <c r="E325" s="7" t="s">
        <v>1205</v>
      </c>
      <c r="F325" s="7" t="s">
        <v>50</v>
      </c>
      <c r="G325" s="5" t="s">
        <v>68</v>
      </c>
      <c r="H325" s="7" t="s">
        <v>189</v>
      </c>
      <c r="I325" s="7" t="s">
        <v>104</v>
      </c>
      <c r="J325" s="7" t="s">
        <v>484</v>
      </c>
      <c r="K325" s="7" t="s">
        <v>61</v>
      </c>
      <c r="L325" s="7" t="s">
        <v>62</v>
      </c>
      <c r="M325" s="7" t="s">
        <v>63</v>
      </c>
      <c r="N325" s="5">
        <v>42998.0</v>
      </c>
      <c r="O325" s="8">
        <v>4184850.0</v>
      </c>
      <c r="P325" s="8">
        <v>6749850.0</v>
      </c>
      <c r="Q325" s="8">
        <f t="shared" si="2"/>
        <v>2565000</v>
      </c>
      <c r="R325" s="8">
        <v>5.0</v>
      </c>
      <c r="S325" s="8">
        <f t="shared" si="3"/>
        <v>33749250</v>
      </c>
      <c r="T325" s="9">
        <v>0.01</v>
      </c>
      <c r="U325" s="8">
        <f t="shared" si="4"/>
        <v>337492.5</v>
      </c>
      <c r="V325" s="8">
        <f t="shared" si="5"/>
        <v>33411757.5</v>
      </c>
      <c r="W325" s="10">
        <f t="shared" si="6"/>
        <v>20924250</v>
      </c>
      <c r="X325" s="10">
        <f t="shared" si="7"/>
        <v>12487507.5</v>
      </c>
      <c r="Y325" s="10"/>
      <c r="Z325" s="10"/>
      <c r="AA325" s="10"/>
      <c r="AB325" s="4" t="s">
        <v>1206</v>
      </c>
      <c r="AC325" s="4" t="s">
        <v>1203</v>
      </c>
      <c r="AD325" s="4">
        <v>42997.0</v>
      </c>
      <c r="AE325" s="4">
        <v>2017.0</v>
      </c>
      <c r="AF325" s="4" t="s">
        <v>1204</v>
      </c>
      <c r="AG325" s="4" t="s">
        <v>1205</v>
      </c>
      <c r="AH325" s="4" t="s">
        <v>50</v>
      </c>
      <c r="AI325" s="4" t="s">
        <v>68</v>
      </c>
      <c r="AJ325" s="4" t="s">
        <v>189</v>
      </c>
      <c r="AK325" s="4" t="s">
        <v>104</v>
      </c>
      <c r="AL325" s="4" t="s">
        <v>484</v>
      </c>
      <c r="AM325" s="4" t="s">
        <v>61</v>
      </c>
      <c r="AN325" s="4" t="s">
        <v>62</v>
      </c>
      <c r="AO325" s="4" t="s">
        <v>63</v>
      </c>
      <c r="AP325" s="4">
        <v>42998.0</v>
      </c>
      <c r="AQ325" s="4">
        <v>4184850.0</v>
      </c>
      <c r="AR325" s="4">
        <v>6749850.0</v>
      </c>
      <c r="AS325" s="4">
        <v>2565000.0</v>
      </c>
      <c r="AT325" s="4">
        <v>5.0</v>
      </c>
      <c r="AU325" s="4">
        <v>3.374925E7</v>
      </c>
      <c r="AV325" s="4">
        <v>0.01</v>
      </c>
      <c r="AW325" s="4">
        <v>337492.5</v>
      </c>
      <c r="AX325" s="4">
        <v>3.34117575E7</v>
      </c>
      <c r="AY325" s="4">
        <v>2.092425E7</v>
      </c>
      <c r="AZ325" s="4">
        <v>1.24875075E7</v>
      </c>
    </row>
    <row r="326" ht="15.75" customHeight="1">
      <c r="A326" s="3" t="s">
        <v>1207</v>
      </c>
      <c r="B326" s="5">
        <v>42998.0</v>
      </c>
      <c r="C326" s="6">
        <f t="shared" si="1"/>
        <v>2017</v>
      </c>
      <c r="D326" s="7" t="s">
        <v>1208</v>
      </c>
      <c r="E326" s="7" t="s">
        <v>393</v>
      </c>
      <c r="F326" s="7" t="s">
        <v>31</v>
      </c>
      <c r="G326" s="5" t="s">
        <v>51</v>
      </c>
      <c r="H326" s="7" t="s">
        <v>43</v>
      </c>
      <c r="I326" s="7" t="s">
        <v>92</v>
      </c>
      <c r="J326" s="7" t="s">
        <v>538</v>
      </c>
      <c r="K326" s="7" t="s">
        <v>36</v>
      </c>
      <c r="L326" s="7" t="s">
        <v>37</v>
      </c>
      <c r="M326" s="7" t="s">
        <v>55</v>
      </c>
      <c r="N326" s="5">
        <v>43000.0</v>
      </c>
      <c r="O326" s="8">
        <v>33900.0</v>
      </c>
      <c r="P326" s="8">
        <v>53700.0</v>
      </c>
      <c r="Q326" s="8">
        <f t="shared" si="2"/>
        <v>19800</v>
      </c>
      <c r="R326" s="8">
        <v>44.0</v>
      </c>
      <c r="S326" s="8">
        <f t="shared" si="3"/>
        <v>2362800</v>
      </c>
      <c r="T326" s="9">
        <v>0.06</v>
      </c>
      <c r="U326" s="8">
        <f t="shared" si="4"/>
        <v>141768</v>
      </c>
      <c r="V326" s="8">
        <f t="shared" si="5"/>
        <v>2221032</v>
      </c>
      <c r="W326" s="10">
        <f t="shared" si="6"/>
        <v>1491600</v>
      </c>
      <c r="X326" s="10">
        <f t="shared" si="7"/>
        <v>729432</v>
      </c>
      <c r="Y326" s="10"/>
      <c r="Z326" s="10"/>
      <c r="AA326" s="10"/>
      <c r="AB326" s="4" t="s">
        <v>1209</v>
      </c>
      <c r="AC326" s="4" t="s">
        <v>1207</v>
      </c>
      <c r="AD326" s="4">
        <v>42998.0</v>
      </c>
      <c r="AE326" s="4">
        <v>2017.0</v>
      </c>
      <c r="AF326" s="4" t="s">
        <v>1208</v>
      </c>
      <c r="AG326" s="4" t="s">
        <v>393</v>
      </c>
      <c r="AH326" s="4" t="s">
        <v>31</v>
      </c>
      <c r="AI326" s="4" t="s">
        <v>51</v>
      </c>
      <c r="AJ326" s="4" t="s">
        <v>43</v>
      </c>
      <c r="AK326" s="4" t="s">
        <v>92</v>
      </c>
      <c r="AL326" s="4" t="s">
        <v>538</v>
      </c>
      <c r="AM326" s="4" t="s">
        <v>36</v>
      </c>
      <c r="AN326" s="4" t="s">
        <v>37</v>
      </c>
      <c r="AO326" s="4" t="s">
        <v>55</v>
      </c>
      <c r="AP326" s="4">
        <v>43000.0</v>
      </c>
      <c r="AQ326" s="4">
        <v>33900.0</v>
      </c>
      <c r="AR326" s="4">
        <v>53700.0</v>
      </c>
      <c r="AS326" s="4">
        <v>19800.0</v>
      </c>
      <c r="AT326" s="4">
        <v>44.0</v>
      </c>
      <c r="AU326" s="4">
        <v>2362800.0</v>
      </c>
      <c r="AV326" s="4">
        <v>0.06</v>
      </c>
      <c r="AW326" s="4">
        <v>141768.0</v>
      </c>
      <c r="AX326" s="4">
        <v>2221032.0</v>
      </c>
      <c r="AY326" s="4">
        <v>1491600.0</v>
      </c>
      <c r="AZ326" s="4">
        <v>729432.0</v>
      </c>
    </row>
    <row r="327" ht="15.75" customHeight="1">
      <c r="A327" s="3" t="s">
        <v>1210</v>
      </c>
      <c r="B327" s="5">
        <v>42999.0</v>
      </c>
      <c r="C327" s="6">
        <f t="shared" si="1"/>
        <v>2017</v>
      </c>
      <c r="D327" s="7" t="s">
        <v>321</v>
      </c>
      <c r="E327" s="7" t="s">
        <v>124</v>
      </c>
      <c r="F327" s="7" t="s">
        <v>289</v>
      </c>
      <c r="G327" s="5" t="s">
        <v>91</v>
      </c>
      <c r="H327" s="7" t="s">
        <v>200</v>
      </c>
      <c r="I327" s="7" t="s">
        <v>34</v>
      </c>
      <c r="J327" s="7" t="s">
        <v>824</v>
      </c>
      <c r="K327" s="7" t="s">
        <v>278</v>
      </c>
      <c r="L327" s="7" t="s">
        <v>127</v>
      </c>
      <c r="M327" s="7" t="s">
        <v>38</v>
      </c>
      <c r="N327" s="5">
        <v>42999.0</v>
      </c>
      <c r="O327" s="8">
        <v>170700.0</v>
      </c>
      <c r="P327" s="8">
        <v>279750.0</v>
      </c>
      <c r="Q327" s="8">
        <f t="shared" si="2"/>
        <v>109050</v>
      </c>
      <c r="R327" s="8">
        <v>18.0</v>
      </c>
      <c r="S327" s="8">
        <f t="shared" si="3"/>
        <v>5035500</v>
      </c>
      <c r="T327" s="9">
        <v>0.1</v>
      </c>
      <c r="U327" s="8">
        <f t="shared" si="4"/>
        <v>503550</v>
      </c>
      <c r="V327" s="8">
        <f t="shared" si="5"/>
        <v>4531950</v>
      </c>
      <c r="W327" s="10">
        <f t="shared" si="6"/>
        <v>3072600</v>
      </c>
      <c r="X327" s="10">
        <f t="shared" si="7"/>
        <v>1459350</v>
      </c>
      <c r="Y327" s="10"/>
      <c r="Z327" s="10"/>
      <c r="AA327" s="10"/>
      <c r="AB327" s="4" t="s">
        <v>1211</v>
      </c>
      <c r="AC327" s="4" t="s">
        <v>1210</v>
      </c>
      <c r="AD327" s="4">
        <v>42999.0</v>
      </c>
      <c r="AE327" s="4">
        <v>2017.0</v>
      </c>
      <c r="AF327" s="4" t="s">
        <v>321</v>
      </c>
      <c r="AG327" s="4" t="s">
        <v>124</v>
      </c>
      <c r="AH327" s="4" t="s">
        <v>289</v>
      </c>
      <c r="AI327" s="4" t="s">
        <v>91</v>
      </c>
      <c r="AJ327" s="4" t="s">
        <v>200</v>
      </c>
      <c r="AK327" s="4" t="s">
        <v>34</v>
      </c>
      <c r="AL327" s="4" t="s">
        <v>824</v>
      </c>
      <c r="AM327" s="4" t="s">
        <v>278</v>
      </c>
      <c r="AN327" s="4" t="s">
        <v>127</v>
      </c>
      <c r="AO327" s="4" t="s">
        <v>38</v>
      </c>
      <c r="AP327" s="4">
        <v>42999.0</v>
      </c>
      <c r="AQ327" s="4">
        <v>170700.0</v>
      </c>
      <c r="AR327" s="4">
        <v>279750.0</v>
      </c>
      <c r="AS327" s="4">
        <v>109050.0</v>
      </c>
      <c r="AT327" s="4">
        <v>18.0</v>
      </c>
      <c r="AU327" s="4">
        <v>5035500.0</v>
      </c>
      <c r="AV327" s="4">
        <v>0.1</v>
      </c>
      <c r="AW327" s="4">
        <v>503550.0</v>
      </c>
      <c r="AX327" s="4">
        <v>4531950.0</v>
      </c>
      <c r="AY327" s="4">
        <v>3072600.0</v>
      </c>
      <c r="AZ327" s="4">
        <v>1459350.0</v>
      </c>
    </row>
    <row r="328" ht="15.75" customHeight="1">
      <c r="A328" s="3" t="s">
        <v>1212</v>
      </c>
      <c r="B328" s="5">
        <v>43003.0</v>
      </c>
      <c r="C328" s="6">
        <f t="shared" si="1"/>
        <v>2017</v>
      </c>
      <c r="D328" s="7" t="s">
        <v>1213</v>
      </c>
      <c r="E328" s="7" t="s">
        <v>466</v>
      </c>
      <c r="F328" s="7" t="s">
        <v>50</v>
      </c>
      <c r="G328" s="5" t="s">
        <v>51</v>
      </c>
      <c r="H328" s="7" t="s">
        <v>110</v>
      </c>
      <c r="I328" s="7" t="s">
        <v>74</v>
      </c>
      <c r="J328" s="7" t="s">
        <v>373</v>
      </c>
      <c r="K328" s="7" t="s">
        <v>36</v>
      </c>
      <c r="L328" s="7" t="s">
        <v>37</v>
      </c>
      <c r="M328" s="7" t="s">
        <v>55</v>
      </c>
      <c r="N328" s="5">
        <v>43012.0</v>
      </c>
      <c r="O328" s="8">
        <v>297450.0</v>
      </c>
      <c r="P328" s="8">
        <v>464700.0</v>
      </c>
      <c r="Q328" s="8">
        <f t="shared" si="2"/>
        <v>167250</v>
      </c>
      <c r="R328" s="8">
        <v>46.0</v>
      </c>
      <c r="S328" s="8">
        <f t="shared" si="3"/>
        <v>21376200</v>
      </c>
      <c r="T328" s="9">
        <v>0.04</v>
      </c>
      <c r="U328" s="8">
        <f t="shared" si="4"/>
        <v>855048</v>
      </c>
      <c r="V328" s="8">
        <f t="shared" si="5"/>
        <v>20521152</v>
      </c>
      <c r="W328" s="10">
        <f t="shared" si="6"/>
        <v>13682700</v>
      </c>
      <c r="X328" s="10">
        <f t="shared" si="7"/>
        <v>6838452</v>
      </c>
      <c r="Y328" s="10"/>
      <c r="Z328" s="10"/>
      <c r="AA328" s="10"/>
      <c r="AB328" s="4" t="s">
        <v>1214</v>
      </c>
      <c r="AC328" s="4" t="s">
        <v>1212</v>
      </c>
      <c r="AD328" s="4">
        <v>43003.0</v>
      </c>
      <c r="AE328" s="4">
        <v>2017.0</v>
      </c>
      <c r="AF328" s="4" t="s">
        <v>1213</v>
      </c>
      <c r="AG328" s="4" t="s">
        <v>466</v>
      </c>
      <c r="AH328" s="4" t="s">
        <v>50</v>
      </c>
      <c r="AI328" s="4" t="s">
        <v>51</v>
      </c>
      <c r="AJ328" s="4" t="s">
        <v>110</v>
      </c>
      <c r="AK328" s="4" t="s">
        <v>74</v>
      </c>
      <c r="AL328" s="4" t="s">
        <v>373</v>
      </c>
      <c r="AM328" s="4" t="s">
        <v>36</v>
      </c>
      <c r="AN328" s="4" t="s">
        <v>37</v>
      </c>
      <c r="AO328" s="4" t="s">
        <v>55</v>
      </c>
      <c r="AP328" s="4">
        <v>43012.0</v>
      </c>
      <c r="AQ328" s="4">
        <v>297450.0</v>
      </c>
      <c r="AR328" s="4">
        <v>464700.0</v>
      </c>
      <c r="AS328" s="4">
        <v>167250.0</v>
      </c>
      <c r="AT328" s="4">
        <v>46.0</v>
      </c>
      <c r="AU328" s="4">
        <v>2.13762E7</v>
      </c>
      <c r="AV328" s="4">
        <v>0.04</v>
      </c>
      <c r="AW328" s="4">
        <v>855048.0</v>
      </c>
      <c r="AX328" s="4">
        <v>2.0521152E7</v>
      </c>
      <c r="AY328" s="4">
        <v>1.36827E7</v>
      </c>
      <c r="AZ328" s="4">
        <v>6838452.0</v>
      </c>
    </row>
    <row r="329" ht="15.75" customHeight="1">
      <c r="A329" s="3" t="s">
        <v>1215</v>
      </c>
      <c r="B329" s="5">
        <v>43006.0</v>
      </c>
      <c r="C329" s="6">
        <f t="shared" si="1"/>
        <v>2017</v>
      </c>
      <c r="D329" s="7" t="s">
        <v>995</v>
      </c>
      <c r="E329" s="7" t="s">
        <v>258</v>
      </c>
      <c r="F329" s="7" t="s">
        <v>50</v>
      </c>
      <c r="G329" s="5" t="s">
        <v>32</v>
      </c>
      <c r="H329" s="7" t="s">
        <v>98</v>
      </c>
      <c r="I329" s="7" t="s">
        <v>74</v>
      </c>
      <c r="J329" s="7" t="s">
        <v>160</v>
      </c>
      <c r="K329" s="7" t="s">
        <v>36</v>
      </c>
      <c r="L329" s="7" t="s">
        <v>37</v>
      </c>
      <c r="M329" s="7" t="s">
        <v>38</v>
      </c>
      <c r="N329" s="5">
        <v>43011.0</v>
      </c>
      <c r="O329" s="8">
        <v>52800.0</v>
      </c>
      <c r="P329" s="8">
        <v>85200.0</v>
      </c>
      <c r="Q329" s="8">
        <f t="shared" si="2"/>
        <v>32400</v>
      </c>
      <c r="R329" s="8">
        <v>32.0</v>
      </c>
      <c r="S329" s="8">
        <f t="shared" si="3"/>
        <v>2726400</v>
      </c>
      <c r="T329" s="9">
        <v>0.1</v>
      </c>
      <c r="U329" s="8">
        <f t="shared" si="4"/>
        <v>272640</v>
      </c>
      <c r="V329" s="8">
        <f t="shared" si="5"/>
        <v>2453760</v>
      </c>
      <c r="W329" s="10">
        <f t="shared" si="6"/>
        <v>1689600</v>
      </c>
      <c r="X329" s="10">
        <f t="shared" si="7"/>
        <v>764160</v>
      </c>
      <c r="Y329" s="10"/>
      <c r="Z329" s="10"/>
      <c r="AA329" s="10"/>
      <c r="AB329" s="4" t="s">
        <v>1216</v>
      </c>
      <c r="AC329" s="4" t="s">
        <v>1215</v>
      </c>
      <c r="AD329" s="4">
        <v>43006.0</v>
      </c>
      <c r="AE329" s="4">
        <v>2017.0</v>
      </c>
      <c r="AF329" s="4" t="s">
        <v>995</v>
      </c>
      <c r="AG329" s="4" t="s">
        <v>258</v>
      </c>
      <c r="AH329" s="4" t="s">
        <v>50</v>
      </c>
      <c r="AI329" s="4" t="s">
        <v>32</v>
      </c>
      <c r="AJ329" s="4" t="s">
        <v>98</v>
      </c>
      <c r="AK329" s="4" t="s">
        <v>74</v>
      </c>
      <c r="AL329" s="4" t="s">
        <v>160</v>
      </c>
      <c r="AM329" s="4" t="s">
        <v>36</v>
      </c>
      <c r="AN329" s="4" t="s">
        <v>37</v>
      </c>
      <c r="AO329" s="4" t="s">
        <v>38</v>
      </c>
      <c r="AP329" s="4">
        <v>43011.0</v>
      </c>
      <c r="AQ329" s="4">
        <v>52800.0</v>
      </c>
      <c r="AR329" s="4">
        <v>85200.0</v>
      </c>
      <c r="AS329" s="4">
        <v>32400.0</v>
      </c>
      <c r="AT329" s="4">
        <v>32.0</v>
      </c>
      <c r="AU329" s="4">
        <v>2726400.0</v>
      </c>
      <c r="AV329" s="4">
        <v>0.1</v>
      </c>
      <c r="AW329" s="4">
        <v>272640.0</v>
      </c>
      <c r="AX329" s="4">
        <v>2453760.0</v>
      </c>
      <c r="AY329" s="4">
        <v>1689600.0</v>
      </c>
      <c r="AZ329" s="4">
        <v>764160.0</v>
      </c>
    </row>
    <row r="330" ht="15.75" customHeight="1">
      <c r="A330" s="3" t="s">
        <v>1217</v>
      </c>
      <c r="B330" s="5">
        <v>43007.0</v>
      </c>
      <c r="C330" s="6">
        <f t="shared" si="1"/>
        <v>2017</v>
      </c>
      <c r="D330" s="7" t="s">
        <v>155</v>
      </c>
      <c r="E330" s="7" t="s">
        <v>156</v>
      </c>
      <c r="F330" s="7" t="s">
        <v>50</v>
      </c>
      <c r="G330" s="5" t="s">
        <v>32</v>
      </c>
      <c r="H330" s="7" t="s">
        <v>110</v>
      </c>
      <c r="I330" s="7" t="s">
        <v>104</v>
      </c>
      <c r="J330" s="7" t="s">
        <v>294</v>
      </c>
      <c r="K330" s="7" t="s">
        <v>36</v>
      </c>
      <c r="L330" s="7" t="s">
        <v>37</v>
      </c>
      <c r="M330" s="7" t="s">
        <v>38</v>
      </c>
      <c r="N330" s="5">
        <v>43008.0</v>
      </c>
      <c r="O330" s="8">
        <v>17700.0</v>
      </c>
      <c r="P330" s="8">
        <v>28200.0</v>
      </c>
      <c r="Q330" s="8">
        <f t="shared" si="2"/>
        <v>10500</v>
      </c>
      <c r="R330" s="8">
        <v>19.0</v>
      </c>
      <c r="S330" s="8">
        <f t="shared" si="3"/>
        <v>535800</v>
      </c>
      <c r="T330" s="9">
        <v>0.07</v>
      </c>
      <c r="U330" s="8">
        <f t="shared" si="4"/>
        <v>37506</v>
      </c>
      <c r="V330" s="8">
        <f t="shared" si="5"/>
        <v>498294</v>
      </c>
      <c r="W330" s="10">
        <f t="shared" si="6"/>
        <v>336300</v>
      </c>
      <c r="X330" s="10">
        <f t="shared" si="7"/>
        <v>161994</v>
      </c>
      <c r="Y330" s="10"/>
      <c r="Z330" s="10"/>
      <c r="AA330" s="10"/>
      <c r="AB330" s="4" t="s">
        <v>1218</v>
      </c>
      <c r="AC330" s="4" t="s">
        <v>1217</v>
      </c>
      <c r="AD330" s="4">
        <v>43007.0</v>
      </c>
      <c r="AE330" s="4">
        <v>2017.0</v>
      </c>
      <c r="AF330" s="4" t="s">
        <v>155</v>
      </c>
      <c r="AG330" s="4" t="s">
        <v>156</v>
      </c>
      <c r="AH330" s="4" t="s">
        <v>50</v>
      </c>
      <c r="AI330" s="4" t="s">
        <v>32</v>
      </c>
      <c r="AJ330" s="4" t="s">
        <v>110</v>
      </c>
      <c r="AK330" s="4" t="s">
        <v>104</v>
      </c>
      <c r="AL330" s="4" t="s">
        <v>294</v>
      </c>
      <c r="AM330" s="4" t="s">
        <v>36</v>
      </c>
      <c r="AN330" s="4" t="s">
        <v>37</v>
      </c>
      <c r="AO330" s="4" t="s">
        <v>38</v>
      </c>
      <c r="AP330" s="4">
        <v>43008.0</v>
      </c>
      <c r="AQ330" s="4">
        <v>17700.0</v>
      </c>
      <c r="AR330" s="4">
        <v>28200.0</v>
      </c>
      <c r="AS330" s="4">
        <v>10500.0</v>
      </c>
      <c r="AT330" s="4">
        <v>19.0</v>
      </c>
      <c r="AU330" s="4">
        <v>535800.0</v>
      </c>
      <c r="AV330" s="4">
        <v>0.07</v>
      </c>
      <c r="AW330" s="4">
        <v>37506.0</v>
      </c>
      <c r="AX330" s="4">
        <v>498294.0</v>
      </c>
      <c r="AY330" s="4">
        <v>336300.0</v>
      </c>
      <c r="AZ330" s="4">
        <v>161994.0</v>
      </c>
    </row>
    <row r="331" ht="15.75" customHeight="1">
      <c r="A331" s="3" t="s">
        <v>1219</v>
      </c>
      <c r="B331" s="5">
        <v>43008.0</v>
      </c>
      <c r="C331" s="6">
        <f t="shared" si="1"/>
        <v>2017</v>
      </c>
      <c r="D331" s="7" t="s">
        <v>1220</v>
      </c>
      <c r="E331" s="7" t="s">
        <v>1221</v>
      </c>
      <c r="F331" s="7" t="s">
        <v>289</v>
      </c>
      <c r="G331" s="5" t="s">
        <v>51</v>
      </c>
      <c r="H331" s="7" t="s">
        <v>80</v>
      </c>
      <c r="I331" s="7" t="s">
        <v>34</v>
      </c>
      <c r="J331" s="7" t="s">
        <v>54</v>
      </c>
      <c r="K331" s="7" t="s">
        <v>36</v>
      </c>
      <c r="L331" s="7" t="s">
        <v>45</v>
      </c>
      <c r="M331" s="7" t="s">
        <v>38</v>
      </c>
      <c r="N331" s="5">
        <v>43008.0</v>
      </c>
      <c r="O331" s="8">
        <v>36150.0</v>
      </c>
      <c r="P331" s="8">
        <v>55650.0</v>
      </c>
      <c r="Q331" s="8">
        <f t="shared" si="2"/>
        <v>19500</v>
      </c>
      <c r="R331" s="8">
        <v>39.0</v>
      </c>
      <c r="S331" s="8">
        <f t="shared" si="3"/>
        <v>2170350</v>
      </c>
      <c r="T331" s="9">
        <v>0.06</v>
      </c>
      <c r="U331" s="8">
        <f t="shared" si="4"/>
        <v>130221</v>
      </c>
      <c r="V331" s="8">
        <f t="shared" si="5"/>
        <v>2040129</v>
      </c>
      <c r="W331" s="10">
        <f t="shared" si="6"/>
        <v>1409850</v>
      </c>
      <c r="X331" s="10">
        <f t="shared" si="7"/>
        <v>630279</v>
      </c>
      <c r="Y331" s="10"/>
      <c r="Z331" s="10"/>
      <c r="AA331" s="10"/>
      <c r="AB331" s="4" t="s">
        <v>1222</v>
      </c>
      <c r="AC331" s="4" t="s">
        <v>1219</v>
      </c>
      <c r="AD331" s="4">
        <v>43008.0</v>
      </c>
      <c r="AE331" s="4">
        <v>2017.0</v>
      </c>
      <c r="AF331" s="4" t="s">
        <v>1220</v>
      </c>
      <c r="AG331" s="4" t="s">
        <v>1221</v>
      </c>
      <c r="AH331" s="4" t="s">
        <v>289</v>
      </c>
      <c r="AI331" s="4" t="s">
        <v>51</v>
      </c>
      <c r="AJ331" s="4" t="s">
        <v>80</v>
      </c>
      <c r="AK331" s="4" t="s">
        <v>34</v>
      </c>
      <c r="AL331" s="4" t="s">
        <v>54</v>
      </c>
      <c r="AM331" s="4" t="s">
        <v>36</v>
      </c>
      <c r="AN331" s="4" t="s">
        <v>45</v>
      </c>
      <c r="AO331" s="4" t="s">
        <v>38</v>
      </c>
      <c r="AP331" s="4">
        <v>43008.0</v>
      </c>
      <c r="AQ331" s="4">
        <v>36150.0</v>
      </c>
      <c r="AR331" s="4">
        <v>55650.0</v>
      </c>
      <c r="AS331" s="4">
        <v>19500.0</v>
      </c>
      <c r="AT331" s="4">
        <v>39.0</v>
      </c>
      <c r="AU331" s="4">
        <v>2170350.0</v>
      </c>
      <c r="AV331" s="4">
        <v>0.06</v>
      </c>
      <c r="AW331" s="4">
        <v>130221.0</v>
      </c>
      <c r="AX331" s="4">
        <v>2040129.0</v>
      </c>
      <c r="AY331" s="4">
        <v>1409850.0</v>
      </c>
      <c r="AZ331" s="4">
        <v>630279.0</v>
      </c>
    </row>
    <row r="332" ht="15.75" customHeight="1">
      <c r="A332" s="3" t="s">
        <v>1223</v>
      </c>
      <c r="B332" s="5">
        <v>43008.0</v>
      </c>
      <c r="C332" s="6">
        <f t="shared" si="1"/>
        <v>2017</v>
      </c>
      <c r="D332" s="7" t="s">
        <v>89</v>
      </c>
      <c r="E332" s="7" t="s">
        <v>90</v>
      </c>
      <c r="F332" s="7" t="s">
        <v>50</v>
      </c>
      <c r="G332" s="5" t="s">
        <v>91</v>
      </c>
      <c r="H332" s="7" t="s">
        <v>52</v>
      </c>
      <c r="I332" s="7" t="s">
        <v>53</v>
      </c>
      <c r="J332" s="7" t="s">
        <v>1224</v>
      </c>
      <c r="K332" s="7" t="s">
        <v>36</v>
      </c>
      <c r="L332" s="7" t="s">
        <v>45</v>
      </c>
      <c r="M332" s="7" t="s">
        <v>38</v>
      </c>
      <c r="N332" s="5">
        <v>43008.0</v>
      </c>
      <c r="O332" s="8">
        <v>28200.0</v>
      </c>
      <c r="P332" s="8">
        <v>47100.0</v>
      </c>
      <c r="Q332" s="8">
        <f t="shared" si="2"/>
        <v>18900</v>
      </c>
      <c r="R332" s="8">
        <v>32.0</v>
      </c>
      <c r="S332" s="8">
        <f t="shared" si="3"/>
        <v>1507200</v>
      </c>
      <c r="T332" s="9">
        <v>0.03</v>
      </c>
      <c r="U332" s="8">
        <f t="shared" si="4"/>
        <v>45216</v>
      </c>
      <c r="V332" s="8">
        <f t="shared" si="5"/>
        <v>1461984</v>
      </c>
      <c r="W332" s="10">
        <f t="shared" si="6"/>
        <v>902400</v>
      </c>
      <c r="X332" s="10">
        <f t="shared" si="7"/>
        <v>559584</v>
      </c>
      <c r="Y332" s="10"/>
      <c r="Z332" s="10"/>
      <c r="AA332" s="10"/>
      <c r="AB332" s="4" t="s">
        <v>1225</v>
      </c>
      <c r="AC332" s="4" t="s">
        <v>1223</v>
      </c>
      <c r="AD332" s="4">
        <v>43008.0</v>
      </c>
      <c r="AE332" s="4">
        <v>2017.0</v>
      </c>
      <c r="AF332" s="4" t="s">
        <v>89</v>
      </c>
      <c r="AG332" s="4" t="s">
        <v>90</v>
      </c>
      <c r="AH332" s="4" t="s">
        <v>50</v>
      </c>
      <c r="AI332" s="4" t="s">
        <v>91</v>
      </c>
      <c r="AJ332" s="4" t="s">
        <v>52</v>
      </c>
      <c r="AK332" s="4" t="s">
        <v>53</v>
      </c>
      <c r="AL332" s="4" t="s">
        <v>1224</v>
      </c>
      <c r="AM332" s="4" t="s">
        <v>36</v>
      </c>
      <c r="AN332" s="4" t="s">
        <v>45</v>
      </c>
      <c r="AO332" s="4" t="s">
        <v>38</v>
      </c>
      <c r="AP332" s="4">
        <v>43008.0</v>
      </c>
      <c r="AQ332" s="4">
        <v>28200.0</v>
      </c>
      <c r="AR332" s="4">
        <v>47100.0</v>
      </c>
      <c r="AS332" s="4">
        <v>18900.0</v>
      </c>
      <c r="AT332" s="4">
        <v>32.0</v>
      </c>
      <c r="AU332" s="4">
        <v>1507200.0</v>
      </c>
      <c r="AV332" s="4">
        <v>0.03</v>
      </c>
      <c r="AW332" s="4">
        <v>45216.0</v>
      </c>
      <c r="AX332" s="4">
        <v>1461984.0</v>
      </c>
      <c r="AY332" s="4">
        <v>902400.0</v>
      </c>
      <c r="AZ332" s="4">
        <v>559584.0</v>
      </c>
    </row>
    <row r="333" ht="15.75" customHeight="1">
      <c r="A333" s="3" t="s">
        <v>1226</v>
      </c>
      <c r="B333" s="5">
        <v>43009.0</v>
      </c>
      <c r="C333" s="6">
        <f t="shared" si="1"/>
        <v>2017</v>
      </c>
      <c r="D333" s="7" t="s">
        <v>1227</v>
      </c>
      <c r="E333" s="7" t="s">
        <v>188</v>
      </c>
      <c r="F333" s="7" t="s">
        <v>31</v>
      </c>
      <c r="G333" s="5" t="s">
        <v>68</v>
      </c>
      <c r="H333" s="7" t="s">
        <v>43</v>
      </c>
      <c r="I333" s="7" t="s">
        <v>104</v>
      </c>
      <c r="J333" s="7" t="s">
        <v>259</v>
      </c>
      <c r="K333" s="7" t="s">
        <v>36</v>
      </c>
      <c r="L333" s="7" t="s">
        <v>45</v>
      </c>
      <c r="M333" s="7" t="s">
        <v>38</v>
      </c>
      <c r="N333" s="5">
        <v>43011.0</v>
      </c>
      <c r="O333" s="8">
        <v>323400.0</v>
      </c>
      <c r="P333" s="8">
        <v>548250.0</v>
      </c>
      <c r="Q333" s="8">
        <f t="shared" si="2"/>
        <v>224850</v>
      </c>
      <c r="R333" s="8">
        <v>48.0</v>
      </c>
      <c r="S333" s="8">
        <f t="shared" si="3"/>
        <v>26316000</v>
      </c>
      <c r="T333" s="9">
        <v>0.07</v>
      </c>
      <c r="U333" s="8">
        <f t="shared" si="4"/>
        <v>1842120</v>
      </c>
      <c r="V333" s="8">
        <f t="shared" si="5"/>
        <v>24473880</v>
      </c>
      <c r="W333" s="10">
        <f t="shared" si="6"/>
        <v>15523200</v>
      </c>
      <c r="X333" s="10">
        <f t="shared" si="7"/>
        <v>8950680</v>
      </c>
      <c r="Y333" s="10"/>
      <c r="Z333" s="10"/>
      <c r="AA333" s="10"/>
      <c r="AB333" s="4" t="s">
        <v>1228</v>
      </c>
      <c r="AC333" s="4" t="s">
        <v>1226</v>
      </c>
      <c r="AD333" s="4">
        <v>43009.0</v>
      </c>
      <c r="AE333" s="4">
        <v>2017.0</v>
      </c>
      <c r="AF333" s="4" t="s">
        <v>1227</v>
      </c>
      <c r="AG333" s="4" t="s">
        <v>188</v>
      </c>
      <c r="AH333" s="4" t="s">
        <v>31</v>
      </c>
      <c r="AI333" s="4" t="s">
        <v>68</v>
      </c>
      <c r="AJ333" s="4" t="s">
        <v>43</v>
      </c>
      <c r="AK333" s="4" t="s">
        <v>104</v>
      </c>
      <c r="AL333" s="4" t="s">
        <v>259</v>
      </c>
      <c r="AM333" s="4" t="s">
        <v>36</v>
      </c>
      <c r="AN333" s="4" t="s">
        <v>45</v>
      </c>
      <c r="AO333" s="4" t="s">
        <v>38</v>
      </c>
      <c r="AP333" s="4">
        <v>43011.0</v>
      </c>
      <c r="AQ333" s="4">
        <v>323400.0</v>
      </c>
      <c r="AR333" s="4">
        <v>548250.0</v>
      </c>
      <c r="AS333" s="4">
        <v>224850.0</v>
      </c>
      <c r="AT333" s="4">
        <v>48.0</v>
      </c>
      <c r="AU333" s="4">
        <v>2.6316E7</v>
      </c>
      <c r="AV333" s="4">
        <v>0.07</v>
      </c>
      <c r="AW333" s="4">
        <v>1842120.0</v>
      </c>
      <c r="AX333" s="4">
        <v>2.447388E7</v>
      </c>
      <c r="AY333" s="4">
        <v>1.55232E7</v>
      </c>
      <c r="AZ333" s="4">
        <v>8950680.0</v>
      </c>
    </row>
    <row r="334" ht="15.75" customHeight="1">
      <c r="A334" s="3" t="s">
        <v>1229</v>
      </c>
      <c r="B334" s="5">
        <v>43009.0</v>
      </c>
      <c r="C334" s="6">
        <f t="shared" si="1"/>
        <v>2017</v>
      </c>
      <c r="D334" s="7" t="s">
        <v>1230</v>
      </c>
      <c r="E334" s="7" t="s">
        <v>199</v>
      </c>
      <c r="F334" s="7" t="s">
        <v>50</v>
      </c>
      <c r="G334" s="5" t="s">
        <v>68</v>
      </c>
      <c r="H334" s="7" t="s">
        <v>200</v>
      </c>
      <c r="I334" s="7" t="s">
        <v>92</v>
      </c>
      <c r="J334" s="7" t="s">
        <v>339</v>
      </c>
      <c r="K334" s="7" t="s">
        <v>61</v>
      </c>
      <c r="L334" s="7" t="s">
        <v>127</v>
      </c>
      <c r="M334" s="7" t="s">
        <v>38</v>
      </c>
      <c r="N334" s="5">
        <v>43011.0</v>
      </c>
      <c r="O334" s="8">
        <v>302700.0</v>
      </c>
      <c r="P334" s="8">
        <v>531150.0</v>
      </c>
      <c r="Q334" s="8">
        <f t="shared" si="2"/>
        <v>228450</v>
      </c>
      <c r="R334" s="8">
        <v>21.0</v>
      </c>
      <c r="S334" s="8">
        <f t="shared" si="3"/>
        <v>11154150</v>
      </c>
      <c r="T334" s="9">
        <v>0.01</v>
      </c>
      <c r="U334" s="8">
        <f t="shared" si="4"/>
        <v>111541.5</v>
      </c>
      <c r="V334" s="8">
        <f t="shared" si="5"/>
        <v>11042608.5</v>
      </c>
      <c r="W334" s="10">
        <f t="shared" si="6"/>
        <v>6356700</v>
      </c>
      <c r="X334" s="10">
        <f t="shared" si="7"/>
        <v>4685908.5</v>
      </c>
      <c r="Y334" s="10"/>
      <c r="Z334" s="10"/>
      <c r="AA334" s="10"/>
      <c r="AB334" s="4" t="s">
        <v>1231</v>
      </c>
      <c r="AC334" s="4" t="s">
        <v>1229</v>
      </c>
      <c r="AD334" s="4">
        <v>43009.0</v>
      </c>
      <c r="AE334" s="4">
        <v>2017.0</v>
      </c>
      <c r="AF334" s="4" t="s">
        <v>1230</v>
      </c>
      <c r="AG334" s="4" t="s">
        <v>199</v>
      </c>
      <c r="AH334" s="4" t="s">
        <v>50</v>
      </c>
      <c r="AI334" s="4" t="s">
        <v>68</v>
      </c>
      <c r="AJ334" s="4" t="s">
        <v>200</v>
      </c>
      <c r="AK334" s="4" t="s">
        <v>92</v>
      </c>
      <c r="AL334" s="4" t="s">
        <v>339</v>
      </c>
      <c r="AM334" s="4" t="s">
        <v>61</v>
      </c>
      <c r="AN334" s="4" t="s">
        <v>127</v>
      </c>
      <c r="AO334" s="4" t="s">
        <v>38</v>
      </c>
      <c r="AP334" s="4">
        <v>43011.0</v>
      </c>
      <c r="AQ334" s="4">
        <v>302700.0</v>
      </c>
      <c r="AR334" s="4">
        <v>531150.0</v>
      </c>
      <c r="AS334" s="4">
        <v>228450.0</v>
      </c>
      <c r="AT334" s="4">
        <v>21.0</v>
      </c>
      <c r="AU334" s="4">
        <v>1.115415E7</v>
      </c>
      <c r="AV334" s="4">
        <v>0.01</v>
      </c>
      <c r="AW334" s="4">
        <v>111541.5</v>
      </c>
      <c r="AX334" s="4">
        <v>1.10426085E7</v>
      </c>
      <c r="AY334" s="4">
        <v>6356700.0</v>
      </c>
      <c r="AZ334" s="4">
        <v>4685908.5</v>
      </c>
    </row>
    <row r="335" ht="15.75" customHeight="1">
      <c r="A335" s="3" t="s">
        <v>1232</v>
      </c>
      <c r="B335" s="5">
        <v>43009.0</v>
      </c>
      <c r="C335" s="6">
        <f t="shared" si="1"/>
        <v>2017</v>
      </c>
      <c r="D335" s="7" t="s">
        <v>598</v>
      </c>
      <c r="E335" s="7" t="s">
        <v>156</v>
      </c>
      <c r="F335" s="7" t="s">
        <v>50</v>
      </c>
      <c r="G335" s="5" t="s">
        <v>32</v>
      </c>
      <c r="H335" s="7" t="s">
        <v>110</v>
      </c>
      <c r="I335" s="7" t="s">
        <v>34</v>
      </c>
      <c r="J335" s="7" t="s">
        <v>81</v>
      </c>
      <c r="K335" s="7" t="s">
        <v>36</v>
      </c>
      <c r="L335" s="7" t="s">
        <v>37</v>
      </c>
      <c r="M335" s="7" t="s">
        <v>38</v>
      </c>
      <c r="N335" s="5">
        <v>43011.0</v>
      </c>
      <c r="O335" s="8">
        <v>1490850.0</v>
      </c>
      <c r="P335" s="8">
        <v>2443950.0</v>
      </c>
      <c r="Q335" s="8">
        <f t="shared" si="2"/>
        <v>953100</v>
      </c>
      <c r="R335" s="8">
        <v>16.0</v>
      </c>
      <c r="S335" s="8">
        <f t="shared" si="3"/>
        <v>39103200</v>
      </c>
      <c r="T335" s="9">
        <v>0.1</v>
      </c>
      <c r="U335" s="8">
        <f t="shared" si="4"/>
        <v>3910320</v>
      </c>
      <c r="V335" s="8">
        <f t="shared" si="5"/>
        <v>35192880</v>
      </c>
      <c r="W335" s="10">
        <f t="shared" si="6"/>
        <v>23853600</v>
      </c>
      <c r="X335" s="10">
        <f t="shared" si="7"/>
        <v>11339280</v>
      </c>
      <c r="Y335" s="10"/>
      <c r="Z335" s="10"/>
      <c r="AA335" s="10"/>
      <c r="AB335" s="4" t="s">
        <v>1233</v>
      </c>
      <c r="AC335" s="4" t="s">
        <v>1232</v>
      </c>
      <c r="AD335" s="4">
        <v>43009.0</v>
      </c>
      <c r="AE335" s="4">
        <v>2017.0</v>
      </c>
      <c r="AF335" s="4" t="s">
        <v>598</v>
      </c>
      <c r="AG335" s="4" t="s">
        <v>156</v>
      </c>
      <c r="AH335" s="4" t="s">
        <v>50</v>
      </c>
      <c r="AI335" s="4" t="s">
        <v>32</v>
      </c>
      <c r="AJ335" s="4" t="s">
        <v>110</v>
      </c>
      <c r="AK335" s="4" t="s">
        <v>34</v>
      </c>
      <c r="AL335" s="4" t="s">
        <v>81</v>
      </c>
      <c r="AM335" s="4" t="s">
        <v>36</v>
      </c>
      <c r="AN335" s="4" t="s">
        <v>37</v>
      </c>
      <c r="AO335" s="4" t="s">
        <v>38</v>
      </c>
      <c r="AP335" s="4">
        <v>43011.0</v>
      </c>
      <c r="AQ335" s="4">
        <v>1490850.0</v>
      </c>
      <c r="AR335" s="4">
        <v>2443950.0</v>
      </c>
      <c r="AS335" s="4">
        <v>953100.0</v>
      </c>
      <c r="AT335" s="4">
        <v>16.0</v>
      </c>
      <c r="AU335" s="4">
        <v>3.91032E7</v>
      </c>
      <c r="AV335" s="4">
        <v>0.1</v>
      </c>
      <c r="AW335" s="4">
        <v>3910320.0</v>
      </c>
      <c r="AX335" s="4">
        <v>3.519288E7</v>
      </c>
      <c r="AY335" s="4">
        <v>2.38536E7</v>
      </c>
      <c r="AZ335" s="4">
        <v>1.133928E7</v>
      </c>
    </row>
    <row r="336" ht="15.75" customHeight="1">
      <c r="A336" s="3" t="s">
        <v>1234</v>
      </c>
      <c r="B336" s="5">
        <v>43012.0</v>
      </c>
      <c r="C336" s="6">
        <f t="shared" si="1"/>
        <v>2017</v>
      </c>
      <c r="D336" s="7" t="s">
        <v>1235</v>
      </c>
      <c r="E336" s="7" t="s">
        <v>1128</v>
      </c>
      <c r="F336" s="7" t="s">
        <v>50</v>
      </c>
      <c r="G336" s="5" t="s">
        <v>51</v>
      </c>
      <c r="H336" s="7" t="s">
        <v>189</v>
      </c>
      <c r="I336" s="7" t="s">
        <v>92</v>
      </c>
      <c r="J336" s="7" t="s">
        <v>584</v>
      </c>
      <c r="K336" s="7" t="s">
        <v>278</v>
      </c>
      <c r="L336" s="7" t="s">
        <v>555</v>
      </c>
      <c r="M336" s="7" t="s">
        <v>55</v>
      </c>
      <c r="N336" s="5">
        <v>43014.0</v>
      </c>
      <c r="O336" s="8">
        <v>842400.0</v>
      </c>
      <c r="P336" s="8">
        <v>2054699.9999999998</v>
      </c>
      <c r="Q336" s="8">
        <f t="shared" si="2"/>
        <v>1212300</v>
      </c>
      <c r="R336" s="8">
        <v>17.0</v>
      </c>
      <c r="S336" s="8">
        <f t="shared" si="3"/>
        <v>34929900</v>
      </c>
      <c r="T336" s="9">
        <v>0.0</v>
      </c>
      <c r="U336" s="8">
        <f t="shared" si="4"/>
        <v>0</v>
      </c>
      <c r="V336" s="8">
        <f t="shared" si="5"/>
        <v>34929900</v>
      </c>
      <c r="W336" s="10">
        <f t="shared" si="6"/>
        <v>14320800</v>
      </c>
      <c r="X336" s="10">
        <f t="shared" si="7"/>
        <v>20609100</v>
      </c>
      <c r="Y336" s="10"/>
      <c r="Z336" s="10"/>
      <c r="AA336" s="10"/>
      <c r="AB336" s="4" t="s">
        <v>1236</v>
      </c>
      <c r="AC336" s="4" t="s">
        <v>1234</v>
      </c>
      <c r="AD336" s="4">
        <v>43012.0</v>
      </c>
      <c r="AE336" s="4">
        <v>2017.0</v>
      </c>
      <c r="AF336" s="4" t="s">
        <v>1235</v>
      </c>
      <c r="AG336" s="4" t="s">
        <v>1128</v>
      </c>
      <c r="AH336" s="4" t="s">
        <v>50</v>
      </c>
      <c r="AI336" s="4" t="s">
        <v>51</v>
      </c>
      <c r="AJ336" s="4" t="s">
        <v>189</v>
      </c>
      <c r="AK336" s="4" t="s">
        <v>92</v>
      </c>
      <c r="AL336" s="4" t="s">
        <v>584</v>
      </c>
      <c r="AM336" s="4" t="s">
        <v>278</v>
      </c>
      <c r="AN336" s="4" t="s">
        <v>555</v>
      </c>
      <c r="AO336" s="4" t="s">
        <v>55</v>
      </c>
      <c r="AP336" s="4">
        <v>43014.0</v>
      </c>
      <c r="AQ336" s="4">
        <v>842400.0</v>
      </c>
      <c r="AR336" s="4">
        <v>2054700.0</v>
      </c>
      <c r="AS336" s="4">
        <v>1212300.0</v>
      </c>
      <c r="AT336" s="4">
        <v>17.0</v>
      </c>
      <c r="AU336" s="4">
        <v>3.49299E7</v>
      </c>
      <c r="AV336" s="4">
        <v>0.0</v>
      </c>
      <c r="AW336" s="4">
        <v>0.0</v>
      </c>
      <c r="AX336" s="4">
        <v>3.49299E7</v>
      </c>
      <c r="AY336" s="4">
        <v>1.43208E7</v>
      </c>
      <c r="AZ336" s="4">
        <v>2.06091E7</v>
      </c>
    </row>
    <row r="337" ht="15.75" customHeight="1">
      <c r="A337" s="3" t="s">
        <v>1237</v>
      </c>
      <c r="B337" s="5">
        <v>43012.0</v>
      </c>
      <c r="C337" s="6">
        <f t="shared" si="1"/>
        <v>2017</v>
      </c>
      <c r="D337" s="7" t="s">
        <v>1238</v>
      </c>
      <c r="E337" s="7" t="s">
        <v>1239</v>
      </c>
      <c r="F337" s="7" t="s">
        <v>31</v>
      </c>
      <c r="G337" s="5" t="s">
        <v>68</v>
      </c>
      <c r="H337" s="7" t="s">
        <v>43</v>
      </c>
      <c r="I337" s="7" t="s">
        <v>104</v>
      </c>
      <c r="J337" s="7" t="s">
        <v>878</v>
      </c>
      <c r="K337" s="7" t="s">
        <v>36</v>
      </c>
      <c r="L337" s="7" t="s">
        <v>37</v>
      </c>
      <c r="M337" s="7" t="s">
        <v>55</v>
      </c>
      <c r="N337" s="5">
        <v>43014.0</v>
      </c>
      <c r="O337" s="8">
        <v>47100.0</v>
      </c>
      <c r="P337" s="8">
        <v>73650.0</v>
      </c>
      <c r="Q337" s="8">
        <f t="shared" si="2"/>
        <v>26550</v>
      </c>
      <c r="R337" s="8">
        <v>24.0</v>
      </c>
      <c r="S337" s="8">
        <f t="shared" si="3"/>
        <v>1767600</v>
      </c>
      <c r="T337" s="9">
        <v>0.01</v>
      </c>
      <c r="U337" s="8">
        <f t="shared" si="4"/>
        <v>17676</v>
      </c>
      <c r="V337" s="8">
        <f t="shared" si="5"/>
        <v>1749924</v>
      </c>
      <c r="W337" s="10">
        <f t="shared" si="6"/>
        <v>1130400</v>
      </c>
      <c r="X337" s="10">
        <f t="shared" si="7"/>
        <v>619524</v>
      </c>
      <c r="Y337" s="10"/>
      <c r="Z337" s="10"/>
      <c r="AA337" s="10"/>
      <c r="AB337" s="4" t="s">
        <v>1240</v>
      </c>
      <c r="AC337" s="4" t="s">
        <v>1237</v>
      </c>
      <c r="AD337" s="4">
        <v>43012.0</v>
      </c>
      <c r="AE337" s="4">
        <v>2017.0</v>
      </c>
      <c r="AF337" s="4" t="s">
        <v>1238</v>
      </c>
      <c r="AG337" s="4" t="s">
        <v>1239</v>
      </c>
      <c r="AH337" s="4" t="s">
        <v>31</v>
      </c>
      <c r="AI337" s="4" t="s">
        <v>68</v>
      </c>
      <c r="AJ337" s="4" t="s">
        <v>43</v>
      </c>
      <c r="AK337" s="4" t="s">
        <v>104</v>
      </c>
      <c r="AL337" s="4" t="s">
        <v>878</v>
      </c>
      <c r="AM337" s="4" t="s">
        <v>36</v>
      </c>
      <c r="AN337" s="4" t="s">
        <v>37</v>
      </c>
      <c r="AO337" s="4" t="s">
        <v>55</v>
      </c>
      <c r="AP337" s="4">
        <v>43014.0</v>
      </c>
      <c r="AQ337" s="4">
        <v>47100.0</v>
      </c>
      <c r="AR337" s="4">
        <v>73650.0</v>
      </c>
      <c r="AS337" s="4">
        <v>26550.0</v>
      </c>
      <c r="AT337" s="4">
        <v>24.0</v>
      </c>
      <c r="AU337" s="4">
        <v>1767600.0</v>
      </c>
      <c r="AV337" s="4">
        <v>0.01</v>
      </c>
      <c r="AW337" s="4">
        <v>17676.0</v>
      </c>
      <c r="AX337" s="4">
        <v>1749924.0</v>
      </c>
      <c r="AY337" s="4">
        <v>1130400.0</v>
      </c>
      <c r="AZ337" s="4">
        <v>619524.0</v>
      </c>
    </row>
    <row r="338" ht="15.75" customHeight="1">
      <c r="A338" s="3" t="s">
        <v>1241</v>
      </c>
      <c r="B338" s="5">
        <v>43013.0</v>
      </c>
      <c r="C338" s="6">
        <f t="shared" si="1"/>
        <v>2017</v>
      </c>
      <c r="D338" s="7" t="s">
        <v>1242</v>
      </c>
      <c r="E338" s="7" t="s">
        <v>1243</v>
      </c>
      <c r="F338" s="7" t="s">
        <v>50</v>
      </c>
      <c r="G338" s="5" t="s">
        <v>32</v>
      </c>
      <c r="H338" s="7" t="s">
        <v>80</v>
      </c>
      <c r="I338" s="7" t="s">
        <v>104</v>
      </c>
      <c r="J338" s="7" t="s">
        <v>1244</v>
      </c>
      <c r="K338" s="7" t="s">
        <v>36</v>
      </c>
      <c r="L338" s="7" t="s">
        <v>37</v>
      </c>
      <c r="M338" s="7" t="s">
        <v>38</v>
      </c>
      <c r="N338" s="5">
        <v>43013.0</v>
      </c>
      <c r="O338" s="8">
        <v>27600.0</v>
      </c>
      <c r="P338" s="8">
        <v>43200.0</v>
      </c>
      <c r="Q338" s="8">
        <f t="shared" si="2"/>
        <v>15600</v>
      </c>
      <c r="R338" s="8">
        <v>8.0</v>
      </c>
      <c r="S338" s="8">
        <f t="shared" si="3"/>
        <v>345600</v>
      </c>
      <c r="T338" s="9">
        <v>0.07</v>
      </c>
      <c r="U338" s="8">
        <f t="shared" si="4"/>
        <v>24192</v>
      </c>
      <c r="V338" s="8">
        <f t="shared" si="5"/>
        <v>321408</v>
      </c>
      <c r="W338" s="10">
        <f t="shared" si="6"/>
        <v>220800</v>
      </c>
      <c r="X338" s="10">
        <f t="shared" si="7"/>
        <v>100608</v>
      </c>
      <c r="Y338" s="10"/>
      <c r="Z338" s="10"/>
      <c r="AA338" s="10"/>
      <c r="AB338" s="4" t="s">
        <v>1245</v>
      </c>
      <c r="AC338" s="4" t="s">
        <v>1241</v>
      </c>
      <c r="AD338" s="4">
        <v>43013.0</v>
      </c>
      <c r="AE338" s="4">
        <v>2017.0</v>
      </c>
      <c r="AF338" s="4" t="s">
        <v>1242</v>
      </c>
      <c r="AG338" s="4" t="s">
        <v>1243</v>
      </c>
      <c r="AH338" s="4" t="s">
        <v>50</v>
      </c>
      <c r="AI338" s="4" t="s">
        <v>32</v>
      </c>
      <c r="AJ338" s="4" t="s">
        <v>80</v>
      </c>
      <c r="AK338" s="4" t="s">
        <v>104</v>
      </c>
      <c r="AL338" s="4" t="s">
        <v>1244</v>
      </c>
      <c r="AM338" s="4" t="s">
        <v>36</v>
      </c>
      <c r="AN338" s="4" t="s">
        <v>37</v>
      </c>
      <c r="AO338" s="4" t="s">
        <v>38</v>
      </c>
      <c r="AP338" s="4">
        <v>43013.0</v>
      </c>
      <c r="AQ338" s="4">
        <v>27600.0</v>
      </c>
      <c r="AR338" s="4">
        <v>43200.0</v>
      </c>
      <c r="AS338" s="4">
        <v>15600.0</v>
      </c>
      <c r="AT338" s="4">
        <v>8.0</v>
      </c>
      <c r="AU338" s="4">
        <v>345600.0</v>
      </c>
      <c r="AV338" s="4">
        <v>0.07</v>
      </c>
      <c r="AW338" s="4">
        <v>24192.0</v>
      </c>
      <c r="AX338" s="4">
        <v>321408.0</v>
      </c>
      <c r="AY338" s="4">
        <v>220800.0</v>
      </c>
      <c r="AZ338" s="4">
        <v>100608.0</v>
      </c>
    </row>
    <row r="339" ht="15.75" customHeight="1">
      <c r="A339" s="3" t="s">
        <v>1246</v>
      </c>
      <c r="B339" s="5">
        <v>43015.0</v>
      </c>
      <c r="C339" s="6">
        <f t="shared" si="1"/>
        <v>2017</v>
      </c>
      <c r="D339" s="7" t="s">
        <v>368</v>
      </c>
      <c r="E339" s="7" t="s">
        <v>369</v>
      </c>
      <c r="F339" s="7" t="s">
        <v>50</v>
      </c>
      <c r="G339" s="5" t="s">
        <v>91</v>
      </c>
      <c r="H339" s="7" t="s">
        <v>200</v>
      </c>
      <c r="I339" s="7" t="s">
        <v>92</v>
      </c>
      <c r="J339" s="7" t="s">
        <v>753</v>
      </c>
      <c r="K339" s="7" t="s">
        <v>36</v>
      </c>
      <c r="L339" s="7" t="s">
        <v>127</v>
      </c>
      <c r="M339" s="7" t="s">
        <v>38</v>
      </c>
      <c r="N339" s="5">
        <v>43015.0</v>
      </c>
      <c r="O339" s="8">
        <v>252000.0</v>
      </c>
      <c r="P339" s="8">
        <v>614550.0</v>
      </c>
      <c r="Q339" s="8">
        <f t="shared" si="2"/>
        <v>362550</v>
      </c>
      <c r="R339" s="8">
        <v>47.0</v>
      </c>
      <c r="S339" s="8">
        <f t="shared" si="3"/>
        <v>28883850</v>
      </c>
      <c r="T339" s="9">
        <v>0.06</v>
      </c>
      <c r="U339" s="8">
        <f t="shared" si="4"/>
        <v>1733031</v>
      </c>
      <c r="V339" s="8">
        <f t="shared" si="5"/>
        <v>27150819</v>
      </c>
      <c r="W339" s="10">
        <f t="shared" si="6"/>
        <v>11844000</v>
      </c>
      <c r="X339" s="10">
        <f t="shared" si="7"/>
        <v>15306819</v>
      </c>
      <c r="Y339" s="10"/>
      <c r="Z339" s="10"/>
      <c r="AA339" s="10"/>
      <c r="AB339" s="4" t="s">
        <v>1247</v>
      </c>
      <c r="AC339" s="4" t="s">
        <v>1246</v>
      </c>
      <c r="AD339" s="4">
        <v>43015.0</v>
      </c>
      <c r="AE339" s="4">
        <v>2017.0</v>
      </c>
      <c r="AF339" s="4" t="s">
        <v>368</v>
      </c>
      <c r="AG339" s="4" t="s">
        <v>369</v>
      </c>
      <c r="AH339" s="4" t="s">
        <v>50</v>
      </c>
      <c r="AI339" s="4" t="s">
        <v>91</v>
      </c>
      <c r="AJ339" s="4" t="s">
        <v>200</v>
      </c>
      <c r="AK339" s="4" t="s">
        <v>92</v>
      </c>
      <c r="AL339" s="4" t="s">
        <v>753</v>
      </c>
      <c r="AM339" s="4" t="s">
        <v>36</v>
      </c>
      <c r="AN339" s="4" t="s">
        <v>127</v>
      </c>
      <c r="AO339" s="4" t="s">
        <v>38</v>
      </c>
      <c r="AP339" s="4">
        <v>43015.0</v>
      </c>
      <c r="AQ339" s="4">
        <v>252000.0</v>
      </c>
      <c r="AR339" s="4">
        <v>614550.0</v>
      </c>
      <c r="AS339" s="4">
        <v>362550.0</v>
      </c>
      <c r="AT339" s="4">
        <v>47.0</v>
      </c>
      <c r="AU339" s="4">
        <v>2.888385E7</v>
      </c>
      <c r="AV339" s="4">
        <v>0.06</v>
      </c>
      <c r="AW339" s="4">
        <v>1733031.0</v>
      </c>
      <c r="AX339" s="4">
        <v>2.7150819E7</v>
      </c>
      <c r="AY339" s="4">
        <v>1.1844E7</v>
      </c>
      <c r="AZ339" s="4">
        <v>1.5306819E7</v>
      </c>
    </row>
    <row r="340" ht="15.75" customHeight="1">
      <c r="A340" s="3" t="s">
        <v>1248</v>
      </c>
      <c r="B340" s="5">
        <v>43017.0</v>
      </c>
      <c r="C340" s="6">
        <f t="shared" si="1"/>
        <v>2017</v>
      </c>
      <c r="D340" s="7" t="s">
        <v>1249</v>
      </c>
      <c r="E340" s="7" t="s">
        <v>253</v>
      </c>
      <c r="F340" s="7" t="s">
        <v>31</v>
      </c>
      <c r="G340" s="5" t="s">
        <v>91</v>
      </c>
      <c r="H340" s="7" t="s">
        <v>43</v>
      </c>
      <c r="I340" s="7" t="s">
        <v>34</v>
      </c>
      <c r="J340" s="7" t="s">
        <v>543</v>
      </c>
      <c r="K340" s="7" t="s">
        <v>36</v>
      </c>
      <c r="L340" s="7" t="s">
        <v>127</v>
      </c>
      <c r="M340" s="7" t="s">
        <v>38</v>
      </c>
      <c r="N340" s="5">
        <v>43018.0</v>
      </c>
      <c r="O340" s="8">
        <v>21900.0</v>
      </c>
      <c r="P340" s="8">
        <v>53550.0</v>
      </c>
      <c r="Q340" s="8">
        <f t="shared" si="2"/>
        <v>31650</v>
      </c>
      <c r="R340" s="8">
        <v>46.0</v>
      </c>
      <c r="S340" s="8">
        <f t="shared" si="3"/>
        <v>2463300</v>
      </c>
      <c r="T340" s="9">
        <v>0.01</v>
      </c>
      <c r="U340" s="8">
        <f t="shared" si="4"/>
        <v>24633</v>
      </c>
      <c r="V340" s="8">
        <f t="shared" si="5"/>
        <v>2438667</v>
      </c>
      <c r="W340" s="10">
        <f t="shared" si="6"/>
        <v>1007400</v>
      </c>
      <c r="X340" s="10">
        <f t="shared" si="7"/>
        <v>1431267</v>
      </c>
      <c r="Y340" s="10"/>
      <c r="Z340" s="10"/>
      <c r="AA340" s="10"/>
      <c r="AB340" s="4" t="s">
        <v>1250</v>
      </c>
      <c r="AC340" s="4" t="s">
        <v>1248</v>
      </c>
      <c r="AD340" s="4">
        <v>43017.0</v>
      </c>
      <c r="AE340" s="4">
        <v>2017.0</v>
      </c>
      <c r="AF340" s="4" t="s">
        <v>1249</v>
      </c>
      <c r="AG340" s="4" t="s">
        <v>253</v>
      </c>
      <c r="AH340" s="4" t="s">
        <v>31</v>
      </c>
      <c r="AI340" s="4" t="s">
        <v>91</v>
      </c>
      <c r="AJ340" s="4" t="s">
        <v>43</v>
      </c>
      <c r="AK340" s="4" t="s">
        <v>34</v>
      </c>
      <c r="AL340" s="4" t="s">
        <v>543</v>
      </c>
      <c r="AM340" s="4" t="s">
        <v>36</v>
      </c>
      <c r="AN340" s="4" t="s">
        <v>127</v>
      </c>
      <c r="AO340" s="4" t="s">
        <v>38</v>
      </c>
      <c r="AP340" s="4">
        <v>43018.0</v>
      </c>
      <c r="AQ340" s="4">
        <v>21900.0</v>
      </c>
      <c r="AR340" s="4">
        <v>53550.0</v>
      </c>
      <c r="AS340" s="4">
        <v>31650.0</v>
      </c>
      <c r="AT340" s="4">
        <v>46.0</v>
      </c>
      <c r="AU340" s="4">
        <v>2463300.0</v>
      </c>
      <c r="AV340" s="4">
        <v>0.01</v>
      </c>
      <c r="AW340" s="4">
        <v>24633.0</v>
      </c>
      <c r="AX340" s="4">
        <v>2438667.0</v>
      </c>
      <c r="AY340" s="4">
        <v>1007400.0</v>
      </c>
      <c r="AZ340" s="4">
        <v>1431267.0</v>
      </c>
    </row>
    <row r="341" ht="15.75" customHeight="1">
      <c r="A341" s="3" t="s">
        <v>1251</v>
      </c>
      <c r="B341" s="5">
        <v>43019.0</v>
      </c>
      <c r="C341" s="6">
        <f t="shared" si="1"/>
        <v>2017</v>
      </c>
      <c r="D341" s="7" t="s">
        <v>1252</v>
      </c>
      <c r="E341" s="7" t="s">
        <v>757</v>
      </c>
      <c r="F341" s="7" t="s">
        <v>50</v>
      </c>
      <c r="G341" s="5" t="s">
        <v>32</v>
      </c>
      <c r="H341" s="7" t="s">
        <v>110</v>
      </c>
      <c r="I341" s="7" t="s">
        <v>92</v>
      </c>
      <c r="J341" s="7" t="s">
        <v>739</v>
      </c>
      <c r="K341" s="7" t="s">
        <v>36</v>
      </c>
      <c r="L341" s="7" t="s">
        <v>37</v>
      </c>
      <c r="M341" s="7" t="s">
        <v>38</v>
      </c>
      <c r="N341" s="5">
        <v>43020.0</v>
      </c>
      <c r="O341" s="8">
        <v>67950.0</v>
      </c>
      <c r="P341" s="8">
        <v>109500.0</v>
      </c>
      <c r="Q341" s="8">
        <f t="shared" si="2"/>
        <v>41550</v>
      </c>
      <c r="R341" s="8">
        <v>50.0</v>
      </c>
      <c r="S341" s="8">
        <f t="shared" si="3"/>
        <v>5475000</v>
      </c>
      <c r="T341" s="9">
        <v>0.02</v>
      </c>
      <c r="U341" s="8">
        <f t="shared" si="4"/>
        <v>109500</v>
      </c>
      <c r="V341" s="8">
        <f t="shared" si="5"/>
        <v>5365500</v>
      </c>
      <c r="W341" s="10">
        <f t="shared" si="6"/>
        <v>3397500</v>
      </c>
      <c r="X341" s="10">
        <f t="shared" si="7"/>
        <v>1968000</v>
      </c>
      <c r="Y341" s="10"/>
      <c r="Z341" s="10"/>
      <c r="AA341" s="10"/>
      <c r="AB341" s="4" t="s">
        <v>1253</v>
      </c>
      <c r="AC341" s="4" t="s">
        <v>1251</v>
      </c>
      <c r="AD341" s="4">
        <v>43019.0</v>
      </c>
      <c r="AE341" s="4">
        <v>2017.0</v>
      </c>
      <c r="AF341" s="4" t="s">
        <v>1252</v>
      </c>
      <c r="AG341" s="4" t="s">
        <v>757</v>
      </c>
      <c r="AH341" s="4" t="s">
        <v>50</v>
      </c>
      <c r="AI341" s="4" t="s">
        <v>32</v>
      </c>
      <c r="AJ341" s="4" t="s">
        <v>110</v>
      </c>
      <c r="AK341" s="4" t="s">
        <v>92</v>
      </c>
      <c r="AL341" s="4" t="s">
        <v>739</v>
      </c>
      <c r="AM341" s="4" t="s">
        <v>36</v>
      </c>
      <c r="AN341" s="4" t="s">
        <v>37</v>
      </c>
      <c r="AO341" s="4" t="s">
        <v>38</v>
      </c>
      <c r="AP341" s="4">
        <v>43020.0</v>
      </c>
      <c r="AQ341" s="4">
        <v>67950.0</v>
      </c>
      <c r="AR341" s="4">
        <v>109500.0</v>
      </c>
      <c r="AS341" s="4">
        <v>41550.0</v>
      </c>
      <c r="AT341" s="4">
        <v>50.0</v>
      </c>
      <c r="AU341" s="4">
        <v>5475000.0</v>
      </c>
      <c r="AV341" s="4">
        <v>0.02</v>
      </c>
      <c r="AW341" s="4">
        <v>109500.0</v>
      </c>
      <c r="AX341" s="4">
        <v>5365500.0</v>
      </c>
      <c r="AY341" s="4">
        <v>3397500.0</v>
      </c>
      <c r="AZ341" s="4">
        <v>1968000.0</v>
      </c>
    </row>
    <row r="342" ht="15.75" customHeight="1">
      <c r="A342" s="3" t="s">
        <v>1254</v>
      </c>
      <c r="B342" s="5">
        <v>43019.0</v>
      </c>
      <c r="C342" s="6">
        <f t="shared" si="1"/>
        <v>2017</v>
      </c>
      <c r="D342" s="7" t="s">
        <v>1252</v>
      </c>
      <c r="E342" s="7" t="s">
        <v>757</v>
      </c>
      <c r="F342" s="7" t="s">
        <v>50</v>
      </c>
      <c r="G342" s="5" t="s">
        <v>32</v>
      </c>
      <c r="H342" s="7" t="s">
        <v>110</v>
      </c>
      <c r="I342" s="7" t="s">
        <v>92</v>
      </c>
      <c r="J342" s="7" t="s">
        <v>1255</v>
      </c>
      <c r="K342" s="7" t="s">
        <v>36</v>
      </c>
      <c r="L342" s="7" t="s">
        <v>45</v>
      </c>
      <c r="M342" s="7" t="s">
        <v>38</v>
      </c>
      <c r="N342" s="5">
        <v>43020.0</v>
      </c>
      <c r="O342" s="8">
        <v>22950.0</v>
      </c>
      <c r="P342" s="8">
        <v>37050.0</v>
      </c>
      <c r="Q342" s="8">
        <f t="shared" si="2"/>
        <v>14100</v>
      </c>
      <c r="R342" s="8">
        <v>43.0</v>
      </c>
      <c r="S342" s="8">
        <f t="shared" si="3"/>
        <v>1593150</v>
      </c>
      <c r="T342" s="9">
        <v>0.02</v>
      </c>
      <c r="U342" s="8">
        <f t="shared" si="4"/>
        <v>31863</v>
      </c>
      <c r="V342" s="8">
        <f t="shared" si="5"/>
        <v>1561287</v>
      </c>
      <c r="W342" s="10">
        <f t="shared" si="6"/>
        <v>986850</v>
      </c>
      <c r="X342" s="10">
        <f t="shared" si="7"/>
        <v>574437</v>
      </c>
      <c r="Y342" s="10"/>
      <c r="Z342" s="10"/>
      <c r="AA342" s="10"/>
      <c r="AB342" s="4" t="s">
        <v>1256</v>
      </c>
      <c r="AC342" s="4" t="s">
        <v>1254</v>
      </c>
      <c r="AD342" s="4">
        <v>43019.0</v>
      </c>
      <c r="AE342" s="4">
        <v>2017.0</v>
      </c>
      <c r="AF342" s="4" t="s">
        <v>1252</v>
      </c>
      <c r="AG342" s="4" t="s">
        <v>757</v>
      </c>
      <c r="AH342" s="4" t="s">
        <v>50</v>
      </c>
      <c r="AI342" s="4" t="s">
        <v>32</v>
      </c>
      <c r="AJ342" s="4" t="s">
        <v>110</v>
      </c>
      <c r="AK342" s="4" t="s">
        <v>92</v>
      </c>
      <c r="AL342" s="4" t="s">
        <v>1255</v>
      </c>
      <c r="AM342" s="4" t="s">
        <v>36</v>
      </c>
      <c r="AN342" s="4" t="s">
        <v>45</v>
      </c>
      <c r="AO342" s="4" t="s">
        <v>38</v>
      </c>
      <c r="AP342" s="4">
        <v>43020.0</v>
      </c>
      <c r="AQ342" s="4">
        <v>22950.0</v>
      </c>
      <c r="AR342" s="4">
        <v>37050.0</v>
      </c>
      <c r="AS342" s="4">
        <v>14100.0</v>
      </c>
      <c r="AT342" s="4">
        <v>43.0</v>
      </c>
      <c r="AU342" s="4">
        <v>1593150.0</v>
      </c>
      <c r="AV342" s="4">
        <v>0.02</v>
      </c>
      <c r="AW342" s="4">
        <v>31863.0</v>
      </c>
      <c r="AX342" s="4">
        <v>1561287.0</v>
      </c>
      <c r="AY342" s="4">
        <v>986850.0</v>
      </c>
      <c r="AZ342" s="4">
        <v>574437.0</v>
      </c>
    </row>
    <row r="343" ht="15.75" customHeight="1">
      <c r="A343" s="3" t="s">
        <v>1257</v>
      </c>
      <c r="B343" s="5">
        <v>43019.0</v>
      </c>
      <c r="C343" s="6">
        <f t="shared" si="1"/>
        <v>2017</v>
      </c>
      <c r="D343" s="7" t="s">
        <v>1258</v>
      </c>
      <c r="E343" s="7" t="s">
        <v>85</v>
      </c>
      <c r="F343" s="7" t="s">
        <v>50</v>
      </c>
      <c r="G343" s="5" t="s">
        <v>51</v>
      </c>
      <c r="H343" s="7" t="s">
        <v>80</v>
      </c>
      <c r="I343" s="7" t="s">
        <v>104</v>
      </c>
      <c r="J343" s="7" t="s">
        <v>184</v>
      </c>
      <c r="K343" s="7" t="s">
        <v>36</v>
      </c>
      <c r="L343" s="7" t="s">
        <v>37</v>
      </c>
      <c r="M343" s="7" t="s">
        <v>38</v>
      </c>
      <c r="N343" s="5">
        <v>43019.0</v>
      </c>
      <c r="O343" s="8">
        <v>23850.0</v>
      </c>
      <c r="P343" s="8">
        <v>39150.0</v>
      </c>
      <c r="Q343" s="8">
        <f t="shared" si="2"/>
        <v>15300</v>
      </c>
      <c r="R343" s="8">
        <v>44.0</v>
      </c>
      <c r="S343" s="8">
        <f t="shared" si="3"/>
        <v>1722600</v>
      </c>
      <c r="T343" s="9">
        <v>0.09</v>
      </c>
      <c r="U343" s="8">
        <f t="shared" si="4"/>
        <v>155034</v>
      </c>
      <c r="V343" s="8">
        <f t="shared" si="5"/>
        <v>1567566</v>
      </c>
      <c r="W343" s="10">
        <f t="shared" si="6"/>
        <v>1049400</v>
      </c>
      <c r="X343" s="10">
        <f t="shared" si="7"/>
        <v>518166</v>
      </c>
      <c r="Y343" s="10"/>
      <c r="Z343" s="10"/>
      <c r="AA343" s="10"/>
      <c r="AB343" s="4" t="s">
        <v>1259</v>
      </c>
      <c r="AC343" s="4" t="s">
        <v>1257</v>
      </c>
      <c r="AD343" s="4">
        <v>43019.0</v>
      </c>
      <c r="AE343" s="4">
        <v>2017.0</v>
      </c>
      <c r="AF343" s="4" t="s">
        <v>1258</v>
      </c>
      <c r="AG343" s="4" t="s">
        <v>85</v>
      </c>
      <c r="AH343" s="4" t="s">
        <v>50</v>
      </c>
      <c r="AI343" s="4" t="s">
        <v>51</v>
      </c>
      <c r="AJ343" s="4" t="s">
        <v>80</v>
      </c>
      <c r="AK343" s="4" t="s">
        <v>104</v>
      </c>
      <c r="AL343" s="4" t="s">
        <v>184</v>
      </c>
      <c r="AM343" s="4" t="s">
        <v>36</v>
      </c>
      <c r="AN343" s="4" t="s">
        <v>37</v>
      </c>
      <c r="AO343" s="4" t="s">
        <v>38</v>
      </c>
      <c r="AP343" s="4">
        <v>43019.0</v>
      </c>
      <c r="AQ343" s="4">
        <v>23850.0</v>
      </c>
      <c r="AR343" s="4">
        <v>39150.0</v>
      </c>
      <c r="AS343" s="4">
        <v>15300.0</v>
      </c>
      <c r="AT343" s="4">
        <v>44.0</v>
      </c>
      <c r="AU343" s="4">
        <v>1722600.0</v>
      </c>
      <c r="AV343" s="4">
        <v>0.09</v>
      </c>
      <c r="AW343" s="4">
        <v>155034.0</v>
      </c>
      <c r="AX343" s="4">
        <v>1567566.0</v>
      </c>
      <c r="AY343" s="4">
        <v>1049400.0</v>
      </c>
      <c r="AZ343" s="4">
        <v>518166.0</v>
      </c>
    </row>
    <row r="344" ht="15.75" customHeight="1">
      <c r="A344" s="3" t="s">
        <v>1260</v>
      </c>
      <c r="B344" s="5">
        <v>43019.0</v>
      </c>
      <c r="C344" s="6">
        <f t="shared" si="1"/>
        <v>2017</v>
      </c>
      <c r="D344" s="7" t="s">
        <v>207</v>
      </c>
      <c r="E344" s="7" t="s">
        <v>59</v>
      </c>
      <c r="F344" s="7" t="s">
        <v>31</v>
      </c>
      <c r="G344" s="5" t="s">
        <v>51</v>
      </c>
      <c r="H344" s="7" t="s">
        <v>33</v>
      </c>
      <c r="I344" s="7" t="s">
        <v>92</v>
      </c>
      <c r="J344" s="7" t="s">
        <v>1261</v>
      </c>
      <c r="K344" s="7" t="s">
        <v>61</v>
      </c>
      <c r="L344" s="7" t="s">
        <v>37</v>
      </c>
      <c r="M344" s="7" t="s">
        <v>38</v>
      </c>
      <c r="N344" s="5">
        <v>43020.0</v>
      </c>
      <c r="O344" s="8">
        <v>220500.0</v>
      </c>
      <c r="P344" s="8">
        <v>449850.0</v>
      </c>
      <c r="Q344" s="8">
        <f t="shared" si="2"/>
        <v>229350</v>
      </c>
      <c r="R344" s="8">
        <v>20.0</v>
      </c>
      <c r="S344" s="8">
        <f t="shared" si="3"/>
        <v>8997000</v>
      </c>
      <c r="T344" s="9">
        <v>0.0</v>
      </c>
      <c r="U344" s="8">
        <f t="shared" si="4"/>
        <v>0</v>
      </c>
      <c r="V344" s="8">
        <f t="shared" si="5"/>
        <v>8997000</v>
      </c>
      <c r="W344" s="10">
        <f t="shared" si="6"/>
        <v>4410000</v>
      </c>
      <c r="X344" s="10">
        <f t="shared" si="7"/>
        <v>4587000</v>
      </c>
      <c r="Y344" s="10"/>
      <c r="Z344" s="10"/>
      <c r="AA344" s="10"/>
      <c r="AB344" s="4" t="s">
        <v>1262</v>
      </c>
      <c r="AC344" s="4" t="s">
        <v>1260</v>
      </c>
      <c r="AD344" s="4">
        <v>43019.0</v>
      </c>
      <c r="AE344" s="4">
        <v>2017.0</v>
      </c>
      <c r="AF344" s="4" t="s">
        <v>207</v>
      </c>
      <c r="AG344" s="4" t="s">
        <v>59</v>
      </c>
      <c r="AH344" s="4" t="s">
        <v>31</v>
      </c>
      <c r="AI344" s="4" t="s">
        <v>51</v>
      </c>
      <c r="AJ344" s="4" t="s">
        <v>33</v>
      </c>
      <c r="AK344" s="4" t="s">
        <v>92</v>
      </c>
      <c r="AL344" s="4" t="s">
        <v>1261</v>
      </c>
      <c r="AM344" s="4" t="s">
        <v>61</v>
      </c>
      <c r="AN344" s="4" t="s">
        <v>37</v>
      </c>
      <c r="AO344" s="4" t="s">
        <v>38</v>
      </c>
      <c r="AP344" s="4">
        <v>43020.0</v>
      </c>
      <c r="AQ344" s="4">
        <v>220500.0</v>
      </c>
      <c r="AR344" s="4">
        <v>449850.0</v>
      </c>
      <c r="AS344" s="4">
        <v>229350.0</v>
      </c>
      <c r="AT344" s="4">
        <v>20.0</v>
      </c>
      <c r="AU344" s="4">
        <v>8997000.0</v>
      </c>
      <c r="AV344" s="4">
        <v>0.0</v>
      </c>
      <c r="AW344" s="4">
        <v>0.0</v>
      </c>
      <c r="AX344" s="4">
        <v>8997000.0</v>
      </c>
      <c r="AY344" s="4">
        <v>4410000.0</v>
      </c>
      <c r="AZ344" s="4">
        <v>4587000.0</v>
      </c>
    </row>
    <row r="345" ht="15.75" customHeight="1">
      <c r="A345" s="3" t="s">
        <v>1263</v>
      </c>
      <c r="B345" s="5">
        <v>43020.0</v>
      </c>
      <c r="C345" s="6">
        <f t="shared" si="1"/>
        <v>2017</v>
      </c>
      <c r="D345" s="7" t="s">
        <v>1264</v>
      </c>
      <c r="E345" s="7" t="s">
        <v>1265</v>
      </c>
      <c r="F345" s="7" t="s">
        <v>50</v>
      </c>
      <c r="G345" s="5" t="s">
        <v>51</v>
      </c>
      <c r="H345" s="7" t="s">
        <v>189</v>
      </c>
      <c r="I345" s="7" t="s">
        <v>104</v>
      </c>
      <c r="J345" s="7" t="s">
        <v>327</v>
      </c>
      <c r="K345" s="7" t="s">
        <v>36</v>
      </c>
      <c r="L345" s="7" t="s">
        <v>37</v>
      </c>
      <c r="M345" s="7" t="s">
        <v>38</v>
      </c>
      <c r="N345" s="5">
        <v>43023.0</v>
      </c>
      <c r="O345" s="8">
        <v>133800.0</v>
      </c>
      <c r="P345" s="8">
        <v>446100.0</v>
      </c>
      <c r="Q345" s="8">
        <f t="shared" si="2"/>
        <v>312300</v>
      </c>
      <c r="R345" s="8">
        <v>4.0</v>
      </c>
      <c r="S345" s="8">
        <f t="shared" si="3"/>
        <v>1784400</v>
      </c>
      <c r="T345" s="9">
        <v>0.05</v>
      </c>
      <c r="U345" s="8">
        <f t="shared" si="4"/>
        <v>89220</v>
      </c>
      <c r="V345" s="8">
        <f t="shared" si="5"/>
        <v>1695180</v>
      </c>
      <c r="W345" s="10">
        <f t="shared" si="6"/>
        <v>535200</v>
      </c>
      <c r="X345" s="10">
        <f t="shared" si="7"/>
        <v>1159980</v>
      </c>
      <c r="Y345" s="10"/>
      <c r="Z345" s="10"/>
      <c r="AA345" s="10"/>
      <c r="AB345" s="4" t="s">
        <v>1266</v>
      </c>
      <c r="AC345" s="4" t="s">
        <v>1263</v>
      </c>
      <c r="AD345" s="4">
        <v>43020.0</v>
      </c>
      <c r="AE345" s="4">
        <v>2017.0</v>
      </c>
      <c r="AF345" s="4" t="s">
        <v>1264</v>
      </c>
      <c r="AG345" s="4" t="s">
        <v>1265</v>
      </c>
      <c r="AH345" s="4" t="s">
        <v>50</v>
      </c>
      <c r="AI345" s="4" t="s">
        <v>51</v>
      </c>
      <c r="AJ345" s="4" t="s">
        <v>189</v>
      </c>
      <c r="AK345" s="4" t="s">
        <v>104</v>
      </c>
      <c r="AL345" s="4" t="s">
        <v>327</v>
      </c>
      <c r="AM345" s="4" t="s">
        <v>36</v>
      </c>
      <c r="AN345" s="4" t="s">
        <v>37</v>
      </c>
      <c r="AO345" s="4" t="s">
        <v>38</v>
      </c>
      <c r="AP345" s="4">
        <v>43023.0</v>
      </c>
      <c r="AQ345" s="4">
        <v>133800.0</v>
      </c>
      <c r="AR345" s="4">
        <v>446100.0</v>
      </c>
      <c r="AS345" s="4">
        <v>312300.0</v>
      </c>
      <c r="AT345" s="4">
        <v>4.0</v>
      </c>
      <c r="AU345" s="4">
        <v>1784400.0</v>
      </c>
      <c r="AV345" s="4">
        <v>0.05</v>
      </c>
      <c r="AW345" s="4">
        <v>89220.0</v>
      </c>
      <c r="AX345" s="4">
        <v>1695180.0</v>
      </c>
      <c r="AY345" s="4">
        <v>535200.0</v>
      </c>
      <c r="AZ345" s="4">
        <v>1159980.0</v>
      </c>
    </row>
    <row r="346" ht="15.75" customHeight="1">
      <c r="A346" s="3" t="s">
        <v>1267</v>
      </c>
      <c r="B346" s="5">
        <v>43024.0</v>
      </c>
      <c r="C346" s="6">
        <f t="shared" si="1"/>
        <v>2017</v>
      </c>
      <c r="D346" s="7" t="s">
        <v>1268</v>
      </c>
      <c r="E346" s="7" t="s">
        <v>393</v>
      </c>
      <c r="F346" s="7" t="s">
        <v>31</v>
      </c>
      <c r="G346" s="5" t="s">
        <v>68</v>
      </c>
      <c r="H346" s="7" t="s">
        <v>43</v>
      </c>
      <c r="I346" s="7" t="s">
        <v>34</v>
      </c>
      <c r="J346" s="7" t="s">
        <v>627</v>
      </c>
      <c r="K346" s="7" t="s">
        <v>36</v>
      </c>
      <c r="L346" s="7" t="s">
        <v>45</v>
      </c>
      <c r="M346" s="7" t="s">
        <v>38</v>
      </c>
      <c r="N346" s="5">
        <v>43026.0</v>
      </c>
      <c r="O346" s="8">
        <v>49800.0</v>
      </c>
      <c r="P346" s="8">
        <v>77700.0</v>
      </c>
      <c r="Q346" s="8">
        <f t="shared" si="2"/>
        <v>27900</v>
      </c>
      <c r="R346" s="8">
        <v>43.0</v>
      </c>
      <c r="S346" s="8">
        <f t="shared" si="3"/>
        <v>3341100</v>
      </c>
      <c r="T346" s="9">
        <v>0.03</v>
      </c>
      <c r="U346" s="8">
        <f t="shared" si="4"/>
        <v>100233</v>
      </c>
      <c r="V346" s="8">
        <f t="shared" si="5"/>
        <v>3240867</v>
      </c>
      <c r="W346" s="10">
        <f t="shared" si="6"/>
        <v>2141400</v>
      </c>
      <c r="X346" s="10">
        <f t="shared" si="7"/>
        <v>1099467</v>
      </c>
      <c r="Y346" s="10"/>
      <c r="Z346" s="10"/>
      <c r="AA346" s="10"/>
      <c r="AB346" s="4" t="s">
        <v>1269</v>
      </c>
      <c r="AC346" s="4" t="s">
        <v>1267</v>
      </c>
      <c r="AD346" s="4">
        <v>43024.0</v>
      </c>
      <c r="AE346" s="4">
        <v>2017.0</v>
      </c>
      <c r="AF346" s="4" t="s">
        <v>1268</v>
      </c>
      <c r="AG346" s="4" t="s">
        <v>393</v>
      </c>
      <c r="AH346" s="4" t="s">
        <v>31</v>
      </c>
      <c r="AI346" s="4" t="s">
        <v>68</v>
      </c>
      <c r="AJ346" s="4" t="s">
        <v>43</v>
      </c>
      <c r="AK346" s="4" t="s">
        <v>34</v>
      </c>
      <c r="AL346" s="4" t="s">
        <v>627</v>
      </c>
      <c r="AM346" s="4" t="s">
        <v>36</v>
      </c>
      <c r="AN346" s="4" t="s">
        <v>45</v>
      </c>
      <c r="AO346" s="4" t="s">
        <v>38</v>
      </c>
      <c r="AP346" s="4">
        <v>43026.0</v>
      </c>
      <c r="AQ346" s="4">
        <v>49800.0</v>
      </c>
      <c r="AR346" s="4">
        <v>77700.0</v>
      </c>
      <c r="AS346" s="4">
        <v>27900.0</v>
      </c>
      <c r="AT346" s="4">
        <v>43.0</v>
      </c>
      <c r="AU346" s="4">
        <v>3341100.0</v>
      </c>
      <c r="AV346" s="4">
        <v>0.03</v>
      </c>
      <c r="AW346" s="4">
        <v>100233.0</v>
      </c>
      <c r="AX346" s="4">
        <v>3240867.0</v>
      </c>
      <c r="AY346" s="4">
        <v>2141400.0</v>
      </c>
      <c r="AZ346" s="4">
        <v>1099467.0</v>
      </c>
    </row>
    <row r="347" ht="15.75" customHeight="1">
      <c r="A347" s="3" t="s">
        <v>1270</v>
      </c>
      <c r="B347" s="5">
        <v>43025.0</v>
      </c>
      <c r="C347" s="6">
        <f t="shared" si="1"/>
        <v>2017</v>
      </c>
      <c r="D347" s="7" t="s">
        <v>1271</v>
      </c>
      <c r="E347" s="7" t="s">
        <v>642</v>
      </c>
      <c r="F347" s="7" t="s">
        <v>50</v>
      </c>
      <c r="G347" s="5" t="s">
        <v>68</v>
      </c>
      <c r="H347" s="7" t="s">
        <v>69</v>
      </c>
      <c r="I347" s="7" t="s">
        <v>53</v>
      </c>
      <c r="J347" s="7" t="s">
        <v>1272</v>
      </c>
      <c r="K347" s="7" t="s">
        <v>36</v>
      </c>
      <c r="L347" s="7" t="s">
        <v>37</v>
      </c>
      <c r="M347" s="7" t="s">
        <v>38</v>
      </c>
      <c r="N347" s="5">
        <v>43028.0</v>
      </c>
      <c r="O347" s="8">
        <v>27600.0</v>
      </c>
      <c r="P347" s="8">
        <v>43200.0</v>
      </c>
      <c r="Q347" s="8">
        <f t="shared" si="2"/>
        <v>15600</v>
      </c>
      <c r="R347" s="8">
        <v>47.0</v>
      </c>
      <c r="S347" s="8">
        <f t="shared" si="3"/>
        <v>2030400</v>
      </c>
      <c r="T347" s="9">
        <v>0.03</v>
      </c>
      <c r="U347" s="8">
        <f t="shared" si="4"/>
        <v>60912</v>
      </c>
      <c r="V347" s="8">
        <f t="shared" si="5"/>
        <v>1969488</v>
      </c>
      <c r="W347" s="10">
        <f t="shared" si="6"/>
        <v>1297200</v>
      </c>
      <c r="X347" s="10">
        <f t="shared" si="7"/>
        <v>672288</v>
      </c>
      <c r="Y347" s="10"/>
      <c r="Z347" s="10"/>
      <c r="AA347" s="10"/>
      <c r="AB347" s="4" t="s">
        <v>1273</v>
      </c>
      <c r="AC347" s="4" t="s">
        <v>1270</v>
      </c>
      <c r="AD347" s="4">
        <v>43025.0</v>
      </c>
      <c r="AE347" s="4">
        <v>2017.0</v>
      </c>
      <c r="AF347" s="4" t="s">
        <v>1271</v>
      </c>
      <c r="AG347" s="4" t="s">
        <v>642</v>
      </c>
      <c r="AH347" s="4" t="s">
        <v>50</v>
      </c>
      <c r="AI347" s="4" t="s">
        <v>68</v>
      </c>
      <c r="AJ347" s="4" t="s">
        <v>69</v>
      </c>
      <c r="AK347" s="4" t="s">
        <v>53</v>
      </c>
      <c r="AL347" s="4" t="s">
        <v>1272</v>
      </c>
      <c r="AM347" s="4" t="s">
        <v>36</v>
      </c>
      <c r="AN347" s="4" t="s">
        <v>37</v>
      </c>
      <c r="AO347" s="4" t="s">
        <v>38</v>
      </c>
      <c r="AP347" s="4">
        <v>43028.0</v>
      </c>
      <c r="AQ347" s="4">
        <v>27600.0</v>
      </c>
      <c r="AR347" s="4">
        <v>43200.0</v>
      </c>
      <c r="AS347" s="4">
        <v>15600.0</v>
      </c>
      <c r="AT347" s="4">
        <v>47.0</v>
      </c>
      <c r="AU347" s="4">
        <v>2030400.0</v>
      </c>
      <c r="AV347" s="4">
        <v>0.03</v>
      </c>
      <c r="AW347" s="4">
        <v>60912.0</v>
      </c>
      <c r="AX347" s="4">
        <v>1969488.0</v>
      </c>
      <c r="AY347" s="4">
        <v>1297200.0</v>
      </c>
      <c r="AZ347" s="4">
        <v>672288.0</v>
      </c>
    </row>
    <row r="348" ht="15.75" customHeight="1">
      <c r="A348" s="3" t="s">
        <v>1274</v>
      </c>
      <c r="B348" s="5">
        <v>43031.0</v>
      </c>
      <c r="C348" s="6">
        <f t="shared" si="1"/>
        <v>2017</v>
      </c>
      <c r="D348" s="7" t="s">
        <v>1015</v>
      </c>
      <c r="E348" s="7" t="s">
        <v>537</v>
      </c>
      <c r="F348" s="7" t="s">
        <v>31</v>
      </c>
      <c r="G348" s="5" t="s">
        <v>68</v>
      </c>
      <c r="H348" s="7" t="s">
        <v>33</v>
      </c>
      <c r="I348" s="7" t="s">
        <v>34</v>
      </c>
      <c r="J348" s="7" t="s">
        <v>204</v>
      </c>
      <c r="K348" s="7" t="s">
        <v>61</v>
      </c>
      <c r="L348" s="7" t="s">
        <v>37</v>
      </c>
      <c r="M348" s="7" t="s">
        <v>38</v>
      </c>
      <c r="N348" s="5">
        <v>43033.0</v>
      </c>
      <c r="O348" s="8">
        <v>124650.00000000001</v>
      </c>
      <c r="P348" s="8">
        <v>239700.0</v>
      </c>
      <c r="Q348" s="8">
        <f t="shared" si="2"/>
        <v>115050</v>
      </c>
      <c r="R348" s="8">
        <v>40.0</v>
      </c>
      <c r="S348" s="8">
        <f t="shared" si="3"/>
        <v>9588000</v>
      </c>
      <c r="T348" s="9">
        <v>0.03</v>
      </c>
      <c r="U348" s="8">
        <f t="shared" si="4"/>
        <v>287640</v>
      </c>
      <c r="V348" s="8">
        <f t="shared" si="5"/>
        <v>9300360</v>
      </c>
      <c r="W348" s="10">
        <f t="shared" si="6"/>
        <v>4986000</v>
      </c>
      <c r="X348" s="10">
        <f t="shared" si="7"/>
        <v>4314360</v>
      </c>
      <c r="Y348" s="10"/>
      <c r="Z348" s="10"/>
      <c r="AA348" s="10"/>
      <c r="AB348" s="4" t="s">
        <v>1275</v>
      </c>
      <c r="AC348" s="4" t="s">
        <v>1274</v>
      </c>
      <c r="AD348" s="4">
        <v>43031.0</v>
      </c>
      <c r="AE348" s="4">
        <v>2017.0</v>
      </c>
      <c r="AF348" s="4" t="s">
        <v>1015</v>
      </c>
      <c r="AG348" s="4" t="s">
        <v>537</v>
      </c>
      <c r="AH348" s="4" t="s">
        <v>31</v>
      </c>
      <c r="AI348" s="4" t="s">
        <v>68</v>
      </c>
      <c r="AJ348" s="4" t="s">
        <v>33</v>
      </c>
      <c r="AK348" s="4" t="s">
        <v>34</v>
      </c>
      <c r="AL348" s="4" t="s">
        <v>204</v>
      </c>
      <c r="AM348" s="4" t="s">
        <v>61</v>
      </c>
      <c r="AN348" s="4" t="s">
        <v>37</v>
      </c>
      <c r="AO348" s="4" t="s">
        <v>38</v>
      </c>
      <c r="AP348" s="4">
        <v>43033.0</v>
      </c>
      <c r="AQ348" s="4">
        <v>124650.0</v>
      </c>
      <c r="AR348" s="4">
        <v>239700.0</v>
      </c>
      <c r="AS348" s="4">
        <v>115050.0</v>
      </c>
      <c r="AT348" s="4">
        <v>40.0</v>
      </c>
      <c r="AU348" s="4">
        <v>9588000.0</v>
      </c>
      <c r="AV348" s="4">
        <v>0.03</v>
      </c>
      <c r="AW348" s="4">
        <v>287640.0</v>
      </c>
      <c r="AX348" s="4">
        <v>9300360.0</v>
      </c>
      <c r="AY348" s="4">
        <v>4986000.0</v>
      </c>
      <c r="AZ348" s="4">
        <v>4314360.0</v>
      </c>
    </row>
    <row r="349" ht="15.75" customHeight="1">
      <c r="A349" s="3" t="s">
        <v>1276</v>
      </c>
      <c r="B349" s="5">
        <v>43032.0</v>
      </c>
      <c r="C349" s="6">
        <f t="shared" si="1"/>
        <v>2017</v>
      </c>
      <c r="D349" s="7" t="s">
        <v>1277</v>
      </c>
      <c r="E349" s="7" t="s">
        <v>456</v>
      </c>
      <c r="F349" s="7" t="s">
        <v>50</v>
      </c>
      <c r="G349" s="5" t="s">
        <v>68</v>
      </c>
      <c r="H349" s="7" t="s">
        <v>200</v>
      </c>
      <c r="I349" s="7" t="s">
        <v>104</v>
      </c>
      <c r="J349" s="7" t="s">
        <v>1278</v>
      </c>
      <c r="K349" s="7" t="s">
        <v>36</v>
      </c>
      <c r="L349" s="7" t="s">
        <v>37</v>
      </c>
      <c r="M349" s="7" t="s">
        <v>38</v>
      </c>
      <c r="N349" s="5">
        <v>43034.0</v>
      </c>
      <c r="O349" s="8">
        <v>27300.0</v>
      </c>
      <c r="P349" s="8">
        <v>42600.0</v>
      </c>
      <c r="Q349" s="8">
        <f t="shared" si="2"/>
        <v>15300</v>
      </c>
      <c r="R349" s="8">
        <v>19.0</v>
      </c>
      <c r="S349" s="8">
        <f t="shared" si="3"/>
        <v>809400</v>
      </c>
      <c r="T349" s="9">
        <v>0.0</v>
      </c>
      <c r="U349" s="8">
        <f t="shared" si="4"/>
        <v>0</v>
      </c>
      <c r="V349" s="8">
        <f t="shared" si="5"/>
        <v>809400</v>
      </c>
      <c r="W349" s="10">
        <f t="shared" si="6"/>
        <v>518700</v>
      </c>
      <c r="X349" s="10">
        <f t="shared" si="7"/>
        <v>290700</v>
      </c>
      <c r="Y349" s="10"/>
      <c r="Z349" s="10"/>
      <c r="AA349" s="10"/>
      <c r="AB349" s="4" t="s">
        <v>1279</v>
      </c>
      <c r="AC349" s="4" t="s">
        <v>1276</v>
      </c>
      <c r="AD349" s="4">
        <v>43032.0</v>
      </c>
      <c r="AE349" s="4">
        <v>2017.0</v>
      </c>
      <c r="AF349" s="4" t="s">
        <v>1277</v>
      </c>
      <c r="AG349" s="4" t="s">
        <v>456</v>
      </c>
      <c r="AH349" s="4" t="s">
        <v>50</v>
      </c>
      <c r="AI349" s="4" t="s">
        <v>68</v>
      </c>
      <c r="AJ349" s="4" t="s">
        <v>200</v>
      </c>
      <c r="AK349" s="4" t="s">
        <v>104</v>
      </c>
      <c r="AL349" s="4" t="s">
        <v>1278</v>
      </c>
      <c r="AM349" s="4" t="s">
        <v>36</v>
      </c>
      <c r="AN349" s="4" t="s">
        <v>37</v>
      </c>
      <c r="AO349" s="4" t="s">
        <v>38</v>
      </c>
      <c r="AP349" s="4">
        <v>43034.0</v>
      </c>
      <c r="AQ349" s="4">
        <v>27300.0</v>
      </c>
      <c r="AR349" s="4">
        <v>42600.0</v>
      </c>
      <c r="AS349" s="4">
        <v>15300.0</v>
      </c>
      <c r="AT349" s="4">
        <v>19.0</v>
      </c>
      <c r="AU349" s="4">
        <v>809400.0</v>
      </c>
      <c r="AV349" s="4">
        <v>0.0</v>
      </c>
      <c r="AW349" s="4">
        <v>0.0</v>
      </c>
      <c r="AX349" s="4">
        <v>809400.0</v>
      </c>
      <c r="AY349" s="4">
        <v>518700.0</v>
      </c>
      <c r="AZ349" s="4">
        <v>290700.0</v>
      </c>
    </row>
    <row r="350" ht="15.75" customHeight="1">
      <c r="A350" s="3" t="s">
        <v>1280</v>
      </c>
      <c r="B350" s="5">
        <v>43035.0</v>
      </c>
      <c r="C350" s="6">
        <f t="shared" si="1"/>
        <v>2017</v>
      </c>
      <c r="D350" s="7" t="s">
        <v>1281</v>
      </c>
      <c r="E350" s="7" t="s">
        <v>855</v>
      </c>
      <c r="F350" s="7" t="s">
        <v>31</v>
      </c>
      <c r="G350" s="5" t="s">
        <v>51</v>
      </c>
      <c r="H350" s="7" t="s">
        <v>43</v>
      </c>
      <c r="I350" s="7" t="s">
        <v>92</v>
      </c>
      <c r="J350" s="7" t="s">
        <v>229</v>
      </c>
      <c r="K350" s="7" t="s">
        <v>61</v>
      </c>
      <c r="L350" s="7" t="s">
        <v>127</v>
      </c>
      <c r="M350" s="7" t="s">
        <v>38</v>
      </c>
      <c r="N350" s="5">
        <v>43037.0</v>
      </c>
      <c r="O350" s="8">
        <v>28050.0</v>
      </c>
      <c r="P350" s="8">
        <v>121799.99999999999</v>
      </c>
      <c r="Q350" s="8">
        <f t="shared" si="2"/>
        <v>93750</v>
      </c>
      <c r="R350" s="8">
        <v>4.0</v>
      </c>
      <c r="S350" s="8">
        <f t="shared" si="3"/>
        <v>487200</v>
      </c>
      <c r="T350" s="9">
        <v>0.07</v>
      </c>
      <c r="U350" s="8">
        <f t="shared" si="4"/>
        <v>34104</v>
      </c>
      <c r="V350" s="8">
        <f t="shared" si="5"/>
        <v>453096</v>
      </c>
      <c r="W350" s="10">
        <f t="shared" si="6"/>
        <v>112200</v>
      </c>
      <c r="X350" s="10">
        <f t="shared" si="7"/>
        <v>340896</v>
      </c>
      <c r="Y350" s="10"/>
      <c r="Z350" s="10"/>
      <c r="AA350" s="10"/>
      <c r="AB350" s="4" t="s">
        <v>1282</v>
      </c>
      <c r="AC350" s="4" t="s">
        <v>1280</v>
      </c>
      <c r="AD350" s="4">
        <v>43035.0</v>
      </c>
      <c r="AE350" s="4">
        <v>2017.0</v>
      </c>
      <c r="AF350" s="4" t="s">
        <v>1281</v>
      </c>
      <c r="AG350" s="4" t="s">
        <v>855</v>
      </c>
      <c r="AH350" s="4" t="s">
        <v>31</v>
      </c>
      <c r="AI350" s="4" t="s">
        <v>51</v>
      </c>
      <c r="AJ350" s="4" t="s">
        <v>43</v>
      </c>
      <c r="AK350" s="4" t="s">
        <v>92</v>
      </c>
      <c r="AL350" s="4" t="s">
        <v>229</v>
      </c>
      <c r="AM350" s="4" t="s">
        <v>61</v>
      </c>
      <c r="AN350" s="4" t="s">
        <v>127</v>
      </c>
      <c r="AO350" s="4" t="s">
        <v>38</v>
      </c>
      <c r="AP350" s="4">
        <v>43037.0</v>
      </c>
      <c r="AQ350" s="4">
        <v>28050.0</v>
      </c>
      <c r="AR350" s="4">
        <v>121800.0</v>
      </c>
      <c r="AS350" s="4">
        <v>93750.0</v>
      </c>
      <c r="AT350" s="4">
        <v>4.0</v>
      </c>
      <c r="AU350" s="4">
        <v>487200.0</v>
      </c>
      <c r="AV350" s="4">
        <v>0.07</v>
      </c>
      <c r="AW350" s="4">
        <v>34104.0</v>
      </c>
      <c r="AX350" s="4">
        <v>453096.0</v>
      </c>
      <c r="AY350" s="4">
        <v>112200.0</v>
      </c>
      <c r="AZ350" s="4">
        <v>340896.0</v>
      </c>
    </row>
    <row r="351" ht="15.75" customHeight="1">
      <c r="A351" s="3" t="s">
        <v>1283</v>
      </c>
      <c r="B351" s="5">
        <v>43037.0</v>
      </c>
      <c r="C351" s="6">
        <f t="shared" si="1"/>
        <v>2017</v>
      </c>
      <c r="D351" s="7" t="s">
        <v>500</v>
      </c>
      <c r="E351" s="7" t="s">
        <v>501</v>
      </c>
      <c r="F351" s="7" t="s">
        <v>289</v>
      </c>
      <c r="G351" s="5" t="s">
        <v>91</v>
      </c>
      <c r="H351" s="7" t="s">
        <v>80</v>
      </c>
      <c r="I351" s="7" t="s">
        <v>34</v>
      </c>
      <c r="J351" s="7" t="s">
        <v>1158</v>
      </c>
      <c r="K351" s="7" t="s">
        <v>36</v>
      </c>
      <c r="L351" s="7" t="s">
        <v>37</v>
      </c>
      <c r="M351" s="7" t="s">
        <v>38</v>
      </c>
      <c r="N351" s="5">
        <v>43038.0</v>
      </c>
      <c r="O351" s="8">
        <v>41400.0</v>
      </c>
      <c r="P351" s="8">
        <v>65700.0</v>
      </c>
      <c r="Q351" s="8">
        <f t="shared" si="2"/>
        <v>24300</v>
      </c>
      <c r="R351" s="8">
        <v>18.0</v>
      </c>
      <c r="S351" s="8">
        <f t="shared" si="3"/>
        <v>1182600</v>
      </c>
      <c r="T351" s="9">
        <v>0.03</v>
      </c>
      <c r="U351" s="8">
        <f t="shared" si="4"/>
        <v>35478</v>
      </c>
      <c r="V351" s="8">
        <f t="shared" si="5"/>
        <v>1147122</v>
      </c>
      <c r="W351" s="10">
        <f t="shared" si="6"/>
        <v>745200</v>
      </c>
      <c r="X351" s="10">
        <f t="shared" si="7"/>
        <v>401922</v>
      </c>
      <c r="Y351" s="10"/>
      <c r="Z351" s="10"/>
      <c r="AA351" s="10"/>
      <c r="AB351" s="4" t="s">
        <v>1284</v>
      </c>
      <c r="AC351" s="4" t="s">
        <v>1283</v>
      </c>
      <c r="AD351" s="4">
        <v>43037.0</v>
      </c>
      <c r="AE351" s="4">
        <v>2017.0</v>
      </c>
      <c r="AF351" s="4" t="s">
        <v>500</v>
      </c>
      <c r="AG351" s="4" t="s">
        <v>501</v>
      </c>
      <c r="AH351" s="4" t="s">
        <v>289</v>
      </c>
      <c r="AI351" s="4" t="s">
        <v>91</v>
      </c>
      <c r="AJ351" s="4" t="s">
        <v>80</v>
      </c>
      <c r="AK351" s="4" t="s">
        <v>34</v>
      </c>
      <c r="AL351" s="4" t="s">
        <v>1158</v>
      </c>
      <c r="AM351" s="4" t="s">
        <v>36</v>
      </c>
      <c r="AN351" s="4" t="s">
        <v>37</v>
      </c>
      <c r="AO351" s="4" t="s">
        <v>38</v>
      </c>
      <c r="AP351" s="4">
        <v>43038.0</v>
      </c>
      <c r="AQ351" s="4">
        <v>41400.0</v>
      </c>
      <c r="AR351" s="4">
        <v>65700.0</v>
      </c>
      <c r="AS351" s="4">
        <v>24300.0</v>
      </c>
      <c r="AT351" s="4">
        <v>18.0</v>
      </c>
      <c r="AU351" s="4">
        <v>1182600.0</v>
      </c>
      <c r="AV351" s="4">
        <v>0.03</v>
      </c>
      <c r="AW351" s="4">
        <v>35478.0</v>
      </c>
      <c r="AX351" s="4">
        <v>1147122.0</v>
      </c>
      <c r="AY351" s="4">
        <v>745200.0</v>
      </c>
      <c r="AZ351" s="4">
        <v>401922.0</v>
      </c>
    </row>
    <row r="352" ht="15.75" customHeight="1">
      <c r="A352" s="3" t="s">
        <v>1285</v>
      </c>
      <c r="B352" s="5">
        <v>43038.0</v>
      </c>
      <c r="C352" s="6">
        <f t="shared" si="1"/>
        <v>2017</v>
      </c>
      <c r="D352" s="7" t="s">
        <v>1286</v>
      </c>
      <c r="E352" s="7" t="s">
        <v>124</v>
      </c>
      <c r="F352" s="7" t="s">
        <v>50</v>
      </c>
      <c r="G352" s="5" t="s">
        <v>51</v>
      </c>
      <c r="H352" s="7" t="s">
        <v>52</v>
      </c>
      <c r="I352" s="7" t="s">
        <v>104</v>
      </c>
      <c r="J352" s="7" t="s">
        <v>1244</v>
      </c>
      <c r="K352" s="7" t="s">
        <v>36</v>
      </c>
      <c r="L352" s="7" t="s">
        <v>37</v>
      </c>
      <c r="M352" s="7" t="s">
        <v>38</v>
      </c>
      <c r="N352" s="5">
        <v>43039.0</v>
      </c>
      <c r="O352" s="8">
        <v>27600.0</v>
      </c>
      <c r="P352" s="8">
        <v>43200.0</v>
      </c>
      <c r="Q352" s="8">
        <f t="shared" si="2"/>
        <v>15600</v>
      </c>
      <c r="R352" s="8">
        <v>10.0</v>
      </c>
      <c r="S352" s="8">
        <f t="shared" si="3"/>
        <v>432000</v>
      </c>
      <c r="T352" s="9">
        <v>0.01</v>
      </c>
      <c r="U352" s="8">
        <f t="shared" si="4"/>
        <v>4320</v>
      </c>
      <c r="V352" s="8">
        <f t="shared" si="5"/>
        <v>427680</v>
      </c>
      <c r="W352" s="10">
        <f t="shared" si="6"/>
        <v>276000</v>
      </c>
      <c r="X352" s="10">
        <f t="shared" si="7"/>
        <v>151680</v>
      </c>
      <c r="Y352" s="10"/>
      <c r="Z352" s="10"/>
      <c r="AA352" s="10"/>
      <c r="AB352" s="4" t="s">
        <v>1287</v>
      </c>
      <c r="AC352" s="4" t="s">
        <v>1285</v>
      </c>
      <c r="AD352" s="4">
        <v>43038.0</v>
      </c>
      <c r="AE352" s="4">
        <v>2017.0</v>
      </c>
      <c r="AF352" s="4" t="s">
        <v>1286</v>
      </c>
      <c r="AG352" s="4" t="s">
        <v>124</v>
      </c>
      <c r="AH352" s="4" t="s">
        <v>50</v>
      </c>
      <c r="AI352" s="4" t="s">
        <v>51</v>
      </c>
      <c r="AJ352" s="4" t="s">
        <v>52</v>
      </c>
      <c r="AK352" s="4" t="s">
        <v>104</v>
      </c>
      <c r="AL352" s="4" t="s">
        <v>1244</v>
      </c>
      <c r="AM352" s="4" t="s">
        <v>36</v>
      </c>
      <c r="AN352" s="4" t="s">
        <v>37</v>
      </c>
      <c r="AO352" s="4" t="s">
        <v>38</v>
      </c>
      <c r="AP352" s="4">
        <v>43039.0</v>
      </c>
      <c r="AQ352" s="4">
        <v>27600.0</v>
      </c>
      <c r="AR352" s="4">
        <v>43200.0</v>
      </c>
      <c r="AS352" s="4">
        <v>15600.0</v>
      </c>
      <c r="AT352" s="4">
        <v>10.0</v>
      </c>
      <c r="AU352" s="4">
        <v>432000.0</v>
      </c>
      <c r="AV352" s="4">
        <v>0.01</v>
      </c>
      <c r="AW352" s="4">
        <v>4320.0</v>
      </c>
      <c r="AX352" s="4">
        <v>427680.0</v>
      </c>
      <c r="AY352" s="4">
        <v>276000.0</v>
      </c>
      <c r="AZ352" s="4">
        <v>151680.0</v>
      </c>
    </row>
    <row r="353" ht="15.75" customHeight="1">
      <c r="A353" s="3" t="s">
        <v>1288</v>
      </c>
      <c r="B353" s="5">
        <v>43038.0</v>
      </c>
      <c r="C353" s="6">
        <f t="shared" si="1"/>
        <v>2017</v>
      </c>
      <c r="D353" s="7" t="s">
        <v>1289</v>
      </c>
      <c r="E353" s="7" t="s">
        <v>1290</v>
      </c>
      <c r="F353" s="7" t="s">
        <v>289</v>
      </c>
      <c r="G353" s="5" t="s">
        <v>68</v>
      </c>
      <c r="H353" s="7" t="s">
        <v>80</v>
      </c>
      <c r="I353" s="7" t="s">
        <v>74</v>
      </c>
      <c r="J353" s="7" t="s">
        <v>1291</v>
      </c>
      <c r="K353" s="7" t="s">
        <v>36</v>
      </c>
      <c r="L353" s="7" t="s">
        <v>45</v>
      </c>
      <c r="M353" s="7" t="s">
        <v>38</v>
      </c>
      <c r="N353" s="5">
        <v>43040.0</v>
      </c>
      <c r="O353" s="8">
        <v>13800.0</v>
      </c>
      <c r="P353" s="8">
        <v>27150.0</v>
      </c>
      <c r="Q353" s="8">
        <f t="shared" si="2"/>
        <v>13350</v>
      </c>
      <c r="R353" s="8">
        <v>8.0</v>
      </c>
      <c r="S353" s="8">
        <f t="shared" si="3"/>
        <v>217200</v>
      </c>
      <c r="T353" s="9">
        <v>0.05</v>
      </c>
      <c r="U353" s="8">
        <f t="shared" si="4"/>
        <v>10860</v>
      </c>
      <c r="V353" s="8">
        <f t="shared" si="5"/>
        <v>206340</v>
      </c>
      <c r="W353" s="10">
        <f t="shared" si="6"/>
        <v>110400</v>
      </c>
      <c r="X353" s="10">
        <f t="shared" si="7"/>
        <v>95940</v>
      </c>
      <c r="Y353" s="10"/>
      <c r="Z353" s="10"/>
      <c r="AA353" s="10"/>
      <c r="AB353" s="4" t="s">
        <v>1292</v>
      </c>
      <c r="AC353" s="4" t="s">
        <v>1288</v>
      </c>
      <c r="AD353" s="4">
        <v>43038.0</v>
      </c>
      <c r="AE353" s="4">
        <v>2017.0</v>
      </c>
      <c r="AF353" s="4" t="s">
        <v>1289</v>
      </c>
      <c r="AG353" s="4" t="s">
        <v>1290</v>
      </c>
      <c r="AH353" s="4" t="s">
        <v>289</v>
      </c>
      <c r="AI353" s="4" t="s">
        <v>68</v>
      </c>
      <c r="AJ353" s="4" t="s">
        <v>80</v>
      </c>
      <c r="AK353" s="4" t="s">
        <v>74</v>
      </c>
      <c r="AL353" s="4" t="s">
        <v>1291</v>
      </c>
      <c r="AM353" s="4" t="s">
        <v>36</v>
      </c>
      <c r="AN353" s="4" t="s">
        <v>45</v>
      </c>
      <c r="AO353" s="4" t="s">
        <v>38</v>
      </c>
      <c r="AP353" s="4">
        <v>43040.0</v>
      </c>
      <c r="AQ353" s="4">
        <v>13800.0</v>
      </c>
      <c r="AR353" s="4">
        <v>27150.0</v>
      </c>
      <c r="AS353" s="4">
        <v>13350.0</v>
      </c>
      <c r="AT353" s="4">
        <v>8.0</v>
      </c>
      <c r="AU353" s="4">
        <v>217200.0</v>
      </c>
      <c r="AV353" s="4">
        <v>0.05</v>
      </c>
      <c r="AW353" s="4">
        <v>10860.0</v>
      </c>
      <c r="AX353" s="4">
        <v>206340.0</v>
      </c>
      <c r="AY353" s="4">
        <v>110400.0</v>
      </c>
      <c r="AZ353" s="4">
        <v>95940.0</v>
      </c>
    </row>
    <row r="354" ht="15.75" customHeight="1">
      <c r="A354" s="3" t="s">
        <v>1293</v>
      </c>
      <c r="B354" s="5">
        <v>43038.0</v>
      </c>
      <c r="C354" s="6">
        <f t="shared" si="1"/>
        <v>2017</v>
      </c>
      <c r="D354" s="7" t="s">
        <v>1289</v>
      </c>
      <c r="E354" s="7" t="s">
        <v>1290</v>
      </c>
      <c r="F354" s="7" t="s">
        <v>289</v>
      </c>
      <c r="G354" s="5" t="s">
        <v>68</v>
      </c>
      <c r="H354" s="7" t="s">
        <v>80</v>
      </c>
      <c r="I354" s="7" t="s">
        <v>74</v>
      </c>
      <c r="J354" s="7" t="s">
        <v>1294</v>
      </c>
      <c r="K354" s="7" t="s">
        <v>36</v>
      </c>
      <c r="L354" s="7" t="s">
        <v>45</v>
      </c>
      <c r="M354" s="7" t="s">
        <v>38</v>
      </c>
      <c r="N354" s="5">
        <v>43045.0</v>
      </c>
      <c r="O354" s="8">
        <v>28500.0</v>
      </c>
      <c r="P354" s="8">
        <v>49200.0</v>
      </c>
      <c r="Q354" s="8">
        <f t="shared" si="2"/>
        <v>20700</v>
      </c>
      <c r="R354" s="8">
        <v>41.0</v>
      </c>
      <c r="S354" s="8">
        <f t="shared" si="3"/>
        <v>2017200</v>
      </c>
      <c r="T354" s="9">
        <v>0.05</v>
      </c>
      <c r="U354" s="8">
        <f t="shared" si="4"/>
        <v>100860</v>
      </c>
      <c r="V354" s="8">
        <f t="shared" si="5"/>
        <v>1916340</v>
      </c>
      <c r="W354" s="10">
        <f t="shared" si="6"/>
        <v>1168500</v>
      </c>
      <c r="X354" s="10">
        <f t="shared" si="7"/>
        <v>747840</v>
      </c>
      <c r="Y354" s="10"/>
      <c r="Z354" s="10"/>
      <c r="AA354" s="10"/>
      <c r="AB354" s="4" t="s">
        <v>1295</v>
      </c>
      <c r="AC354" s="4" t="s">
        <v>1293</v>
      </c>
      <c r="AD354" s="4">
        <v>43038.0</v>
      </c>
      <c r="AE354" s="4">
        <v>2017.0</v>
      </c>
      <c r="AF354" s="4" t="s">
        <v>1289</v>
      </c>
      <c r="AG354" s="4" t="s">
        <v>1290</v>
      </c>
      <c r="AH354" s="4" t="s">
        <v>289</v>
      </c>
      <c r="AI354" s="4" t="s">
        <v>68</v>
      </c>
      <c r="AJ354" s="4" t="s">
        <v>80</v>
      </c>
      <c r="AK354" s="4" t="s">
        <v>74</v>
      </c>
      <c r="AL354" s="4" t="s">
        <v>1294</v>
      </c>
      <c r="AM354" s="4" t="s">
        <v>36</v>
      </c>
      <c r="AN354" s="4" t="s">
        <v>45</v>
      </c>
      <c r="AO354" s="4" t="s">
        <v>38</v>
      </c>
      <c r="AP354" s="4">
        <v>43045.0</v>
      </c>
      <c r="AQ354" s="4">
        <v>28500.0</v>
      </c>
      <c r="AR354" s="4">
        <v>49200.0</v>
      </c>
      <c r="AS354" s="4">
        <v>20700.0</v>
      </c>
      <c r="AT354" s="4">
        <v>41.0</v>
      </c>
      <c r="AU354" s="4">
        <v>2017200.0</v>
      </c>
      <c r="AV354" s="4">
        <v>0.05</v>
      </c>
      <c r="AW354" s="4">
        <v>100860.0</v>
      </c>
      <c r="AX354" s="4">
        <v>1916340.0</v>
      </c>
      <c r="AY354" s="4">
        <v>1168500.0</v>
      </c>
      <c r="AZ354" s="4">
        <v>747840.0</v>
      </c>
    </row>
    <row r="355" ht="15.75" customHeight="1">
      <c r="A355" s="3" t="s">
        <v>1296</v>
      </c>
      <c r="B355" s="5">
        <v>43042.0</v>
      </c>
      <c r="C355" s="6">
        <f t="shared" si="1"/>
        <v>2017</v>
      </c>
      <c r="D355" s="7" t="s">
        <v>1297</v>
      </c>
      <c r="E355" s="7" t="s">
        <v>726</v>
      </c>
      <c r="F355" s="7" t="s">
        <v>50</v>
      </c>
      <c r="G355" s="5" t="s">
        <v>68</v>
      </c>
      <c r="H355" s="7" t="s">
        <v>52</v>
      </c>
      <c r="I355" s="7" t="s">
        <v>74</v>
      </c>
      <c r="J355" s="7" t="s">
        <v>412</v>
      </c>
      <c r="K355" s="7" t="s">
        <v>36</v>
      </c>
      <c r="L355" s="7" t="s">
        <v>37</v>
      </c>
      <c r="M355" s="7" t="s">
        <v>38</v>
      </c>
      <c r="N355" s="5">
        <v>43044.0</v>
      </c>
      <c r="O355" s="8">
        <v>19950.0</v>
      </c>
      <c r="P355" s="8">
        <v>31200.0</v>
      </c>
      <c r="Q355" s="8">
        <f t="shared" si="2"/>
        <v>11250</v>
      </c>
      <c r="R355" s="8">
        <v>20.0</v>
      </c>
      <c r="S355" s="8">
        <f t="shared" si="3"/>
        <v>624000</v>
      </c>
      <c r="T355" s="9">
        <v>0.04</v>
      </c>
      <c r="U355" s="8">
        <f t="shared" si="4"/>
        <v>24960</v>
      </c>
      <c r="V355" s="8">
        <f t="shared" si="5"/>
        <v>599040</v>
      </c>
      <c r="W355" s="10">
        <f t="shared" si="6"/>
        <v>399000</v>
      </c>
      <c r="X355" s="10">
        <f t="shared" si="7"/>
        <v>200040</v>
      </c>
      <c r="Y355" s="10"/>
      <c r="Z355" s="10"/>
      <c r="AA355" s="10"/>
      <c r="AB355" s="4" t="s">
        <v>1298</v>
      </c>
      <c r="AC355" s="4" t="s">
        <v>1296</v>
      </c>
      <c r="AD355" s="4">
        <v>43042.0</v>
      </c>
      <c r="AE355" s="4">
        <v>2017.0</v>
      </c>
      <c r="AF355" s="4" t="s">
        <v>1297</v>
      </c>
      <c r="AG355" s="4" t="s">
        <v>726</v>
      </c>
      <c r="AH355" s="4" t="s">
        <v>50</v>
      </c>
      <c r="AI355" s="4" t="s">
        <v>68</v>
      </c>
      <c r="AJ355" s="4" t="s">
        <v>52</v>
      </c>
      <c r="AK355" s="4" t="s">
        <v>74</v>
      </c>
      <c r="AL355" s="4" t="s">
        <v>412</v>
      </c>
      <c r="AM355" s="4" t="s">
        <v>36</v>
      </c>
      <c r="AN355" s="4" t="s">
        <v>37</v>
      </c>
      <c r="AO355" s="4" t="s">
        <v>38</v>
      </c>
      <c r="AP355" s="4">
        <v>43044.0</v>
      </c>
      <c r="AQ355" s="4">
        <v>19950.0</v>
      </c>
      <c r="AR355" s="4">
        <v>31200.0</v>
      </c>
      <c r="AS355" s="4">
        <v>11250.0</v>
      </c>
      <c r="AT355" s="4">
        <v>20.0</v>
      </c>
      <c r="AU355" s="4">
        <v>624000.0</v>
      </c>
      <c r="AV355" s="4">
        <v>0.04</v>
      </c>
      <c r="AW355" s="4">
        <v>24960.0</v>
      </c>
      <c r="AX355" s="4">
        <v>599040.0</v>
      </c>
      <c r="AY355" s="4">
        <v>399000.0</v>
      </c>
      <c r="AZ355" s="4">
        <v>200040.0</v>
      </c>
    </row>
    <row r="356" ht="15.75" customHeight="1">
      <c r="A356" s="3" t="s">
        <v>1299</v>
      </c>
      <c r="B356" s="5">
        <v>43044.0</v>
      </c>
      <c r="C356" s="6">
        <f t="shared" si="1"/>
        <v>2017</v>
      </c>
      <c r="D356" s="7" t="s">
        <v>1300</v>
      </c>
      <c r="E356" s="7" t="s">
        <v>1089</v>
      </c>
      <c r="F356" s="7" t="s">
        <v>50</v>
      </c>
      <c r="G356" s="5" t="s">
        <v>91</v>
      </c>
      <c r="H356" s="7" t="s">
        <v>344</v>
      </c>
      <c r="I356" s="7" t="s">
        <v>53</v>
      </c>
      <c r="J356" s="7" t="s">
        <v>394</v>
      </c>
      <c r="K356" s="7" t="s">
        <v>36</v>
      </c>
      <c r="L356" s="7" t="s">
        <v>45</v>
      </c>
      <c r="M356" s="7" t="s">
        <v>55</v>
      </c>
      <c r="N356" s="5">
        <v>43046.0</v>
      </c>
      <c r="O356" s="8">
        <v>24000.0</v>
      </c>
      <c r="P356" s="8">
        <v>39300.0</v>
      </c>
      <c r="Q356" s="8">
        <f t="shared" si="2"/>
        <v>15300</v>
      </c>
      <c r="R356" s="8">
        <v>25.0</v>
      </c>
      <c r="S356" s="8">
        <f t="shared" si="3"/>
        <v>982500</v>
      </c>
      <c r="T356" s="9">
        <v>0.09</v>
      </c>
      <c r="U356" s="8">
        <f t="shared" si="4"/>
        <v>88425</v>
      </c>
      <c r="V356" s="8">
        <f t="shared" si="5"/>
        <v>894075</v>
      </c>
      <c r="W356" s="10">
        <f t="shared" si="6"/>
        <v>600000</v>
      </c>
      <c r="X356" s="10">
        <f t="shared" si="7"/>
        <v>294075</v>
      </c>
      <c r="Y356" s="10"/>
      <c r="Z356" s="10"/>
      <c r="AA356" s="10"/>
      <c r="AB356" s="4" t="s">
        <v>1301</v>
      </c>
      <c r="AC356" s="4" t="s">
        <v>1299</v>
      </c>
      <c r="AD356" s="4">
        <v>43044.0</v>
      </c>
      <c r="AE356" s="4">
        <v>2017.0</v>
      </c>
      <c r="AF356" s="4" t="s">
        <v>1300</v>
      </c>
      <c r="AG356" s="4" t="s">
        <v>1089</v>
      </c>
      <c r="AH356" s="4" t="s">
        <v>50</v>
      </c>
      <c r="AI356" s="4" t="s">
        <v>91</v>
      </c>
      <c r="AJ356" s="4" t="s">
        <v>344</v>
      </c>
      <c r="AK356" s="4" t="s">
        <v>53</v>
      </c>
      <c r="AL356" s="4" t="s">
        <v>394</v>
      </c>
      <c r="AM356" s="4" t="s">
        <v>36</v>
      </c>
      <c r="AN356" s="4" t="s">
        <v>45</v>
      </c>
      <c r="AO356" s="4" t="s">
        <v>55</v>
      </c>
      <c r="AP356" s="4">
        <v>43046.0</v>
      </c>
      <c r="AQ356" s="4">
        <v>24000.0</v>
      </c>
      <c r="AR356" s="4">
        <v>39300.0</v>
      </c>
      <c r="AS356" s="4">
        <v>15300.0</v>
      </c>
      <c r="AT356" s="4">
        <v>25.0</v>
      </c>
      <c r="AU356" s="4">
        <v>982500.0</v>
      </c>
      <c r="AV356" s="4">
        <v>0.09</v>
      </c>
      <c r="AW356" s="4">
        <v>88425.0</v>
      </c>
      <c r="AX356" s="4">
        <v>894075.0</v>
      </c>
      <c r="AY356" s="4">
        <v>600000.0</v>
      </c>
      <c r="AZ356" s="4">
        <v>294075.0</v>
      </c>
    </row>
    <row r="357" ht="15.75" customHeight="1">
      <c r="A357" s="3" t="s">
        <v>1302</v>
      </c>
      <c r="B357" s="5">
        <v>43045.0</v>
      </c>
      <c r="C357" s="6">
        <f t="shared" si="1"/>
        <v>2017</v>
      </c>
      <c r="D357" s="7" t="s">
        <v>1303</v>
      </c>
      <c r="E357" s="7" t="s">
        <v>194</v>
      </c>
      <c r="F357" s="7" t="s">
        <v>31</v>
      </c>
      <c r="G357" s="5" t="s">
        <v>32</v>
      </c>
      <c r="H357" s="7" t="s">
        <v>33</v>
      </c>
      <c r="I357" s="7" t="s">
        <v>74</v>
      </c>
      <c r="J357" s="7" t="s">
        <v>428</v>
      </c>
      <c r="K357" s="7" t="s">
        <v>36</v>
      </c>
      <c r="L357" s="7" t="s">
        <v>37</v>
      </c>
      <c r="M357" s="7" t="s">
        <v>38</v>
      </c>
      <c r="N357" s="5">
        <v>43047.0</v>
      </c>
      <c r="O357" s="8">
        <v>29700.0</v>
      </c>
      <c r="P357" s="8">
        <v>47250.0</v>
      </c>
      <c r="Q357" s="8">
        <f t="shared" si="2"/>
        <v>17550</v>
      </c>
      <c r="R357" s="8">
        <v>46.0</v>
      </c>
      <c r="S357" s="8">
        <f t="shared" si="3"/>
        <v>2173500</v>
      </c>
      <c r="T357" s="9">
        <v>0.1</v>
      </c>
      <c r="U357" s="8">
        <f t="shared" si="4"/>
        <v>217350</v>
      </c>
      <c r="V357" s="8">
        <f t="shared" si="5"/>
        <v>1956150</v>
      </c>
      <c r="W357" s="10">
        <f t="shared" si="6"/>
        <v>1366200</v>
      </c>
      <c r="X357" s="10">
        <f t="shared" si="7"/>
        <v>589950</v>
      </c>
      <c r="Y357" s="10"/>
      <c r="Z357" s="10"/>
      <c r="AA357" s="10"/>
      <c r="AB357" s="4" t="s">
        <v>1304</v>
      </c>
      <c r="AC357" s="4" t="s">
        <v>1302</v>
      </c>
      <c r="AD357" s="4">
        <v>43045.0</v>
      </c>
      <c r="AE357" s="4">
        <v>2017.0</v>
      </c>
      <c r="AF357" s="4" t="s">
        <v>1303</v>
      </c>
      <c r="AG357" s="4" t="s">
        <v>194</v>
      </c>
      <c r="AH357" s="4" t="s">
        <v>31</v>
      </c>
      <c r="AI357" s="4" t="s">
        <v>32</v>
      </c>
      <c r="AJ357" s="4" t="s">
        <v>33</v>
      </c>
      <c r="AK357" s="4" t="s">
        <v>74</v>
      </c>
      <c r="AL357" s="4" t="s">
        <v>428</v>
      </c>
      <c r="AM357" s="4" t="s">
        <v>36</v>
      </c>
      <c r="AN357" s="4" t="s">
        <v>37</v>
      </c>
      <c r="AO357" s="4" t="s">
        <v>38</v>
      </c>
      <c r="AP357" s="4">
        <v>43047.0</v>
      </c>
      <c r="AQ357" s="4">
        <v>29700.0</v>
      </c>
      <c r="AR357" s="4">
        <v>47250.0</v>
      </c>
      <c r="AS357" s="4">
        <v>17550.0</v>
      </c>
      <c r="AT357" s="4">
        <v>46.0</v>
      </c>
      <c r="AU357" s="4">
        <v>2173500.0</v>
      </c>
      <c r="AV357" s="4">
        <v>0.1</v>
      </c>
      <c r="AW357" s="4">
        <v>217350.0</v>
      </c>
      <c r="AX357" s="4">
        <v>1956150.0</v>
      </c>
      <c r="AY357" s="4">
        <v>1366200.0</v>
      </c>
      <c r="AZ357" s="4">
        <v>589950.0</v>
      </c>
    </row>
    <row r="358" ht="15.75" customHeight="1">
      <c r="A358" s="3" t="s">
        <v>1305</v>
      </c>
      <c r="B358" s="5">
        <v>43046.0</v>
      </c>
      <c r="C358" s="6">
        <f t="shared" si="1"/>
        <v>2017</v>
      </c>
      <c r="D358" s="7" t="s">
        <v>1306</v>
      </c>
      <c r="E358" s="7" t="s">
        <v>684</v>
      </c>
      <c r="F358" s="7" t="s">
        <v>50</v>
      </c>
      <c r="G358" s="5" t="s">
        <v>32</v>
      </c>
      <c r="H358" s="7" t="s">
        <v>98</v>
      </c>
      <c r="I358" s="7" t="s">
        <v>74</v>
      </c>
      <c r="J358" s="7" t="s">
        <v>978</v>
      </c>
      <c r="K358" s="7" t="s">
        <v>61</v>
      </c>
      <c r="L358" s="7" t="s">
        <v>555</v>
      </c>
      <c r="M358" s="7" t="s">
        <v>38</v>
      </c>
      <c r="N358" s="5">
        <v>43055.0</v>
      </c>
      <c r="O358" s="8">
        <v>5669850.0</v>
      </c>
      <c r="P358" s="8">
        <v>8999850.0</v>
      </c>
      <c r="Q358" s="8">
        <f t="shared" si="2"/>
        <v>3330000</v>
      </c>
      <c r="R358" s="8">
        <v>25.0</v>
      </c>
      <c r="S358" s="8">
        <f t="shared" si="3"/>
        <v>224996250</v>
      </c>
      <c r="T358" s="9">
        <v>0.07</v>
      </c>
      <c r="U358" s="8">
        <f t="shared" si="4"/>
        <v>15749737.5</v>
      </c>
      <c r="V358" s="8">
        <f t="shared" si="5"/>
        <v>209246512.5</v>
      </c>
      <c r="W358" s="10">
        <f t="shared" si="6"/>
        <v>141746250</v>
      </c>
      <c r="X358" s="10">
        <f t="shared" si="7"/>
        <v>67500262.5</v>
      </c>
      <c r="Y358" s="10"/>
      <c r="Z358" s="10"/>
      <c r="AA358" s="10"/>
      <c r="AB358" s="4" t="s">
        <v>1307</v>
      </c>
      <c r="AC358" s="4" t="s">
        <v>1305</v>
      </c>
      <c r="AD358" s="4">
        <v>43046.0</v>
      </c>
      <c r="AE358" s="4">
        <v>2017.0</v>
      </c>
      <c r="AF358" s="4" t="s">
        <v>1306</v>
      </c>
      <c r="AG358" s="4" t="s">
        <v>684</v>
      </c>
      <c r="AH358" s="4" t="s">
        <v>50</v>
      </c>
      <c r="AI358" s="4" t="s">
        <v>32</v>
      </c>
      <c r="AJ358" s="4" t="s">
        <v>98</v>
      </c>
      <c r="AK358" s="4" t="s">
        <v>74</v>
      </c>
      <c r="AL358" s="4" t="s">
        <v>978</v>
      </c>
      <c r="AM358" s="4" t="s">
        <v>61</v>
      </c>
      <c r="AN358" s="4" t="s">
        <v>555</v>
      </c>
      <c r="AO358" s="4" t="s">
        <v>38</v>
      </c>
      <c r="AP358" s="4">
        <v>43055.0</v>
      </c>
      <c r="AQ358" s="4">
        <v>5669850.0</v>
      </c>
      <c r="AR358" s="4">
        <v>8999850.0</v>
      </c>
      <c r="AS358" s="4">
        <v>3330000.0</v>
      </c>
      <c r="AT358" s="4">
        <v>25.0</v>
      </c>
      <c r="AU358" s="4">
        <v>2.2499625E8</v>
      </c>
      <c r="AV358" s="4">
        <v>0.07</v>
      </c>
      <c r="AW358" s="4">
        <v>1.57497375E7</v>
      </c>
      <c r="AX358" s="4">
        <v>2.092465125E8</v>
      </c>
      <c r="AY358" s="4">
        <v>1.4174625E8</v>
      </c>
      <c r="AZ358" s="4">
        <v>6.75002625E7</v>
      </c>
    </row>
    <row r="359" ht="15.75" customHeight="1">
      <c r="A359" s="3" t="s">
        <v>1308</v>
      </c>
      <c r="B359" s="5">
        <v>43046.0</v>
      </c>
      <c r="C359" s="6">
        <f t="shared" si="1"/>
        <v>2017</v>
      </c>
      <c r="D359" s="7" t="s">
        <v>1306</v>
      </c>
      <c r="E359" s="7" t="s">
        <v>684</v>
      </c>
      <c r="F359" s="7" t="s">
        <v>50</v>
      </c>
      <c r="G359" s="5" t="s">
        <v>32</v>
      </c>
      <c r="H359" s="7" t="s">
        <v>98</v>
      </c>
      <c r="I359" s="7" t="s">
        <v>74</v>
      </c>
      <c r="J359" s="7" t="s">
        <v>394</v>
      </c>
      <c r="K359" s="7" t="s">
        <v>36</v>
      </c>
      <c r="L359" s="7" t="s">
        <v>45</v>
      </c>
      <c r="M359" s="7" t="s">
        <v>38</v>
      </c>
      <c r="N359" s="5">
        <v>43053.0</v>
      </c>
      <c r="O359" s="8">
        <v>24000.0</v>
      </c>
      <c r="P359" s="8">
        <v>39300.0</v>
      </c>
      <c r="Q359" s="8">
        <f t="shared" si="2"/>
        <v>15300</v>
      </c>
      <c r="R359" s="8">
        <v>10.0</v>
      </c>
      <c r="S359" s="8">
        <f t="shared" si="3"/>
        <v>393000</v>
      </c>
      <c r="T359" s="9">
        <v>0.08</v>
      </c>
      <c r="U359" s="8">
        <f t="shared" si="4"/>
        <v>31440</v>
      </c>
      <c r="V359" s="8">
        <f t="shared" si="5"/>
        <v>361560</v>
      </c>
      <c r="W359" s="10">
        <f t="shared" si="6"/>
        <v>240000</v>
      </c>
      <c r="X359" s="10">
        <f t="shared" si="7"/>
        <v>121560</v>
      </c>
      <c r="Y359" s="10"/>
      <c r="Z359" s="10"/>
      <c r="AA359" s="10"/>
      <c r="AB359" s="4" t="s">
        <v>1309</v>
      </c>
      <c r="AC359" s="4" t="s">
        <v>1308</v>
      </c>
      <c r="AD359" s="4">
        <v>43046.0</v>
      </c>
      <c r="AE359" s="4">
        <v>2017.0</v>
      </c>
      <c r="AF359" s="4" t="s">
        <v>1306</v>
      </c>
      <c r="AG359" s="4" t="s">
        <v>684</v>
      </c>
      <c r="AH359" s="4" t="s">
        <v>50</v>
      </c>
      <c r="AI359" s="4" t="s">
        <v>32</v>
      </c>
      <c r="AJ359" s="4" t="s">
        <v>98</v>
      </c>
      <c r="AK359" s="4" t="s">
        <v>74</v>
      </c>
      <c r="AL359" s="4" t="s">
        <v>394</v>
      </c>
      <c r="AM359" s="4" t="s">
        <v>36</v>
      </c>
      <c r="AN359" s="4" t="s">
        <v>45</v>
      </c>
      <c r="AO359" s="4" t="s">
        <v>38</v>
      </c>
      <c r="AP359" s="4">
        <v>43053.0</v>
      </c>
      <c r="AQ359" s="4">
        <v>24000.0</v>
      </c>
      <c r="AR359" s="4">
        <v>39300.0</v>
      </c>
      <c r="AS359" s="4">
        <v>15300.0</v>
      </c>
      <c r="AT359" s="4">
        <v>10.0</v>
      </c>
      <c r="AU359" s="4">
        <v>393000.0</v>
      </c>
      <c r="AV359" s="4">
        <v>0.08</v>
      </c>
      <c r="AW359" s="4">
        <v>31440.0</v>
      </c>
      <c r="AX359" s="4">
        <v>361560.0</v>
      </c>
      <c r="AY359" s="4">
        <v>240000.0</v>
      </c>
      <c r="AZ359" s="4">
        <v>121560.0</v>
      </c>
    </row>
    <row r="360" ht="15.75" customHeight="1">
      <c r="A360" s="3" t="s">
        <v>1310</v>
      </c>
      <c r="B360" s="5">
        <v>43048.0</v>
      </c>
      <c r="C360" s="6">
        <f t="shared" si="1"/>
        <v>2017</v>
      </c>
      <c r="D360" s="7" t="s">
        <v>1311</v>
      </c>
      <c r="E360" s="7" t="s">
        <v>1312</v>
      </c>
      <c r="F360" s="7" t="s">
        <v>50</v>
      </c>
      <c r="G360" s="5" t="s">
        <v>51</v>
      </c>
      <c r="H360" s="7" t="s">
        <v>200</v>
      </c>
      <c r="I360" s="7" t="s">
        <v>104</v>
      </c>
      <c r="J360" s="7" t="s">
        <v>243</v>
      </c>
      <c r="K360" s="7" t="s">
        <v>61</v>
      </c>
      <c r="L360" s="7" t="s">
        <v>244</v>
      </c>
      <c r="M360" s="7" t="s">
        <v>38</v>
      </c>
      <c r="N360" s="5">
        <v>43050.0</v>
      </c>
      <c r="O360" s="8">
        <v>132300.0</v>
      </c>
      <c r="P360" s="8">
        <v>314850.0</v>
      </c>
      <c r="Q360" s="8">
        <f t="shared" si="2"/>
        <v>182550</v>
      </c>
      <c r="R360" s="8">
        <v>9.0</v>
      </c>
      <c r="S360" s="8">
        <f t="shared" si="3"/>
        <v>2833650</v>
      </c>
      <c r="T360" s="9">
        <v>0.08</v>
      </c>
      <c r="U360" s="8">
        <f t="shared" si="4"/>
        <v>226692</v>
      </c>
      <c r="V360" s="8">
        <f t="shared" si="5"/>
        <v>2606958</v>
      </c>
      <c r="W360" s="10">
        <f t="shared" si="6"/>
        <v>1190700</v>
      </c>
      <c r="X360" s="10">
        <f t="shared" si="7"/>
        <v>1416258</v>
      </c>
      <c r="Y360" s="10"/>
      <c r="Z360" s="10"/>
      <c r="AA360" s="10"/>
      <c r="AB360" s="4" t="s">
        <v>1313</v>
      </c>
      <c r="AC360" s="4" t="s">
        <v>1310</v>
      </c>
      <c r="AD360" s="4">
        <v>43048.0</v>
      </c>
      <c r="AE360" s="4">
        <v>2017.0</v>
      </c>
      <c r="AF360" s="4" t="s">
        <v>1311</v>
      </c>
      <c r="AG360" s="4" t="s">
        <v>1312</v>
      </c>
      <c r="AH360" s="4" t="s">
        <v>50</v>
      </c>
      <c r="AI360" s="4" t="s">
        <v>51</v>
      </c>
      <c r="AJ360" s="4" t="s">
        <v>200</v>
      </c>
      <c r="AK360" s="4" t="s">
        <v>104</v>
      </c>
      <c r="AL360" s="4" t="s">
        <v>243</v>
      </c>
      <c r="AM360" s="4" t="s">
        <v>61</v>
      </c>
      <c r="AN360" s="4" t="s">
        <v>244</v>
      </c>
      <c r="AO360" s="4" t="s">
        <v>38</v>
      </c>
      <c r="AP360" s="4">
        <v>43050.0</v>
      </c>
      <c r="AQ360" s="4">
        <v>132300.0</v>
      </c>
      <c r="AR360" s="4">
        <v>314850.0</v>
      </c>
      <c r="AS360" s="4">
        <v>182550.0</v>
      </c>
      <c r="AT360" s="4">
        <v>9.0</v>
      </c>
      <c r="AU360" s="4">
        <v>2833650.0</v>
      </c>
      <c r="AV360" s="4">
        <v>0.08</v>
      </c>
      <c r="AW360" s="4">
        <v>226692.0</v>
      </c>
      <c r="AX360" s="4">
        <v>2606958.0</v>
      </c>
      <c r="AY360" s="4">
        <v>1190700.0</v>
      </c>
      <c r="AZ360" s="4">
        <v>1416258.0</v>
      </c>
    </row>
    <row r="361" ht="15.75" customHeight="1">
      <c r="A361" s="3" t="s">
        <v>1314</v>
      </c>
      <c r="B361" s="5">
        <v>43050.0</v>
      </c>
      <c r="C361" s="6">
        <f t="shared" si="1"/>
        <v>2017</v>
      </c>
      <c r="D361" s="7" t="s">
        <v>1315</v>
      </c>
      <c r="E361" s="7" t="s">
        <v>103</v>
      </c>
      <c r="F361" s="7" t="s">
        <v>31</v>
      </c>
      <c r="G361" s="5" t="s">
        <v>91</v>
      </c>
      <c r="H361" s="7" t="s">
        <v>33</v>
      </c>
      <c r="I361" s="7" t="s">
        <v>34</v>
      </c>
      <c r="J361" s="7" t="s">
        <v>1272</v>
      </c>
      <c r="K361" s="7" t="s">
        <v>36</v>
      </c>
      <c r="L361" s="7" t="s">
        <v>37</v>
      </c>
      <c r="M361" s="7" t="s">
        <v>38</v>
      </c>
      <c r="N361" s="5">
        <v>43051.0</v>
      </c>
      <c r="O361" s="8">
        <v>27600.0</v>
      </c>
      <c r="P361" s="8">
        <v>43200.0</v>
      </c>
      <c r="Q361" s="8">
        <f t="shared" si="2"/>
        <v>15600</v>
      </c>
      <c r="R361" s="8">
        <v>11.0</v>
      </c>
      <c r="S361" s="8">
        <f t="shared" si="3"/>
        <v>475200</v>
      </c>
      <c r="T361" s="9">
        <v>0.02</v>
      </c>
      <c r="U361" s="8">
        <f t="shared" si="4"/>
        <v>9504</v>
      </c>
      <c r="V361" s="8">
        <f t="shared" si="5"/>
        <v>465696</v>
      </c>
      <c r="W361" s="10">
        <f t="shared" si="6"/>
        <v>303600</v>
      </c>
      <c r="X361" s="10">
        <f t="shared" si="7"/>
        <v>162096</v>
      </c>
      <c r="Y361" s="10"/>
      <c r="Z361" s="10"/>
      <c r="AA361" s="10"/>
      <c r="AB361" s="4" t="s">
        <v>1316</v>
      </c>
      <c r="AC361" s="4" t="s">
        <v>1314</v>
      </c>
      <c r="AD361" s="4">
        <v>43050.0</v>
      </c>
      <c r="AE361" s="4">
        <v>2017.0</v>
      </c>
      <c r="AF361" s="4" t="s">
        <v>1315</v>
      </c>
      <c r="AG361" s="4" t="s">
        <v>103</v>
      </c>
      <c r="AH361" s="4" t="s">
        <v>31</v>
      </c>
      <c r="AI361" s="4" t="s">
        <v>91</v>
      </c>
      <c r="AJ361" s="4" t="s">
        <v>33</v>
      </c>
      <c r="AK361" s="4" t="s">
        <v>34</v>
      </c>
      <c r="AL361" s="4" t="s">
        <v>1272</v>
      </c>
      <c r="AM361" s="4" t="s">
        <v>36</v>
      </c>
      <c r="AN361" s="4" t="s">
        <v>37</v>
      </c>
      <c r="AO361" s="4" t="s">
        <v>38</v>
      </c>
      <c r="AP361" s="4">
        <v>43051.0</v>
      </c>
      <c r="AQ361" s="4">
        <v>27600.0</v>
      </c>
      <c r="AR361" s="4">
        <v>43200.0</v>
      </c>
      <c r="AS361" s="4">
        <v>15600.0</v>
      </c>
      <c r="AT361" s="4">
        <v>11.0</v>
      </c>
      <c r="AU361" s="4">
        <v>475200.0</v>
      </c>
      <c r="AV361" s="4">
        <v>0.02</v>
      </c>
      <c r="AW361" s="4">
        <v>9504.0</v>
      </c>
      <c r="AX361" s="4">
        <v>465696.0</v>
      </c>
      <c r="AY361" s="4">
        <v>303600.0</v>
      </c>
      <c r="AZ361" s="4">
        <v>162096.0</v>
      </c>
    </row>
    <row r="362" ht="15.75" customHeight="1">
      <c r="A362" s="3" t="s">
        <v>1317</v>
      </c>
      <c r="B362" s="5">
        <v>43050.0</v>
      </c>
      <c r="C362" s="6">
        <f t="shared" si="1"/>
        <v>2017</v>
      </c>
      <c r="D362" s="7" t="s">
        <v>1318</v>
      </c>
      <c r="E362" s="7" t="s">
        <v>85</v>
      </c>
      <c r="F362" s="7" t="s">
        <v>50</v>
      </c>
      <c r="G362" s="5" t="s">
        <v>91</v>
      </c>
      <c r="H362" s="7" t="s">
        <v>80</v>
      </c>
      <c r="I362" s="7" t="s">
        <v>34</v>
      </c>
      <c r="J362" s="7" t="s">
        <v>254</v>
      </c>
      <c r="K362" s="7" t="s">
        <v>36</v>
      </c>
      <c r="L362" s="7" t="s">
        <v>37</v>
      </c>
      <c r="M362" s="7" t="s">
        <v>38</v>
      </c>
      <c r="N362" s="5">
        <v>43052.0</v>
      </c>
      <c r="O362" s="8">
        <v>208200.0</v>
      </c>
      <c r="P362" s="8">
        <v>335700.0</v>
      </c>
      <c r="Q362" s="8">
        <f t="shared" si="2"/>
        <v>127500</v>
      </c>
      <c r="R362" s="8">
        <v>34.0</v>
      </c>
      <c r="S362" s="8">
        <f t="shared" si="3"/>
        <v>11413800</v>
      </c>
      <c r="T362" s="9">
        <v>0.01</v>
      </c>
      <c r="U362" s="8">
        <f t="shared" si="4"/>
        <v>114138</v>
      </c>
      <c r="V362" s="8">
        <f t="shared" si="5"/>
        <v>11299662</v>
      </c>
      <c r="W362" s="10">
        <f t="shared" si="6"/>
        <v>7078800</v>
      </c>
      <c r="X362" s="10">
        <f t="shared" si="7"/>
        <v>4220862</v>
      </c>
      <c r="Y362" s="10"/>
      <c r="Z362" s="10"/>
      <c r="AA362" s="10"/>
      <c r="AB362" s="4" t="s">
        <v>1319</v>
      </c>
      <c r="AC362" s="4" t="s">
        <v>1317</v>
      </c>
      <c r="AD362" s="4">
        <v>43050.0</v>
      </c>
      <c r="AE362" s="4">
        <v>2017.0</v>
      </c>
      <c r="AF362" s="4" t="s">
        <v>1318</v>
      </c>
      <c r="AG362" s="4" t="s">
        <v>85</v>
      </c>
      <c r="AH362" s="4" t="s">
        <v>50</v>
      </c>
      <c r="AI362" s="4" t="s">
        <v>91</v>
      </c>
      <c r="AJ362" s="4" t="s">
        <v>80</v>
      </c>
      <c r="AK362" s="4" t="s">
        <v>34</v>
      </c>
      <c r="AL362" s="4" t="s">
        <v>254</v>
      </c>
      <c r="AM362" s="4" t="s">
        <v>36</v>
      </c>
      <c r="AN362" s="4" t="s">
        <v>37</v>
      </c>
      <c r="AO362" s="4" t="s">
        <v>38</v>
      </c>
      <c r="AP362" s="4">
        <v>43052.0</v>
      </c>
      <c r="AQ362" s="4">
        <v>208200.0</v>
      </c>
      <c r="AR362" s="4">
        <v>335700.0</v>
      </c>
      <c r="AS362" s="4">
        <v>127500.0</v>
      </c>
      <c r="AT362" s="4">
        <v>34.0</v>
      </c>
      <c r="AU362" s="4">
        <v>1.14138E7</v>
      </c>
      <c r="AV362" s="4">
        <v>0.01</v>
      </c>
      <c r="AW362" s="4">
        <v>114138.0</v>
      </c>
      <c r="AX362" s="4">
        <v>1.1299662E7</v>
      </c>
      <c r="AY362" s="4">
        <v>7078800.0</v>
      </c>
      <c r="AZ362" s="4">
        <v>4220862.0</v>
      </c>
    </row>
    <row r="363" ht="15.75" customHeight="1">
      <c r="A363" s="3" t="s">
        <v>1320</v>
      </c>
      <c r="B363" s="5">
        <v>43050.0</v>
      </c>
      <c r="C363" s="6">
        <f t="shared" si="1"/>
        <v>2017</v>
      </c>
      <c r="D363" s="7" t="s">
        <v>1321</v>
      </c>
      <c r="E363" s="7" t="s">
        <v>169</v>
      </c>
      <c r="F363" s="7" t="s">
        <v>31</v>
      </c>
      <c r="G363" s="5" t="s">
        <v>51</v>
      </c>
      <c r="H363" s="7" t="s">
        <v>43</v>
      </c>
      <c r="I363" s="7" t="s">
        <v>104</v>
      </c>
      <c r="J363" s="7" t="s">
        <v>105</v>
      </c>
      <c r="K363" s="7" t="s">
        <v>36</v>
      </c>
      <c r="L363" s="7" t="s">
        <v>37</v>
      </c>
      <c r="M363" s="7" t="s">
        <v>38</v>
      </c>
      <c r="N363" s="5">
        <v>43052.0</v>
      </c>
      <c r="O363" s="8">
        <v>73350.0</v>
      </c>
      <c r="P363" s="8">
        <v>114600.0</v>
      </c>
      <c r="Q363" s="8">
        <f t="shared" si="2"/>
        <v>41250</v>
      </c>
      <c r="R363" s="8">
        <v>7.0</v>
      </c>
      <c r="S363" s="8">
        <f t="shared" si="3"/>
        <v>802200</v>
      </c>
      <c r="T363" s="9">
        <v>0.06</v>
      </c>
      <c r="U363" s="8">
        <f t="shared" si="4"/>
        <v>48132</v>
      </c>
      <c r="V363" s="8">
        <f t="shared" si="5"/>
        <v>754068</v>
      </c>
      <c r="W363" s="10">
        <f t="shared" si="6"/>
        <v>513450</v>
      </c>
      <c r="X363" s="10">
        <f t="shared" si="7"/>
        <v>240618</v>
      </c>
      <c r="Y363" s="10"/>
      <c r="Z363" s="10"/>
      <c r="AA363" s="10"/>
      <c r="AB363" s="4" t="s">
        <v>1322</v>
      </c>
      <c r="AC363" s="4" t="s">
        <v>1320</v>
      </c>
      <c r="AD363" s="4">
        <v>43050.0</v>
      </c>
      <c r="AE363" s="4">
        <v>2017.0</v>
      </c>
      <c r="AF363" s="4" t="s">
        <v>1321</v>
      </c>
      <c r="AG363" s="4" t="s">
        <v>169</v>
      </c>
      <c r="AH363" s="4" t="s">
        <v>31</v>
      </c>
      <c r="AI363" s="4" t="s">
        <v>51</v>
      </c>
      <c r="AJ363" s="4" t="s">
        <v>43</v>
      </c>
      <c r="AK363" s="4" t="s">
        <v>104</v>
      </c>
      <c r="AL363" s="4" t="s">
        <v>105</v>
      </c>
      <c r="AM363" s="4" t="s">
        <v>36</v>
      </c>
      <c r="AN363" s="4" t="s">
        <v>37</v>
      </c>
      <c r="AO363" s="4" t="s">
        <v>38</v>
      </c>
      <c r="AP363" s="4">
        <v>43052.0</v>
      </c>
      <c r="AQ363" s="4">
        <v>73350.0</v>
      </c>
      <c r="AR363" s="4">
        <v>114600.0</v>
      </c>
      <c r="AS363" s="4">
        <v>41250.0</v>
      </c>
      <c r="AT363" s="4">
        <v>7.0</v>
      </c>
      <c r="AU363" s="4">
        <v>802200.0</v>
      </c>
      <c r="AV363" s="4">
        <v>0.06</v>
      </c>
      <c r="AW363" s="4">
        <v>48132.0</v>
      </c>
      <c r="AX363" s="4">
        <v>754068.0</v>
      </c>
      <c r="AY363" s="4">
        <v>513450.0</v>
      </c>
      <c r="AZ363" s="4">
        <v>240618.0</v>
      </c>
    </row>
    <row r="364" ht="15.75" customHeight="1">
      <c r="A364" s="3" t="s">
        <v>1323</v>
      </c>
      <c r="B364" s="5">
        <v>43054.0</v>
      </c>
      <c r="C364" s="6">
        <f t="shared" si="1"/>
        <v>2017</v>
      </c>
      <c r="D364" s="7" t="s">
        <v>1324</v>
      </c>
      <c r="E364" s="7" t="s">
        <v>795</v>
      </c>
      <c r="F364" s="7" t="s">
        <v>50</v>
      </c>
      <c r="G364" s="5" t="s">
        <v>51</v>
      </c>
      <c r="H364" s="7" t="s">
        <v>344</v>
      </c>
      <c r="I364" s="7" t="s">
        <v>104</v>
      </c>
      <c r="J364" s="7" t="s">
        <v>563</v>
      </c>
      <c r="K364" s="7" t="s">
        <v>36</v>
      </c>
      <c r="L364" s="7" t="s">
        <v>37</v>
      </c>
      <c r="M364" s="7" t="s">
        <v>38</v>
      </c>
      <c r="N364" s="5">
        <v>43055.0</v>
      </c>
      <c r="O364" s="8">
        <v>52500.0</v>
      </c>
      <c r="P364" s="8">
        <v>86100.0</v>
      </c>
      <c r="Q364" s="8">
        <f t="shared" si="2"/>
        <v>33600</v>
      </c>
      <c r="R364" s="8">
        <v>7.0</v>
      </c>
      <c r="S364" s="8">
        <f t="shared" si="3"/>
        <v>602700</v>
      </c>
      <c r="T364" s="9">
        <v>0.04</v>
      </c>
      <c r="U364" s="8">
        <f t="shared" si="4"/>
        <v>24108</v>
      </c>
      <c r="V364" s="8">
        <f t="shared" si="5"/>
        <v>578592</v>
      </c>
      <c r="W364" s="10">
        <f t="shared" si="6"/>
        <v>367500</v>
      </c>
      <c r="X364" s="10">
        <f t="shared" si="7"/>
        <v>211092</v>
      </c>
      <c r="Y364" s="10"/>
      <c r="Z364" s="10"/>
      <c r="AA364" s="10"/>
      <c r="AB364" s="4" t="s">
        <v>1325</v>
      </c>
      <c r="AC364" s="4" t="s">
        <v>1323</v>
      </c>
      <c r="AD364" s="4">
        <v>43054.0</v>
      </c>
      <c r="AE364" s="4">
        <v>2017.0</v>
      </c>
      <c r="AF364" s="4" t="s">
        <v>1324</v>
      </c>
      <c r="AG364" s="4" t="s">
        <v>795</v>
      </c>
      <c r="AH364" s="4" t="s">
        <v>50</v>
      </c>
      <c r="AI364" s="4" t="s">
        <v>51</v>
      </c>
      <c r="AJ364" s="4" t="s">
        <v>344</v>
      </c>
      <c r="AK364" s="4" t="s">
        <v>104</v>
      </c>
      <c r="AL364" s="4" t="s">
        <v>563</v>
      </c>
      <c r="AM364" s="4" t="s">
        <v>36</v>
      </c>
      <c r="AN364" s="4" t="s">
        <v>37</v>
      </c>
      <c r="AO364" s="4" t="s">
        <v>38</v>
      </c>
      <c r="AP364" s="4">
        <v>43055.0</v>
      </c>
      <c r="AQ364" s="4">
        <v>52500.0</v>
      </c>
      <c r="AR364" s="4">
        <v>86100.0</v>
      </c>
      <c r="AS364" s="4">
        <v>33600.0</v>
      </c>
      <c r="AT364" s="4">
        <v>7.0</v>
      </c>
      <c r="AU364" s="4">
        <v>602700.0</v>
      </c>
      <c r="AV364" s="4">
        <v>0.04</v>
      </c>
      <c r="AW364" s="4">
        <v>24108.0</v>
      </c>
      <c r="AX364" s="4">
        <v>578592.0</v>
      </c>
      <c r="AY364" s="4">
        <v>367500.0</v>
      </c>
      <c r="AZ364" s="4">
        <v>211092.0</v>
      </c>
    </row>
    <row r="365" ht="15.75" customHeight="1">
      <c r="A365" s="3" t="s">
        <v>1326</v>
      </c>
      <c r="B365" s="5">
        <v>43056.0</v>
      </c>
      <c r="C365" s="6">
        <f t="shared" si="1"/>
        <v>2017</v>
      </c>
      <c r="D365" s="7" t="s">
        <v>1327</v>
      </c>
      <c r="E365" s="7" t="s">
        <v>30</v>
      </c>
      <c r="F365" s="7" t="s">
        <v>31</v>
      </c>
      <c r="G365" s="5" t="s">
        <v>68</v>
      </c>
      <c r="H365" s="7" t="s">
        <v>33</v>
      </c>
      <c r="I365" s="7" t="s">
        <v>34</v>
      </c>
      <c r="J365" s="7" t="s">
        <v>75</v>
      </c>
      <c r="K365" s="7" t="s">
        <v>36</v>
      </c>
      <c r="L365" s="7" t="s">
        <v>45</v>
      </c>
      <c r="M365" s="7" t="s">
        <v>38</v>
      </c>
      <c r="N365" s="5">
        <v>43058.0</v>
      </c>
      <c r="O365" s="8">
        <v>16350.000000000002</v>
      </c>
      <c r="P365" s="8">
        <v>39000.0</v>
      </c>
      <c r="Q365" s="8">
        <f t="shared" si="2"/>
        <v>22650</v>
      </c>
      <c r="R365" s="8">
        <v>43.0</v>
      </c>
      <c r="S365" s="8">
        <f t="shared" si="3"/>
        <v>1677000</v>
      </c>
      <c r="T365" s="9">
        <v>0.06</v>
      </c>
      <c r="U365" s="8">
        <f t="shared" si="4"/>
        <v>100620</v>
      </c>
      <c r="V365" s="8">
        <f t="shared" si="5"/>
        <v>1576380</v>
      </c>
      <c r="W365" s="10">
        <f t="shared" si="6"/>
        <v>703050</v>
      </c>
      <c r="X365" s="10">
        <f t="shared" si="7"/>
        <v>873330</v>
      </c>
      <c r="Y365" s="10"/>
      <c r="Z365" s="10"/>
      <c r="AA365" s="10"/>
      <c r="AB365" s="4" t="s">
        <v>1328</v>
      </c>
      <c r="AC365" s="4" t="s">
        <v>1326</v>
      </c>
      <c r="AD365" s="4">
        <v>43056.0</v>
      </c>
      <c r="AE365" s="4">
        <v>2017.0</v>
      </c>
      <c r="AF365" s="4" t="s">
        <v>1327</v>
      </c>
      <c r="AG365" s="4" t="s">
        <v>30</v>
      </c>
      <c r="AH365" s="4" t="s">
        <v>31</v>
      </c>
      <c r="AI365" s="4" t="s">
        <v>68</v>
      </c>
      <c r="AJ365" s="4" t="s">
        <v>33</v>
      </c>
      <c r="AK365" s="4" t="s">
        <v>34</v>
      </c>
      <c r="AL365" s="4" t="s">
        <v>75</v>
      </c>
      <c r="AM365" s="4" t="s">
        <v>36</v>
      </c>
      <c r="AN365" s="4" t="s">
        <v>45</v>
      </c>
      <c r="AO365" s="4" t="s">
        <v>38</v>
      </c>
      <c r="AP365" s="4">
        <v>43058.0</v>
      </c>
      <c r="AQ365" s="4">
        <v>16350.0</v>
      </c>
      <c r="AR365" s="4">
        <v>39000.0</v>
      </c>
      <c r="AS365" s="4">
        <v>22650.0</v>
      </c>
      <c r="AT365" s="4">
        <v>43.0</v>
      </c>
      <c r="AU365" s="4">
        <v>1677000.0</v>
      </c>
      <c r="AV365" s="4">
        <v>0.06</v>
      </c>
      <c r="AW365" s="4">
        <v>100620.0</v>
      </c>
      <c r="AX365" s="4">
        <v>1576380.0</v>
      </c>
      <c r="AY365" s="4">
        <v>703050.0</v>
      </c>
      <c r="AZ365" s="4">
        <v>873330.0</v>
      </c>
    </row>
    <row r="366" ht="15.75" customHeight="1">
      <c r="A366" s="3" t="s">
        <v>1329</v>
      </c>
      <c r="B366" s="5">
        <v>43057.0</v>
      </c>
      <c r="C366" s="6">
        <f t="shared" si="1"/>
        <v>2017</v>
      </c>
      <c r="D366" s="7" t="s">
        <v>1330</v>
      </c>
      <c r="E366" s="7" t="s">
        <v>1331</v>
      </c>
      <c r="F366" s="7" t="s">
        <v>50</v>
      </c>
      <c r="G366" s="5" t="s">
        <v>51</v>
      </c>
      <c r="H366" s="7" t="s">
        <v>360</v>
      </c>
      <c r="I366" s="7" t="s">
        <v>74</v>
      </c>
      <c r="J366" s="7" t="s">
        <v>497</v>
      </c>
      <c r="K366" s="7" t="s">
        <v>36</v>
      </c>
      <c r="L366" s="7" t="s">
        <v>37</v>
      </c>
      <c r="M366" s="7" t="s">
        <v>38</v>
      </c>
      <c r="N366" s="5">
        <v>43057.0</v>
      </c>
      <c r="O366" s="8">
        <v>54750.0</v>
      </c>
      <c r="P366" s="8">
        <v>89700.0</v>
      </c>
      <c r="Q366" s="8">
        <f t="shared" si="2"/>
        <v>34950</v>
      </c>
      <c r="R366" s="8">
        <v>32.0</v>
      </c>
      <c r="S366" s="8">
        <f t="shared" si="3"/>
        <v>2870400</v>
      </c>
      <c r="T366" s="9">
        <v>0.1</v>
      </c>
      <c r="U366" s="8">
        <f t="shared" si="4"/>
        <v>287040</v>
      </c>
      <c r="V366" s="8">
        <f t="shared" si="5"/>
        <v>2583360</v>
      </c>
      <c r="W366" s="10">
        <f t="shared" si="6"/>
        <v>1752000</v>
      </c>
      <c r="X366" s="10">
        <f t="shared" si="7"/>
        <v>831360</v>
      </c>
      <c r="Y366" s="10"/>
      <c r="Z366" s="10"/>
      <c r="AA366" s="10"/>
      <c r="AB366" s="4" t="s">
        <v>1332</v>
      </c>
      <c r="AC366" s="4" t="s">
        <v>1329</v>
      </c>
      <c r="AD366" s="4">
        <v>43057.0</v>
      </c>
      <c r="AE366" s="4">
        <v>2017.0</v>
      </c>
      <c r="AF366" s="4" t="s">
        <v>1330</v>
      </c>
      <c r="AG366" s="4" t="s">
        <v>1331</v>
      </c>
      <c r="AH366" s="4" t="s">
        <v>50</v>
      </c>
      <c r="AI366" s="4" t="s">
        <v>51</v>
      </c>
      <c r="AJ366" s="4" t="s">
        <v>360</v>
      </c>
      <c r="AK366" s="4" t="s">
        <v>74</v>
      </c>
      <c r="AL366" s="4" t="s">
        <v>497</v>
      </c>
      <c r="AM366" s="4" t="s">
        <v>36</v>
      </c>
      <c r="AN366" s="4" t="s">
        <v>37</v>
      </c>
      <c r="AO366" s="4" t="s">
        <v>38</v>
      </c>
      <c r="AP366" s="4">
        <v>43057.0</v>
      </c>
      <c r="AQ366" s="4">
        <v>54750.0</v>
      </c>
      <c r="AR366" s="4">
        <v>89700.0</v>
      </c>
      <c r="AS366" s="4">
        <v>34950.0</v>
      </c>
      <c r="AT366" s="4">
        <v>32.0</v>
      </c>
      <c r="AU366" s="4">
        <v>2870400.0</v>
      </c>
      <c r="AV366" s="4">
        <v>0.1</v>
      </c>
      <c r="AW366" s="4">
        <v>287040.0</v>
      </c>
      <c r="AX366" s="4">
        <v>2583360.0</v>
      </c>
      <c r="AY366" s="4">
        <v>1752000.0</v>
      </c>
      <c r="AZ366" s="4">
        <v>831360.0</v>
      </c>
    </row>
    <row r="367" ht="15.75" customHeight="1">
      <c r="A367" s="3" t="s">
        <v>1333</v>
      </c>
      <c r="B367" s="5">
        <v>43058.0</v>
      </c>
      <c r="C367" s="6">
        <f t="shared" si="1"/>
        <v>2017</v>
      </c>
      <c r="D367" s="7" t="s">
        <v>1334</v>
      </c>
      <c r="E367" s="7" t="s">
        <v>139</v>
      </c>
      <c r="F367" s="7" t="s">
        <v>50</v>
      </c>
      <c r="G367" s="5" t="s">
        <v>91</v>
      </c>
      <c r="H367" s="7" t="s">
        <v>140</v>
      </c>
      <c r="I367" s="7" t="s">
        <v>53</v>
      </c>
      <c r="J367" s="7" t="s">
        <v>627</v>
      </c>
      <c r="K367" s="7" t="s">
        <v>36</v>
      </c>
      <c r="L367" s="7" t="s">
        <v>45</v>
      </c>
      <c r="M367" s="7" t="s">
        <v>38</v>
      </c>
      <c r="N367" s="5">
        <v>43060.0</v>
      </c>
      <c r="O367" s="8">
        <v>49800.0</v>
      </c>
      <c r="P367" s="8">
        <v>77700.0</v>
      </c>
      <c r="Q367" s="8">
        <f t="shared" si="2"/>
        <v>27900</v>
      </c>
      <c r="R367" s="8">
        <v>17.0</v>
      </c>
      <c r="S367" s="8">
        <f t="shared" si="3"/>
        <v>1320900</v>
      </c>
      <c r="T367" s="9">
        <v>0.02</v>
      </c>
      <c r="U367" s="8">
        <f t="shared" si="4"/>
        <v>26418</v>
      </c>
      <c r="V367" s="8">
        <f t="shared" si="5"/>
        <v>1294482</v>
      </c>
      <c r="W367" s="10">
        <f t="shared" si="6"/>
        <v>846600</v>
      </c>
      <c r="X367" s="10">
        <f t="shared" si="7"/>
        <v>447882</v>
      </c>
      <c r="Y367" s="10"/>
      <c r="Z367" s="10"/>
      <c r="AA367" s="10"/>
      <c r="AB367" s="4" t="s">
        <v>1335</v>
      </c>
      <c r="AC367" s="4" t="s">
        <v>1333</v>
      </c>
      <c r="AD367" s="4">
        <v>43058.0</v>
      </c>
      <c r="AE367" s="4">
        <v>2017.0</v>
      </c>
      <c r="AF367" s="4" t="s">
        <v>1334</v>
      </c>
      <c r="AG367" s="4" t="s">
        <v>139</v>
      </c>
      <c r="AH367" s="4" t="s">
        <v>50</v>
      </c>
      <c r="AI367" s="4" t="s">
        <v>91</v>
      </c>
      <c r="AJ367" s="4" t="s">
        <v>140</v>
      </c>
      <c r="AK367" s="4" t="s">
        <v>53</v>
      </c>
      <c r="AL367" s="4" t="s">
        <v>627</v>
      </c>
      <c r="AM367" s="4" t="s">
        <v>36</v>
      </c>
      <c r="AN367" s="4" t="s">
        <v>45</v>
      </c>
      <c r="AO367" s="4" t="s">
        <v>38</v>
      </c>
      <c r="AP367" s="4">
        <v>43060.0</v>
      </c>
      <c r="AQ367" s="4">
        <v>49800.0</v>
      </c>
      <c r="AR367" s="4">
        <v>77700.0</v>
      </c>
      <c r="AS367" s="4">
        <v>27900.0</v>
      </c>
      <c r="AT367" s="4">
        <v>17.0</v>
      </c>
      <c r="AU367" s="4">
        <v>1320900.0</v>
      </c>
      <c r="AV367" s="4">
        <v>0.02</v>
      </c>
      <c r="AW367" s="4">
        <v>26418.0</v>
      </c>
      <c r="AX367" s="4">
        <v>1294482.0</v>
      </c>
      <c r="AY367" s="4">
        <v>846600.0</v>
      </c>
      <c r="AZ367" s="4">
        <v>447882.0</v>
      </c>
    </row>
    <row r="368" ht="15.75" customHeight="1">
      <c r="A368" s="3" t="s">
        <v>1336</v>
      </c>
      <c r="B368" s="5">
        <v>43062.0</v>
      </c>
      <c r="C368" s="6">
        <f t="shared" si="1"/>
        <v>2017</v>
      </c>
      <c r="D368" s="7" t="s">
        <v>1337</v>
      </c>
      <c r="E368" s="7" t="s">
        <v>477</v>
      </c>
      <c r="F368" s="7" t="s">
        <v>50</v>
      </c>
      <c r="G368" s="5" t="s">
        <v>51</v>
      </c>
      <c r="H368" s="7" t="s">
        <v>151</v>
      </c>
      <c r="I368" s="7" t="s">
        <v>53</v>
      </c>
      <c r="J368" s="7" t="s">
        <v>467</v>
      </c>
      <c r="K368" s="7" t="s">
        <v>36</v>
      </c>
      <c r="L368" s="7" t="s">
        <v>45</v>
      </c>
      <c r="M368" s="7" t="s">
        <v>38</v>
      </c>
      <c r="N368" s="5">
        <v>43063.0</v>
      </c>
      <c r="O368" s="8">
        <v>3600.0</v>
      </c>
      <c r="P368" s="8">
        <v>18900.0</v>
      </c>
      <c r="Q368" s="8">
        <f t="shared" si="2"/>
        <v>15300</v>
      </c>
      <c r="R368" s="8">
        <v>2.0</v>
      </c>
      <c r="S368" s="8">
        <f t="shared" si="3"/>
        <v>37800</v>
      </c>
      <c r="T368" s="9">
        <v>0.06</v>
      </c>
      <c r="U368" s="8">
        <f t="shared" si="4"/>
        <v>2268</v>
      </c>
      <c r="V368" s="8">
        <f t="shared" si="5"/>
        <v>35532</v>
      </c>
      <c r="W368" s="10">
        <f t="shared" si="6"/>
        <v>7200</v>
      </c>
      <c r="X368" s="10">
        <f t="shared" si="7"/>
        <v>28332</v>
      </c>
      <c r="Y368" s="10"/>
      <c r="Z368" s="10"/>
      <c r="AA368" s="10"/>
      <c r="AB368" s="4" t="s">
        <v>1338</v>
      </c>
      <c r="AC368" s="4" t="s">
        <v>1336</v>
      </c>
      <c r="AD368" s="4">
        <v>43062.0</v>
      </c>
      <c r="AE368" s="4">
        <v>2017.0</v>
      </c>
      <c r="AF368" s="4" t="s">
        <v>1337</v>
      </c>
      <c r="AG368" s="4" t="s">
        <v>477</v>
      </c>
      <c r="AH368" s="4" t="s">
        <v>50</v>
      </c>
      <c r="AI368" s="4" t="s">
        <v>51</v>
      </c>
      <c r="AJ368" s="4" t="s">
        <v>151</v>
      </c>
      <c r="AK368" s="4" t="s">
        <v>53</v>
      </c>
      <c r="AL368" s="4" t="s">
        <v>467</v>
      </c>
      <c r="AM368" s="4" t="s">
        <v>36</v>
      </c>
      <c r="AN368" s="4" t="s">
        <v>45</v>
      </c>
      <c r="AO368" s="4" t="s">
        <v>38</v>
      </c>
      <c r="AP368" s="4">
        <v>43063.0</v>
      </c>
      <c r="AQ368" s="4">
        <v>3600.0</v>
      </c>
      <c r="AR368" s="4">
        <v>18900.0</v>
      </c>
      <c r="AS368" s="4">
        <v>15300.0</v>
      </c>
      <c r="AT368" s="4">
        <v>2.0</v>
      </c>
      <c r="AU368" s="4">
        <v>37800.0</v>
      </c>
      <c r="AV368" s="4">
        <v>0.06</v>
      </c>
      <c r="AW368" s="4">
        <v>2268.0</v>
      </c>
      <c r="AX368" s="4">
        <v>35532.0</v>
      </c>
      <c r="AY368" s="4">
        <v>7200.0</v>
      </c>
      <c r="AZ368" s="4">
        <v>28332.0</v>
      </c>
    </row>
    <row r="369" ht="15.75" customHeight="1">
      <c r="A369" s="3" t="s">
        <v>1339</v>
      </c>
      <c r="B369" s="5">
        <v>43062.0</v>
      </c>
      <c r="C369" s="6">
        <f t="shared" si="1"/>
        <v>2017</v>
      </c>
      <c r="D369" s="7" t="s">
        <v>436</v>
      </c>
      <c r="E369" s="7" t="s">
        <v>393</v>
      </c>
      <c r="F369" s="7" t="s">
        <v>31</v>
      </c>
      <c r="G369" s="5" t="s">
        <v>91</v>
      </c>
      <c r="H369" s="7" t="s">
        <v>43</v>
      </c>
      <c r="I369" s="7" t="s">
        <v>53</v>
      </c>
      <c r="J369" s="7" t="s">
        <v>259</v>
      </c>
      <c r="K369" s="7" t="s">
        <v>36</v>
      </c>
      <c r="L369" s="7" t="s">
        <v>45</v>
      </c>
      <c r="M369" s="7" t="s">
        <v>38</v>
      </c>
      <c r="N369" s="5">
        <v>43065.0</v>
      </c>
      <c r="O369" s="8">
        <v>323400.0</v>
      </c>
      <c r="P369" s="8">
        <v>548250.0</v>
      </c>
      <c r="Q369" s="8">
        <f t="shared" si="2"/>
        <v>224850</v>
      </c>
      <c r="R369" s="8">
        <v>24.0</v>
      </c>
      <c r="S369" s="8">
        <f t="shared" si="3"/>
        <v>13158000</v>
      </c>
      <c r="T369" s="9">
        <v>0.07</v>
      </c>
      <c r="U369" s="8">
        <f t="shared" si="4"/>
        <v>921060</v>
      </c>
      <c r="V369" s="8">
        <f t="shared" si="5"/>
        <v>12236940</v>
      </c>
      <c r="W369" s="10">
        <f t="shared" si="6"/>
        <v>7761600</v>
      </c>
      <c r="X369" s="10">
        <f t="shared" si="7"/>
        <v>4475340</v>
      </c>
      <c r="Y369" s="10"/>
      <c r="Z369" s="10"/>
      <c r="AA369" s="10"/>
      <c r="AB369" s="4" t="s">
        <v>1340</v>
      </c>
      <c r="AC369" s="4" t="s">
        <v>1339</v>
      </c>
      <c r="AD369" s="4">
        <v>43062.0</v>
      </c>
      <c r="AE369" s="4">
        <v>2017.0</v>
      </c>
      <c r="AF369" s="4" t="s">
        <v>436</v>
      </c>
      <c r="AG369" s="4" t="s">
        <v>393</v>
      </c>
      <c r="AH369" s="4" t="s">
        <v>31</v>
      </c>
      <c r="AI369" s="4" t="s">
        <v>91</v>
      </c>
      <c r="AJ369" s="4" t="s">
        <v>43</v>
      </c>
      <c r="AK369" s="4" t="s">
        <v>53</v>
      </c>
      <c r="AL369" s="4" t="s">
        <v>259</v>
      </c>
      <c r="AM369" s="4" t="s">
        <v>36</v>
      </c>
      <c r="AN369" s="4" t="s">
        <v>45</v>
      </c>
      <c r="AO369" s="4" t="s">
        <v>38</v>
      </c>
      <c r="AP369" s="4">
        <v>43065.0</v>
      </c>
      <c r="AQ369" s="4">
        <v>323400.0</v>
      </c>
      <c r="AR369" s="4">
        <v>548250.0</v>
      </c>
      <c r="AS369" s="4">
        <v>224850.0</v>
      </c>
      <c r="AT369" s="4">
        <v>24.0</v>
      </c>
      <c r="AU369" s="4">
        <v>1.3158E7</v>
      </c>
      <c r="AV369" s="4">
        <v>0.07</v>
      </c>
      <c r="AW369" s="4">
        <v>921060.0</v>
      </c>
      <c r="AX369" s="4">
        <v>1.223694E7</v>
      </c>
      <c r="AY369" s="4">
        <v>7761600.0</v>
      </c>
      <c r="AZ369" s="4">
        <v>4475340.0</v>
      </c>
    </row>
    <row r="370" ht="15.75" customHeight="1">
      <c r="A370" s="3" t="s">
        <v>1341</v>
      </c>
      <c r="B370" s="5">
        <v>43062.0</v>
      </c>
      <c r="C370" s="6">
        <f t="shared" si="1"/>
        <v>2017</v>
      </c>
      <c r="D370" s="7" t="s">
        <v>1342</v>
      </c>
      <c r="E370" s="7" t="s">
        <v>393</v>
      </c>
      <c r="F370" s="7" t="s">
        <v>31</v>
      </c>
      <c r="G370" s="5" t="s">
        <v>51</v>
      </c>
      <c r="H370" s="7" t="s">
        <v>43</v>
      </c>
      <c r="I370" s="7" t="s">
        <v>104</v>
      </c>
      <c r="J370" s="7" t="s">
        <v>272</v>
      </c>
      <c r="K370" s="7" t="s">
        <v>36</v>
      </c>
      <c r="L370" s="7" t="s">
        <v>45</v>
      </c>
      <c r="M370" s="7" t="s">
        <v>38</v>
      </c>
      <c r="N370" s="5">
        <v>43064.0</v>
      </c>
      <c r="O370" s="8">
        <v>56250.0</v>
      </c>
      <c r="P370" s="8">
        <v>106200.0</v>
      </c>
      <c r="Q370" s="8">
        <f t="shared" si="2"/>
        <v>49950</v>
      </c>
      <c r="R370" s="8">
        <v>47.0</v>
      </c>
      <c r="S370" s="8">
        <f t="shared" si="3"/>
        <v>4991400</v>
      </c>
      <c r="T370" s="9">
        <v>0.1</v>
      </c>
      <c r="U370" s="8">
        <f t="shared" si="4"/>
        <v>499140</v>
      </c>
      <c r="V370" s="8">
        <f t="shared" si="5"/>
        <v>4492260</v>
      </c>
      <c r="W370" s="10">
        <f t="shared" si="6"/>
        <v>2643750</v>
      </c>
      <c r="X370" s="10">
        <f t="shared" si="7"/>
        <v>1848510</v>
      </c>
      <c r="Y370" s="10"/>
      <c r="Z370" s="10"/>
      <c r="AA370" s="10"/>
      <c r="AB370" s="4" t="s">
        <v>1343</v>
      </c>
      <c r="AC370" s="4" t="s">
        <v>1341</v>
      </c>
      <c r="AD370" s="4">
        <v>43062.0</v>
      </c>
      <c r="AE370" s="4">
        <v>2017.0</v>
      </c>
      <c r="AF370" s="4" t="s">
        <v>1342</v>
      </c>
      <c r="AG370" s="4" t="s">
        <v>393</v>
      </c>
      <c r="AH370" s="4" t="s">
        <v>31</v>
      </c>
      <c r="AI370" s="4" t="s">
        <v>51</v>
      </c>
      <c r="AJ370" s="4" t="s">
        <v>43</v>
      </c>
      <c r="AK370" s="4" t="s">
        <v>104</v>
      </c>
      <c r="AL370" s="4" t="s">
        <v>272</v>
      </c>
      <c r="AM370" s="4" t="s">
        <v>36</v>
      </c>
      <c r="AN370" s="4" t="s">
        <v>45</v>
      </c>
      <c r="AO370" s="4" t="s">
        <v>38</v>
      </c>
      <c r="AP370" s="4">
        <v>43064.0</v>
      </c>
      <c r="AQ370" s="4">
        <v>56250.0</v>
      </c>
      <c r="AR370" s="4">
        <v>106200.0</v>
      </c>
      <c r="AS370" s="4">
        <v>49950.0</v>
      </c>
      <c r="AT370" s="4">
        <v>47.0</v>
      </c>
      <c r="AU370" s="4">
        <v>4991400.0</v>
      </c>
      <c r="AV370" s="4">
        <v>0.1</v>
      </c>
      <c r="AW370" s="4">
        <v>499140.0</v>
      </c>
      <c r="AX370" s="4">
        <v>4492260.0</v>
      </c>
      <c r="AY370" s="4">
        <v>2643750.0</v>
      </c>
      <c r="AZ370" s="4">
        <v>1848510.0</v>
      </c>
    </row>
    <row r="371" ht="15.75" customHeight="1">
      <c r="A371" s="3" t="s">
        <v>1344</v>
      </c>
      <c r="B371" s="5">
        <v>43062.0</v>
      </c>
      <c r="C371" s="6">
        <f t="shared" si="1"/>
        <v>2017</v>
      </c>
      <c r="D371" s="7" t="s">
        <v>1345</v>
      </c>
      <c r="E371" s="7" t="s">
        <v>30</v>
      </c>
      <c r="F371" s="7" t="s">
        <v>31</v>
      </c>
      <c r="G371" s="5" t="s">
        <v>68</v>
      </c>
      <c r="H371" s="7" t="s">
        <v>33</v>
      </c>
      <c r="I371" s="7" t="s">
        <v>34</v>
      </c>
      <c r="J371" s="7" t="s">
        <v>380</v>
      </c>
      <c r="K371" s="7" t="s">
        <v>36</v>
      </c>
      <c r="L371" s="7" t="s">
        <v>45</v>
      </c>
      <c r="M371" s="7" t="s">
        <v>55</v>
      </c>
      <c r="N371" s="5">
        <v>43064.0</v>
      </c>
      <c r="O371" s="8">
        <v>43500.0</v>
      </c>
      <c r="P371" s="8">
        <v>71400.0</v>
      </c>
      <c r="Q371" s="8">
        <f t="shared" si="2"/>
        <v>27900</v>
      </c>
      <c r="R371" s="8">
        <v>11.0</v>
      </c>
      <c r="S371" s="8">
        <f t="shared" si="3"/>
        <v>785400</v>
      </c>
      <c r="T371" s="9">
        <v>0.08</v>
      </c>
      <c r="U371" s="8">
        <f t="shared" si="4"/>
        <v>62832</v>
      </c>
      <c r="V371" s="8">
        <f t="shared" si="5"/>
        <v>722568</v>
      </c>
      <c r="W371" s="10">
        <f t="shared" si="6"/>
        <v>478500</v>
      </c>
      <c r="X371" s="10">
        <f t="shared" si="7"/>
        <v>244068</v>
      </c>
      <c r="Y371" s="10"/>
      <c r="Z371" s="10"/>
      <c r="AA371" s="10"/>
      <c r="AB371" s="4" t="s">
        <v>1346</v>
      </c>
      <c r="AC371" s="4" t="s">
        <v>1344</v>
      </c>
      <c r="AD371" s="4">
        <v>43062.0</v>
      </c>
      <c r="AE371" s="4">
        <v>2017.0</v>
      </c>
      <c r="AF371" s="4" t="s">
        <v>1345</v>
      </c>
      <c r="AG371" s="4" t="s">
        <v>30</v>
      </c>
      <c r="AH371" s="4" t="s">
        <v>31</v>
      </c>
      <c r="AI371" s="4" t="s">
        <v>68</v>
      </c>
      <c r="AJ371" s="4" t="s">
        <v>33</v>
      </c>
      <c r="AK371" s="4" t="s">
        <v>34</v>
      </c>
      <c r="AL371" s="4" t="s">
        <v>380</v>
      </c>
      <c r="AM371" s="4" t="s">
        <v>36</v>
      </c>
      <c r="AN371" s="4" t="s">
        <v>45</v>
      </c>
      <c r="AO371" s="4" t="s">
        <v>55</v>
      </c>
      <c r="AP371" s="4">
        <v>43064.0</v>
      </c>
      <c r="AQ371" s="4">
        <v>43500.0</v>
      </c>
      <c r="AR371" s="4">
        <v>71400.0</v>
      </c>
      <c r="AS371" s="4">
        <v>27900.0</v>
      </c>
      <c r="AT371" s="4">
        <v>11.0</v>
      </c>
      <c r="AU371" s="4">
        <v>785400.0</v>
      </c>
      <c r="AV371" s="4">
        <v>0.08</v>
      </c>
      <c r="AW371" s="4">
        <v>62832.0</v>
      </c>
      <c r="AX371" s="4">
        <v>722568.0</v>
      </c>
      <c r="AY371" s="4">
        <v>478500.0</v>
      </c>
      <c r="AZ371" s="4">
        <v>244068.0</v>
      </c>
    </row>
    <row r="372" ht="15.75" customHeight="1">
      <c r="A372" s="3" t="s">
        <v>1347</v>
      </c>
      <c r="B372" s="5">
        <v>43063.0</v>
      </c>
      <c r="C372" s="6">
        <f t="shared" si="1"/>
        <v>2017</v>
      </c>
      <c r="D372" s="7" t="s">
        <v>267</v>
      </c>
      <c r="E372" s="7" t="s">
        <v>268</v>
      </c>
      <c r="F372" s="7" t="s">
        <v>50</v>
      </c>
      <c r="G372" s="5" t="s">
        <v>32</v>
      </c>
      <c r="H372" s="7" t="s">
        <v>140</v>
      </c>
      <c r="I372" s="7" t="s">
        <v>74</v>
      </c>
      <c r="J372" s="7" t="s">
        <v>190</v>
      </c>
      <c r="K372" s="7" t="s">
        <v>61</v>
      </c>
      <c r="L372" s="7" t="s">
        <v>37</v>
      </c>
      <c r="M372" s="7" t="s">
        <v>38</v>
      </c>
      <c r="N372" s="5">
        <v>43070.0</v>
      </c>
      <c r="O372" s="8">
        <v>95850.0</v>
      </c>
      <c r="P372" s="8">
        <v>299700.0</v>
      </c>
      <c r="Q372" s="8">
        <f t="shared" si="2"/>
        <v>203850</v>
      </c>
      <c r="R372" s="8">
        <v>5.0</v>
      </c>
      <c r="S372" s="8">
        <f t="shared" si="3"/>
        <v>1498500</v>
      </c>
      <c r="T372" s="9">
        <v>0.09</v>
      </c>
      <c r="U372" s="8">
        <f t="shared" si="4"/>
        <v>134865</v>
      </c>
      <c r="V372" s="8">
        <f t="shared" si="5"/>
        <v>1363635</v>
      </c>
      <c r="W372" s="10">
        <f t="shared" si="6"/>
        <v>479250</v>
      </c>
      <c r="X372" s="10">
        <f t="shared" si="7"/>
        <v>884385</v>
      </c>
      <c r="Y372" s="10"/>
      <c r="Z372" s="10"/>
      <c r="AA372" s="10"/>
      <c r="AB372" s="4" t="s">
        <v>1348</v>
      </c>
      <c r="AC372" s="4" t="s">
        <v>1347</v>
      </c>
      <c r="AD372" s="4">
        <v>43063.0</v>
      </c>
      <c r="AE372" s="4">
        <v>2017.0</v>
      </c>
      <c r="AF372" s="4" t="s">
        <v>267</v>
      </c>
      <c r="AG372" s="4" t="s">
        <v>268</v>
      </c>
      <c r="AH372" s="4" t="s">
        <v>50</v>
      </c>
      <c r="AI372" s="4" t="s">
        <v>32</v>
      </c>
      <c r="AJ372" s="4" t="s">
        <v>140</v>
      </c>
      <c r="AK372" s="4" t="s">
        <v>74</v>
      </c>
      <c r="AL372" s="4" t="s">
        <v>190</v>
      </c>
      <c r="AM372" s="4" t="s">
        <v>61</v>
      </c>
      <c r="AN372" s="4" t="s">
        <v>37</v>
      </c>
      <c r="AO372" s="4" t="s">
        <v>38</v>
      </c>
      <c r="AP372" s="4">
        <v>43070.0</v>
      </c>
      <c r="AQ372" s="4">
        <v>95850.0</v>
      </c>
      <c r="AR372" s="4">
        <v>299700.0</v>
      </c>
      <c r="AS372" s="4">
        <v>203850.0</v>
      </c>
      <c r="AT372" s="4">
        <v>5.0</v>
      </c>
      <c r="AU372" s="4">
        <v>1498500.0</v>
      </c>
      <c r="AV372" s="4">
        <v>0.09</v>
      </c>
      <c r="AW372" s="4">
        <v>134865.0</v>
      </c>
      <c r="AX372" s="4">
        <v>1363635.0</v>
      </c>
      <c r="AY372" s="4">
        <v>479250.0</v>
      </c>
      <c r="AZ372" s="4">
        <v>884385.0</v>
      </c>
    </row>
    <row r="373" ht="15.75" customHeight="1">
      <c r="A373" s="3" t="s">
        <v>1349</v>
      </c>
      <c r="B373" s="5">
        <v>43073.0</v>
      </c>
      <c r="C373" s="6">
        <f t="shared" si="1"/>
        <v>2017</v>
      </c>
      <c r="D373" s="7" t="s">
        <v>1350</v>
      </c>
      <c r="E373" s="7" t="s">
        <v>424</v>
      </c>
      <c r="F373" s="7" t="s">
        <v>50</v>
      </c>
      <c r="G373" s="5" t="s">
        <v>32</v>
      </c>
      <c r="H373" s="7" t="s">
        <v>80</v>
      </c>
      <c r="I373" s="7" t="s">
        <v>92</v>
      </c>
      <c r="J373" s="7" t="s">
        <v>1351</v>
      </c>
      <c r="K373" s="7" t="s">
        <v>36</v>
      </c>
      <c r="L373" s="7" t="s">
        <v>37</v>
      </c>
      <c r="M373" s="7" t="s">
        <v>38</v>
      </c>
      <c r="N373" s="5">
        <v>43074.0</v>
      </c>
      <c r="O373" s="8">
        <v>60450.00000000001</v>
      </c>
      <c r="P373" s="8">
        <v>140700.0</v>
      </c>
      <c r="Q373" s="8">
        <f t="shared" si="2"/>
        <v>80250</v>
      </c>
      <c r="R373" s="8">
        <v>17.0</v>
      </c>
      <c r="S373" s="8">
        <f t="shared" si="3"/>
        <v>2391900</v>
      </c>
      <c r="T373" s="9">
        <v>0.09</v>
      </c>
      <c r="U373" s="8">
        <f t="shared" si="4"/>
        <v>215271</v>
      </c>
      <c r="V373" s="8">
        <f t="shared" si="5"/>
        <v>2176629</v>
      </c>
      <c r="W373" s="10">
        <f t="shared" si="6"/>
        <v>1027650</v>
      </c>
      <c r="X373" s="10">
        <f t="shared" si="7"/>
        <v>1148979</v>
      </c>
      <c r="Y373" s="10"/>
      <c r="Z373" s="10"/>
      <c r="AA373" s="10"/>
      <c r="AB373" s="4" t="s">
        <v>1352</v>
      </c>
      <c r="AC373" s="4" t="s">
        <v>1349</v>
      </c>
      <c r="AD373" s="4">
        <v>43073.0</v>
      </c>
      <c r="AE373" s="4">
        <v>2017.0</v>
      </c>
      <c r="AF373" s="4" t="s">
        <v>1350</v>
      </c>
      <c r="AG373" s="4" t="s">
        <v>424</v>
      </c>
      <c r="AH373" s="4" t="s">
        <v>50</v>
      </c>
      <c r="AI373" s="4" t="s">
        <v>32</v>
      </c>
      <c r="AJ373" s="4" t="s">
        <v>80</v>
      </c>
      <c r="AK373" s="4" t="s">
        <v>92</v>
      </c>
      <c r="AL373" s="4" t="s">
        <v>1351</v>
      </c>
      <c r="AM373" s="4" t="s">
        <v>36</v>
      </c>
      <c r="AN373" s="4" t="s">
        <v>37</v>
      </c>
      <c r="AO373" s="4" t="s">
        <v>38</v>
      </c>
      <c r="AP373" s="4">
        <v>43074.0</v>
      </c>
      <c r="AQ373" s="4">
        <v>60450.0</v>
      </c>
      <c r="AR373" s="4">
        <v>140700.0</v>
      </c>
      <c r="AS373" s="4">
        <v>80250.0</v>
      </c>
      <c r="AT373" s="4">
        <v>17.0</v>
      </c>
      <c r="AU373" s="4">
        <v>2391900.0</v>
      </c>
      <c r="AV373" s="4">
        <v>0.09</v>
      </c>
      <c r="AW373" s="4">
        <v>215271.0</v>
      </c>
      <c r="AX373" s="4">
        <v>2176629.0</v>
      </c>
      <c r="AY373" s="4">
        <v>1027650.0</v>
      </c>
      <c r="AZ373" s="4">
        <v>1148979.0</v>
      </c>
    </row>
    <row r="374" ht="15.75" customHeight="1">
      <c r="A374" s="3" t="s">
        <v>1353</v>
      </c>
      <c r="B374" s="5">
        <v>43076.0</v>
      </c>
      <c r="C374" s="6">
        <f t="shared" si="1"/>
        <v>2017</v>
      </c>
      <c r="D374" s="7" t="s">
        <v>1208</v>
      </c>
      <c r="E374" s="7" t="s">
        <v>393</v>
      </c>
      <c r="F374" s="7" t="s">
        <v>31</v>
      </c>
      <c r="G374" s="5" t="s">
        <v>51</v>
      </c>
      <c r="H374" s="7" t="s">
        <v>43</v>
      </c>
      <c r="I374" s="7" t="s">
        <v>34</v>
      </c>
      <c r="J374" s="7" t="s">
        <v>277</v>
      </c>
      <c r="K374" s="7" t="s">
        <v>278</v>
      </c>
      <c r="L374" s="7" t="s">
        <v>127</v>
      </c>
      <c r="M374" s="7" t="s">
        <v>38</v>
      </c>
      <c r="N374" s="5">
        <v>43078.0</v>
      </c>
      <c r="O374" s="8">
        <v>82500.0</v>
      </c>
      <c r="P374" s="8">
        <v>183300.0</v>
      </c>
      <c r="Q374" s="8">
        <f t="shared" si="2"/>
        <v>100800</v>
      </c>
      <c r="R374" s="8">
        <v>37.0</v>
      </c>
      <c r="S374" s="8">
        <f t="shared" si="3"/>
        <v>6782100</v>
      </c>
      <c r="T374" s="9">
        <v>0.09</v>
      </c>
      <c r="U374" s="8">
        <f t="shared" si="4"/>
        <v>610389</v>
      </c>
      <c r="V374" s="8">
        <f t="shared" si="5"/>
        <v>6171711</v>
      </c>
      <c r="W374" s="10">
        <f t="shared" si="6"/>
        <v>3052500</v>
      </c>
      <c r="X374" s="10">
        <f t="shared" si="7"/>
        <v>3119211</v>
      </c>
      <c r="Y374" s="10"/>
      <c r="Z374" s="10"/>
      <c r="AA374" s="10"/>
      <c r="AB374" s="4" t="s">
        <v>1354</v>
      </c>
      <c r="AC374" s="4" t="s">
        <v>1353</v>
      </c>
      <c r="AD374" s="4">
        <v>43076.0</v>
      </c>
      <c r="AE374" s="4">
        <v>2017.0</v>
      </c>
      <c r="AF374" s="4" t="s">
        <v>1208</v>
      </c>
      <c r="AG374" s="4" t="s">
        <v>393</v>
      </c>
      <c r="AH374" s="4" t="s">
        <v>31</v>
      </c>
      <c r="AI374" s="4" t="s">
        <v>51</v>
      </c>
      <c r="AJ374" s="4" t="s">
        <v>43</v>
      </c>
      <c r="AK374" s="4" t="s">
        <v>34</v>
      </c>
      <c r="AL374" s="4" t="s">
        <v>277</v>
      </c>
      <c r="AM374" s="4" t="s">
        <v>278</v>
      </c>
      <c r="AN374" s="4" t="s">
        <v>127</v>
      </c>
      <c r="AO374" s="4" t="s">
        <v>38</v>
      </c>
      <c r="AP374" s="4">
        <v>43078.0</v>
      </c>
      <c r="AQ374" s="4">
        <v>82500.0</v>
      </c>
      <c r="AR374" s="4">
        <v>183300.0</v>
      </c>
      <c r="AS374" s="4">
        <v>100800.0</v>
      </c>
      <c r="AT374" s="4">
        <v>37.0</v>
      </c>
      <c r="AU374" s="4">
        <v>6782100.0</v>
      </c>
      <c r="AV374" s="4">
        <v>0.09</v>
      </c>
      <c r="AW374" s="4">
        <v>610389.0</v>
      </c>
      <c r="AX374" s="4">
        <v>6171711.0</v>
      </c>
      <c r="AY374" s="4">
        <v>3052500.0</v>
      </c>
      <c r="AZ374" s="4">
        <v>3119211.0</v>
      </c>
    </row>
    <row r="375" ht="15.75" customHeight="1">
      <c r="A375" s="3" t="s">
        <v>1355</v>
      </c>
      <c r="B375" s="5">
        <v>43076.0</v>
      </c>
      <c r="C375" s="6">
        <f t="shared" si="1"/>
        <v>2017</v>
      </c>
      <c r="D375" s="7" t="s">
        <v>1356</v>
      </c>
      <c r="E375" s="7" t="s">
        <v>985</v>
      </c>
      <c r="F375" s="7" t="s">
        <v>50</v>
      </c>
      <c r="G375" s="5" t="s">
        <v>32</v>
      </c>
      <c r="H375" s="7" t="s">
        <v>140</v>
      </c>
      <c r="I375" s="7" t="s">
        <v>34</v>
      </c>
      <c r="J375" s="7" t="s">
        <v>404</v>
      </c>
      <c r="K375" s="7" t="s">
        <v>36</v>
      </c>
      <c r="L375" s="7" t="s">
        <v>45</v>
      </c>
      <c r="M375" s="7" t="s">
        <v>38</v>
      </c>
      <c r="N375" s="5">
        <v>43078.0</v>
      </c>
      <c r="O375" s="8">
        <v>166650.0</v>
      </c>
      <c r="P375" s="8">
        <v>297600.0</v>
      </c>
      <c r="Q375" s="8">
        <f t="shared" si="2"/>
        <v>130950</v>
      </c>
      <c r="R375" s="8">
        <v>28.0</v>
      </c>
      <c r="S375" s="8">
        <f t="shared" si="3"/>
        <v>8332800</v>
      </c>
      <c r="T375" s="9">
        <v>0.06</v>
      </c>
      <c r="U375" s="8">
        <f t="shared" si="4"/>
        <v>499968</v>
      </c>
      <c r="V375" s="8">
        <f t="shared" si="5"/>
        <v>7832832</v>
      </c>
      <c r="W375" s="10">
        <f t="shared" si="6"/>
        <v>4666200</v>
      </c>
      <c r="X375" s="10">
        <f t="shared" si="7"/>
        <v>3166632</v>
      </c>
      <c r="Y375" s="10"/>
      <c r="Z375" s="10"/>
      <c r="AA375" s="10"/>
      <c r="AB375" s="4" t="s">
        <v>1357</v>
      </c>
      <c r="AC375" s="4" t="s">
        <v>1355</v>
      </c>
      <c r="AD375" s="4">
        <v>43076.0</v>
      </c>
      <c r="AE375" s="4">
        <v>2017.0</v>
      </c>
      <c r="AF375" s="4" t="s">
        <v>1356</v>
      </c>
      <c r="AG375" s="4" t="s">
        <v>985</v>
      </c>
      <c r="AH375" s="4" t="s">
        <v>50</v>
      </c>
      <c r="AI375" s="4" t="s">
        <v>32</v>
      </c>
      <c r="AJ375" s="4" t="s">
        <v>140</v>
      </c>
      <c r="AK375" s="4" t="s">
        <v>34</v>
      </c>
      <c r="AL375" s="4" t="s">
        <v>404</v>
      </c>
      <c r="AM375" s="4" t="s">
        <v>36</v>
      </c>
      <c r="AN375" s="4" t="s">
        <v>45</v>
      </c>
      <c r="AO375" s="4" t="s">
        <v>38</v>
      </c>
      <c r="AP375" s="4">
        <v>43078.0</v>
      </c>
      <c r="AQ375" s="4">
        <v>166650.0</v>
      </c>
      <c r="AR375" s="4">
        <v>297600.0</v>
      </c>
      <c r="AS375" s="4">
        <v>130950.0</v>
      </c>
      <c r="AT375" s="4">
        <v>28.0</v>
      </c>
      <c r="AU375" s="4">
        <v>8332800.0</v>
      </c>
      <c r="AV375" s="4">
        <v>0.06</v>
      </c>
      <c r="AW375" s="4">
        <v>499968.0</v>
      </c>
      <c r="AX375" s="4">
        <v>7832832.0</v>
      </c>
      <c r="AY375" s="4">
        <v>4666200.0</v>
      </c>
      <c r="AZ375" s="4">
        <v>3166632.0</v>
      </c>
    </row>
    <row r="376" ht="15.75" customHeight="1">
      <c r="A376" s="3" t="s">
        <v>1358</v>
      </c>
      <c r="B376" s="5">
        <v>43077.0</v>
      </c>
      <c r="C376" s="6">
        <f t="shared" si="1"/>
        <v>2017</v>
      </c>
      <c r="D376" s="7" t="s">
        <v>579</v>
      </c>
      <c r="E376" s="7" t="s">
        <v>580</v>
      </c>
      <c r="F376" s="7" t="s">
        <v>289</v>
      </c>
      <c r="G376" s="5" t="s">
        <v>51</v>
      </c>
      <c r="H376" s="7" t="s">
        <v>140</v>
      </c>
      <c r="I376" s="7" t="s">
        <v>104</v>
      </c>
      <c r="J376" s="7" t="s">
        <v>204</v>
      </c>
      <c r="K376" s="7" t="s">
        <v>61</v>
      </c>
      <c r="L376" s="7" t="s">
        <v>37</v>
      </c>
      <c r="M376" s="7" t="s">
        <v>38</v>
      </c>
      <c r="N376" s="5">
        <v>43077.0</v>
      </c>
      <c r="O376" s="8">
        <v>151050.0</v>
      </c>
      <c r="P376" s="8">
        <v>239700.0</v>
      </c>
      <c r="Q376" s="8">
        <f t="shared" si="2"/>
        <v>88650</v>
      </c>
      <c r="R376" s="8">
        <v>46.0</v>
      </c>
      <c r="S376" s="8">
        <f t="shared" si="3"/>
        <v>11026200</v>
      </c>
      <c r="T376" s="9">
        <v>0.02</v>
      </c>
      <c r="U376" s="8">
        <f t="shared" si="4"/>
        <v>220524</v>
      </c>
      <c r="V376" s="8">
        <f t="shared" si="5"/>
        <v>10805676</v>
      </c>
      <c r="W376" s="10">
        <f t="shared" si="6"/>
        <v>6948300</v>
      </c>
      <c r="X376" s="10">
        <f t="shared" si="7"/>
        <v>3857376</v>
      </c>
      <c r="Y376" s="10"/>
      <c r="Z376" s="10"/>
      <c r="AA376" s="10"/>
      <c r="AB376" s="4" t="s">
        <v>1359</v>
      </c>
      <c r="AC376" s="4" t="s">
        <v>1358</v>
      </c>
      <c r="AD376" s="4">
        <v>43077.0</v>
      </c>
      <c r="AE376" s="4">
        <v>2017.0</v>
      </c>
      <c r="AF376" s="4" t="s">
        <v>579</v>
      </c>
      <c r="AG376" s="4" t="s">
        <v>580</v>
      </c>
      <c r="AH376" s="4" t="s">
        <v>289</v>
      </c>
      <c r="AI376" s="4" t="s">
        <v>51</v>
      </c>
      <c r="AJ376" s="4" t="s">
        <v>140</v>
      </c>
      <c r="AK376" s="4" t="s">
        <v>104</v>
      </c>
      <c r="AL376" s="4" t="s">
        <v>204</v>
      </c>
      <c r="AM376" s="4" t="s">
        <v>61</v>
      </c>
      <c r="AN376" s="4" t="s">
        <v>37</v>
      </c>
      <c r="AO376" s="4" t="s">
        <v>38</v>
      </c>
      <c r="AP376" s="4">
        <v>43077.0</v>
      </c>
      <c r="AQ376" s="4">
        <v>151050.0</v>
      </c>
      <c r="AR376" s="4">
        <v>239700.0</v>
      </c>
      <c r="AS376" s="4">
        <v>88650.0</v>
      </c>
      <c r="AT376" s="4">
        <v>46.0</v>
      </c>
      <c r="AU376" s="4">
        <v>1.10262E7</v>
      </c>
      <c r="AV376" s="4">
        <v>0.02</v>
      </c>
      <c r="AW376" s="4">
        <v>220524.0</v>
      </c>
      <c r="AX376" s="4">
        <v>1.0805676E7</v>
      </c>
      <c r="AY376" s="4">
        <v>6948300.0</v>
      </c>
      <c r="AZ376" s="4">
        <v>3857376.0</v>
      </c>
    </row>
    <row r="377" ht="15.75" customHeight="1">
      <c r="A377" s="3" t="s">
        <v>1360</v>
      </c>
      <c r="B377" s="5">
        <v>43078.0</v>
      </c>
      <c r="C377" s="6">
        <f t="shared" si="1"/>
        <v>2017</v>
      </c>
      <c r="D377" s="7" t="s">
        <v>1361</v>
      </c>
      <c r="E377" s="7" t="s">
        <v>173</v>
      </c>
      <c r="F377" s="7" t="s">
        <v>31</v>
      </c>
      <c r="G377" s="5" t="s">
        <v>32</v>
      </c>
      <c r="H377" s="7" t="s">
        <v>43</v>
      </c>
      <c r="I377" s="7" t="s">
        <v>92</v>
      </c>
      <c r="J377" s="7" t="s">
        <v>394</v>
      </c>
      <c r="K377" s="7" t="s">
        <v>36</v>
      </c>
      <c r="L377" s="7" t="s">
        <v>45</v>
      </c>
      <c r="M377" s="7" t="s">
        <v>55</v>
      </c>
      <c r="N377" s="5">
        <v>43079.0</v>
      </c>
      <c r="O377" s="8">
        <v>24000.0</v>
      </c>
      <c r="P377" s="8">
        <v>39300.0</v>
      </c>
      <c r="Q377" s="8">
        <f t="shared" si="2"/>
        <v>15300</v>
      </c>
      <c r="R377" s="8">
        <v>45.0</v>
      </c>
      <c r="S377" s="8">
        <f t="shared" si="3"/>
        <v>1768500</v>
      </c>
      <c r="T377" s="9">
        <v>0.01</v>
      </c>
      <c r="U377" s="8">
        <f t="shared" si="4"/>
        <v>17685</v>
      </c>
      <c r="V377" s="8">
        <f t="shared" si="5"/>
        <v>1750815</v>
      </c>
      <c r="W377" s="10">
        <f t="shared" si="6"/>
        <v>1080000</v>
      </c>
      <c r="X377" s="10">
        <f t="shared" si="7"/>
        <v>670815</v>
      </c>
      <c r="Y377" s="10"/>
      <c r="Z377" s="10"/>
      <c r="AA377" s="10"/>
      <c r="AB377" s="4" t="s">
        <v>1362</v>
      </c>
      <c r="AC377" s="4" t="s">
        <v>1360</v>
      </c>
      <c r="AD377" s="4">
        <v>43078.0</v>
      </c>
      <c r="AE377" s="4">
        <v>2017.0</v>
      </c>
      <c r="AF377" s="4" t="s">
        <v>1361</v>
      </c>
      <c r="AG377" s="4" t="s">
        <v>173</v>
      </c>
      <c r="AH377" s="4" t="s">
        <v>31</v>
      </c>
      <c r="AI377" s="4" t="s">
        <v>32</v>
      </c>
      <c r="AJ377" s="4" t="s">
        <v>43</v>
      </c>
      <c r="AK377" s="4" t="s">
        <v>92</v>
      </c>
      <c r="AL377" s="4" t="s">
        <v>394</v>
      </c>
      <c r="AM377" s="4" t="s">
        <v>36</v>
      </c>
      <c r="AN377" s="4" t="s">
        <v>45</v>
      </c>
      <c r="AO377" s="4" t="s">
        <v>55</v>
      </c>
      <c r="AP377" s="4">
        <v>43079.0</v>
      </c>
      <c r="AQ377" s="4">
        <v>24000.0</v>
      </c>
      <c r="AR377" s="4">
        <v>39300.0</v>
      </c>
      <c r="AS377" s="4">
        <v>15300.0</v>
      </c>
      <c r="AT377" s="4">
        <v>45.0</v>
      </c>
      <c r="AU377" s="4">
        <v>1768500.0</v>
      </c>
      <c r="AV377" s="4">
        <v>0.01</v>
      </c>
      <c r="AW377" s="4">
        <v>17685.0</v>
      </c>
      <c r="AX377" s="4">
        <v>1750815.0</v>
      </c>
      <c r="AY377" s="4">
        <v>1080000.0</v>
      </c>
      <c r="AZ377" s="4">
        <v>670815.0</v>
      </c>
    </row>
    <row r="378" ht="15.75" customHeight="1">
      <c r="A378" s="3" t="s">
        <v>1363</v>
      </c>
      <c r="B378" s="5">
        <v>43079.0</v>
      </c>
      <c r="C378" s="6">
        <f t="shared" si="1"/>
        <v>2017</v>
      </c>
      <c r="D378" s="7" t="s">
        <v>1364</v>
      </c>
      <c r="E378" s="7" t="s">
        <v>542</v>
      </c>
      <c r="F378" s="7" t="s">
        <v>31</v>
      </c>
      <c r="G378" s="5" t="s">
        <v>51</v>
      </c>
      <c r="H378" s="7" t="s">
        <v>33</v>
      </c>
      <c r="I378" s="7" t="s">
        <v>34</v>
      </c>
      <c r="J378" s="7" t="s">
        <v>484</v>
      </c>
      <c r="K378" s="7" t="s">
        <v>61</v>
      </c>
      <c r="L378" s="7" t="s">
        <v>62</v>
      </c>
      <c r="M378" s="7" t="s">
        <v>63</v>
      </c>
      <c r="N378" s="5">
        <v>43079.0</v>
      </c>
      <c r="O378" s="8">
        <v>4184850.0</v>
      </c>
      <c r="P378" s="8">
        <v>6749850.0</v>
      </c>
      <c r="Q378" s="8">
        <f t="shared" si="2"/>
        <v>2565000</v>
      </c>
      <c r="R378" s="8">
        <v>15.0</v>
      </c>
      <c r="S378" s="8">
        <f t="shared" si="3"/>
        <v>101247750</v>
      </c>
      <c r="T378" s="9">
        <v>0.04</v>
      </c>
      <c r="U378" s="8">
        <f t="shared" si="4"/>
        <v>4049910</v>
      </c>
      <c r="V378" s="8">
        <f t="shared" si="5"/>
        <v>97197840</v>
      </c>
      <c r="W378" s="10">
        <f t="shared" si="6"/>
        <v>62772750</v>
      </c>
      <c r="X378" s="10">
        <f t="shared" si="7"/>
        <v>34425090</v>
      </c>
      <c r="Y378" s="10"/>
      <c r="Z378" s="10"/>
      <c r="AA378" s="10"/>
      <c r="AB378" s="4" t="s">
        <v>1365</v>
      </c>
      <c r="AC378" s="4" t="s">
        <v>1363</v>
      </c>
      <c r="AD378" s="4">
        <v>43079.0</v>
      </c>
      <c r="AE378" s="4">
        <v>2017.0</v>
      </c>
      <c r="AF378" s="4" t="s">
        <v>1364</v>
      </c>
      <c r="AG378" s="4" t="s">
        <v>542</v>
      </c>
      <c r="AH378" s="4" t="s">
        <v>31</v>
      </c>
      <c r="AI378" s="4" t="s">
        <v>51</v>
      </c>
      <c r="AJ378" s="4" t="s">
        <v>33</v>
      </c>
      <c r="AK378" s="4" t="s">
        <v>34</v>
      </c>
      <c r="AL378" s="4" t="s">
        <v>484</v>
      </c>
      <c r="AM378" s="4" t="s">
        <v>61</v>
      </c>
      <c r="AN378" s="4" t="s">
        <v>62</v>
      </c>
      <c r="AO378" s="4" t="s">
        <v>63</v>
      </c>
      <c r="AP378" s="4">
        <v>43079.0</v>
      </c>
      <c r="AQ378" s="4">
        <v>4184850.0</v>
      </c>
      <c r="AR378" s="4">
        <v>6749850.0</v>
      </c>
      <c r="AS378" s="4">
        <v>2565000.0</v>
      </c>
      <c r="AT378" s="4">
        <v>15.0</v>
      </c>
      <c r="AU378" s="4">
        <v>1.0124775E8</v>
      </c>
      <c r="AV378" s="4">
        <v>0.04</v>
      </c>
      <c r="AW378" s="4">
        <v>4049910.0</v>
      </c>
      <c r="AX378" s="4">
        <v>9.719784E7</v>
      </c>
      <c r="AY378" s="4">
        <v>6.277275E7</v>
      </c>
      <c r="AZ378" s="4">
        <v>3.442509E7</v>
      </c>
    </row>
    <row r="379" ht="15.75" customHeight="1">
      <c r="A379" s="3" t="s">
        <v>1366</v>
      </c>
      <c r="B379" s="5">
        <v>43079.0</v>
      </c>
      <c r="C379" s="6">
        <f t="shared" si="1"/>
        <v>2017</v>
      </c>
      <c r="D379" s="7" t="s">
        <v>1364</v>
      </c>
      <c r="E379" s="7" t="s">
        <v>542</v>
      </c>
      <c r="F379" s="7" t="s">
        <v>31</v>
      </c>
      <c r="G379" s="5" t="s">
        <v>51</v>
      </c>
      <c r="H379" s="7" t="s">
        <v>33</v>
      </c>
      <c r="I379" s="7" t="s">
        <v>34</v>
      </c>
      <c r="J379" s="7" t="s">
        <v>174</v>
      </c>
      <c r="K379" s="7" t="s">
        <v>36</v>
      </c>
      <c r="L379" s="7" t="s">
        <v>45</v>
      </c>
      <c r="M379" s="7" t="s">
        <v>38</v>
      </c>
      <c r="N379" s="5">
        <v>43080.0</v>
      </c>
      <c r="O379" s="8">
        <v>37800.0</v>
      </c>
      <c r="P379" s="8">
        <v>60000.0</v>
      </c>
      <c r="Q379" s="8">
        <f t="shared" si="2"/>
        <v>22200</v>
      </c>
      <c r="R379" s="8">
        <v>14.0</v>
      </c>
      <c r="S379" s="8">
        <f t="shared" si="3"/>
        <v>840000</v>
      </c>
      <c r="T379" s="9">
        <v>0.06</v>
      </c>
      <c r="U379" s="8">
        <f t="shared" si="4"/>
        <v>50400</v>
      </c>
      <c r="V379" s="8">
        <f t="shared" si="5"/>
        <v>789600</v>
      </c>
      <c r="W379" s="10">
        <f t="shared" si="6"/>
        <v>529200</v>
      </c>
      <c r="X379" s="10">
        <f t="shared" si="7"/>
        <v>260400</v>
      </c>
      <c r="Y379" s="10"/>
      <c r="Z379" s="10"/>
      <c r="AA379" s="10"/>
      <c r="AB379" s="4" t="s">
        <v>1367</v>
      </c>
      <c r="AC379" s="4" t="s">
        <v>1366</v>
      </c>
      <c r="AD379" s="4">
        <v>43079.0</v>
      </c>
      <c r="AE379" s="4">
        <v>2017.0</v>
      </c>
      <c r="AF379" s="4" t="s">
        <v>1364</v>
      </c>
      <c r="AG379" s="4" t="s">
        <v>542</v>
      </c>
      <c r="AH379" s="4" t="s">
        <v>31</v>
      </c>
      <c r="AI379" s="4" t="s">
        <v>51</v>
      </c>
      <c r="AJ379" s="4" t="s">
        <v>33</v>
      </c>
      <c r="AK379" s="4" t="s">
        <v>34</v>
      </c>
      <c r="AL379" s="4" t="s">
        <v>174</v>
      </c>
      <c r="AM379" s="4" t="s">
        <v>36</v>
      </c>
      <c r="AN379" s="4" t="s">
        <v>45</v>
      </c>
      <c r="AO379" s="4" t="s">
        <v>38</v>
      </c>
      <c r="AP379" s="4">
        <v>43080.0</v>
      </c>
      <c r="AQ379" s="4">
        <v>37800.0</v>
      </c>
      <c r="AR379" s="4">
        <v>60000.0</v>
      </c>
      <c r="AS379" s="4">
        <v>22200.0</v>
      </c>
      <c r="AT379" s="4">
        <v>14.0</v>
      </c>
      <c r="AU379" s="4">
        <v>840000.0</v>
      </c>
      <c r="AV379" s="4">
        <v>0.06</v>
      </c>
      <c r="AW379" s="4">
        <v>50400.0</v>
      </c>
      <c r="AX379" s="4">
        <v>789600.0</v>
      </c>
      <c r="AY379" s="4">
        <v>529200.0</v>
      </c>
      <c r="AZ379" s="4">
        <v>260400.0</v>
      </c>
    </row>
    <row r="380" ht="15.75" customHeight="1">
      <c r="A380" s="3" t="s">
        <v>1368</v>
      </c>
      <c r="B380" s="5">
        <v>43079.0</v>
      </c>
      <c r="C380" s="6">
        <f t="shared" si="1"/>
        <v>2017</v>
      </c>
      <c r="D380" s="7" t="s">
        <v>372</v>
      </c>
      <c r="E380" s="7" t="s">
        <v>369</v>
      </c>
      <c r="F380" s="7" t="s">
        <v>50</v>
      </c>
      <c r="G380" s="5" t="s">
        <v>68</v>
      </c>
      <c r="H380" s="7" t="s">
        <v>200</v>
      </c>
      <c r="I380" s="7" t="s">
        <v>74</v>
      </c>
      <c r="J380" s="7" t="s">
        <v>490</v>
      </c>
      <c r="K380" s="7" t="s">
        <v>61</v>
      </c>
      <c r="L380" s="7" t="s">
        <v>37</v>
      </c>
      <c r="M380" s="7" t="s">
        <v>38</v>
      </c>
      <c r="N380" s="5">
        <v>43083.0</v>
      </c>
      <c r="O380" s="8">
        <v>97650.0</v>
      </c>
      <c r="P380" s="8">
        <v>464700.0</v>
      </c>
      <c r="Q380" s="8">
        <f t="shared" si="2"/>
        <v>367050</v>
      </c>
      <c r="R380" s="8">
        <v>37.0</v>
      </c>
      <c r="S380" s="8">
        <f t="shared" si="3"/>
        <v>17193900</v>
      </c>
      <c r="T380" s="9">
        <v>0.03</v>
      </c>
      <c r="U380" s="8">
        <f t="shared" si="4"/>
        <v>515817</v>
      </c>
      <c r="V380" s="8">
        <f t="shared" si="5"/>
        <v>16678083</v>
      </c>
      <c r="W380" s="10">
        <f t="shared" si="6"/>
        <v>3613050</v>
      </c>
      <c r="X380" s="10">
        <f t="shared" si="7"/>
        <v>13065033</v>
      </c>
      <c r="Y380" s="10"/>
      <c r="Z380" s="10"/>
      <c r="AA380" s="10"/>
      <c r="AB380" s="4" t="s">
        <v>1369</v>
      </c>
      <c r="AC380" s="4" t="s">
        <v>1368</v>
      </c>
      <c r="AD380" s="4">
        <v>43079.0</v>
      </c>
      <c r="AE380" s="4">
        <v>2017.0</v>
      </c>
      <c r="AF380" s="4" t="s">
        <v>372</v>
      </c>
      <c r="AG380" s="4" t="s">
        <v>369</v>
      </c>
      <c r="AH380" s="4" t="s">
        <v>50</v>
      </c>
      <c r="AI380" s="4" t="s">
        <v>68</v>
      </c>
      <c r="AJ380" s="4" t="s">
        <v>200</v>
      </c>
      <c r="AK380" s="4" t="s">
        <v>74</v>
      </c>
      <c r="AL380" s="4" t="s">
        <v>490</v>
      </c>
      <c r="AM380" s="4" t="s">
        <v>61</v>
      </c>
      <c r="AN380" s="4" t="s">
        <v>37</v>
      </c>
      <c r="AO380" s="4" t="s">
        <v>38</v>
      </c>
      <c r="AP380" s="4">
        <v>43083.0</v>
      </c>
      <c r="AQ380" s="4">
        <v>97650.0</v>
      </c>
      <c r="AR380" s="4">
        <v>464700.0</v>
      </c>
      <c r="AS380" s="4">
        <v>367050.0</v>
      </c>
      <c r="AT380" s="4">
        <v>37.0</v>
      </c>
      <c r="AU380" s="4">
        <v>1.71939E7</v>
      </c>
      <c r="AV380" s="4">
        <v>0.03</v>
      </c>
      <c r="AW380" s="4">
        <v>515817.0</v>
      </c>
      <c r="AX380" s="4">
        <v>1.6678083E7</v>
      </c>
      <c r="AY380" s="4">
        <v>3613050.0</v>
      </c>
      <c r="AZ380" s="4">
        <v>1.3065033E7</v>
      </c>
    </row>
    <row r="381" ht="15.75" customHeight="1">
      <c r="A381" s="3" t="s">
        <v>1370</v>
      </c>
      <c r="B381" s="5">
        <v>43084.0</v>
      </c>
      <c r="C381" s="6">
        <f t="shared" si="1"/>
        <v>2017</v>
      </c>
      <c r="D381" s="7" t="s">
        <v>1135</v>
      </c>
      <c r="E381" s="7" t="s">
        <v>268</v>
      </c>
      <c r="F381" s="7" t="s">
        <v>50</v>
      </c>
      <c r="G381" s="5" t="s">
        <v>32</v>
      </c>
      <c r="H381" s="7" t="s">
        <v>140</v>
      </c>
      <c r="I381" s="7" t="s">
        <v>74</v>
      </c>
      <c r="J381" s="7" t="s">
        <v>204</v>
      </c>
      <c r="K381" s="7" t="s">
        <v>61</v>
      </c>
      <c r="L381" s="7" t="s">
        <v>37</v>
      </c>
      <c r="M381" s="7" t="s">
        <v>38</v>
      </c>
      <c r="N381" s="5">
        <v>43086.0</v>
      </c>
      <c r="O381" s="8">
        <v>151050.0</v>
      </c>
      <c r="P381" s="8">
        <v>239700.0</v>
      </c>
      <c r="Q381" s="8">
        <f t="shared" si="2"/>
        <v>88650</v>
      </c>
      <c r="R381" s="8">
        <v>29.0</v>
      </c>
      <c r="S381" s="8">
        <f t="shared" si="3"/>
        <v>6951300</v>
      </c>
      <c r="T381" s="9">
        <v>0.04</v>
      </c>
      <c r="U381" s="8">
        <f t="shared" si="4"/>
        <v>278052</v>
      </c>
      <c r="V381" s="8">
        <f t="shared" si="5"/>
        <v>6673248</v>
      </c>
      <c r="W381" s="10">
        <f t="shared" si="6"/>
        <v>4380450</v>
      </c>
      <c r="X381" s="10">
        <f t="shared" si="7"/>
        <v>2292798</v>
      </c>
      <c r="Y381" s="10"/>
      <c r="Z381" s="10"/>
      <c r="AA381" s="10"/>
      <c r="AB381" s="4" t="s">
        <v>1371</v>
      </c>
      <c r="AC381" s="4" t="s">
        <v>1370</v>
      </c>
      <c r="AD381" s="4">
        <v>43084.0</v>
      </c>
      <c r="AE381" s="4">
        <v>2017.0</v>
      </c>
      <c r="AF381" s="4" t="s">
        <v>1135</v>
      </c>
      <c r="AG381" s="4" t="s">
        <v>268</v>
      </c>
      <c r="AH381" s="4" t="s">
        <v>50</v>
      </c>
      <c r="AI381" s="4" t="s">
        <v>32</v>
      </c>
      <c r="AJ381" s="4" t="s">
        <v>140</v>
      </c>
      <c r="AK381" s="4" t="s">
        <v>74</v>
      </c>
      <c r="AL381" s="4" t="s">
        <v>204</v>
      </c>
      <c r="AM381" s="4" t="s">
        <v>61</v>
      </c>
      <c r="AN381" s="4" t="s">
        <v>37</v>
      </c>
      <c r="AO381" s="4" t="s">
        <v>38</v>
      </c>
      <c r="AP381" s="4">
        <v>43086.0</v>
      </c>
      <c r="AQ381" s="4">
        <v>151050.0</v>
      </c>
      <c r="AR381" s="4">
        <v>239700.0</v>
      </c>
      <c r="AS381" s="4">
        <v>88650.0</v>
      </c>
      <c r="AT381" s="4">
        <v>29.0</v>
      </c>
      <c r="AU381" s="4">
        <v>6951300.0</v>
      </c>
      <c r="AV381" s="4">
        <v>0.04</v>
      </c>
      <c r="AW381" s="4">
        <v>278052.0</v>
      </c>
      <c r="AX381" s="4">
        <v>6673248.0</v>
      </c>
      <c r="AY381" s="4">
        <v>4380450.0</v>
      </c>
      <c r="AZ381" s="4">
        <v>2292798.0</v>
      </c>
    </row>
    <row r="382" ht="15.75" customHeight="1">
      <c r="A382" s="3" t="s">
        <v>1372</v>
      </c>
      <c r="B382" s="5">
        <v>43085.0</v>
      </c>
      <c r="C382" s="6">
        <f t="shared" si="1"/>
        <v>2017</v>
      </c>
      <c r="D382" s="7" t="s">
        <v>1373</v>
      </c>
      <c r="E382" s="7" t="s">
        <v>150</v>
      </c>
      <c r="F382" s="7" t="s">
        <v>50</v>
      </c>
      <c r="G382" s="5" t="s">
        <v>91</v>
      </c>
      <c r="H382" s="7" t="s">
        <v>151</v>
      </c>
      <c r="I382" s="7" t="s">
        <v>104</v>
      </c>
      <c r="J382" s="7" t="s">
        <v>863</v>
      </c>
      <c r="K382" s="7" t="s">
        <v>36</v>
      </c>
      <c r="L382" s="7" t="s">
        <v>45</v>
      </c>
      <c r="M382" s="7" t="s">
        <v>38</v>
      </c>
      <c r="N382" s="5">
        <v>43087.0</v>
      </c>
      <c r="O382" s="8">
        <v>28800.0</v>
      </c>
      <c r="P382" s="8">
        <v>48900.0</v>
      </c>
      <c r="Q382" s="8">
        <f t="shared" si="2"/>
        <v>20100</v>
      </c>
      <c r="R382" s="8">
        <v>31.0</v>
      </c>
      <c r="S382" s="8">
        <f t="shared" si="3"/>
        <v>1515900</v>
      </c>
      <c r="T382" s="9">
        <v>0.0</v>
      </c>
      <c r="U382" s="8">
        <f t="shared" si="4"/>
        <v>0</v>
      </c>
      <c r="V382" s="8">
        <f t="shared" si="5"/>
        <v>1515900</v>
      </c>
      <c r="W382" s="10">
        <f t="shared" si="6"/>
        <v>892800</v>
      </c>
      <c r="X382" s="10">
        <f t="shared" si="7"/>
        <v>623100</v>
      </c>
      <c r="Y382" s="10"/>
      <c r="Z382" s="10"/>
      <c r="AA382" s="10"/>
      <c r="AB382" s="4" t="s">
        <v>1374</v>
      </c>
      <c r="AC382" s="4" t="s">
        <v>1372</v>
      </c>
      <c r="AD382" s="4">
        <v>43085.0</v>
      </c>
      <c r="AE382" s="4">
        <v>2017.0</v>
      </c>
      <c r="AF382" s="4" t="s">
        <v>1373</v>
      </c>
      <c r="AG382" s="4" t="s">
        <v>150</v>
      </c>
      <c r="AH382" s="4" t="s">
        <v>50</v>
      </c>
      <c r="AI382" s="4" t="s">
        <v>91</v>
      </c>
      <c r="AJ382" s="4" t="s">
        <v>151</v>
      </c>
      <c r="AK382" s="4" t="s">
        <v>104</v>
      </c>
      <c r="AL382" s="4" t="s">
        <v>863</v>
      </c>
      <c r="AM382" s="4" t="s">
        <v>36</v>
      </c>
      <c r="AN382" s="4" t="s">
        <v>45</v>
      </c>
      <c r="AO382" s="4" t="s">
        <v>38</v>
      </c>
      <c r="AP382" s="4">
        <v>43087.0</v>
      </c>
      <c r="AQ382" s="4">
        <v>28800.0</v>
      </c>
      <c r="AR382" s="4">
        <v>48900.0</v>
      </c>
      <c r="AS382" s="4">
        <v>20100.0</v>
      </c>
      <c r="AT382" s="4">
        <v>31.0</v>
      </c>
      <c r="AU382" s="4">
        <v>1515900.0</v>
      </c>
      <c r="AV382" s="4">
        <v>0.0</v>
      </c>
      <c r="AW382" s="4">
        <v>0.0</v>
      </c>
      <c r="AX382" s="4">
        <v>1515900.0</v>
      </c>
      <c r="AY382" s="4">
        <v>892800.0</v>
      </c>
      <c r="AZ382" s="4">
        <v>623100.0</v>
      </c>
    </row>
    <row r="383" ht="15.75" customHeight="1">
      <c r="A383" s="3" t="s">
        <v>1375</v>
      </c>
      <c r="B383" s="5">
        <v>43085.0</v>
      </c>
      <c r="C383" s="6">
        <f t="shared" si="1"/>
        <v>2017</v>
      </c>
      <c r="D383" s="7" t="s">
        <v>1376</v>
      </c>
      <c r="E383" s="7" t="s">
        <v>1377</v>
      </c>
      <c r="F383" s="7" t="s">
        <v>289</v>
      </c>
      <c r="G383" s="5" t="s">
        <v>51</v>
      </c>
      <c r="H383" s="7" t="s">
        <v>98</v>
      </c>
      <c r="I383" s="7" t="s">
        <v>74</v>
      </c>
      <c r="J383" s="7" t="s">
        <v>493</v>
      </c>
      <c r="K383" s="7" t="s">
        <v>36</v>
      </c>
      <c r="L383" s="7" t="s">
        <v>45</v>
      </c>
      <c r="M383" s="7" t="s">
        <v>38</v>
      </c>
      <c r="N383" s="5">
        <v>43092.0</v>
      </c>
      <c r="O383" s="8">
        <v>44700.0</v>
      </c>
      <c r="P383" s="8">
        <v>87600.0</v>
      </c>
      <c r="Q383" s="8">
        <f t="shared" si="2"/>
        <v>42900</v>
      </c>
      <c r="R383" s="8">
        <v>22.0</v>
      </c>
      <c r="S383" s="8">
        <f t="shared" si="3"/>
        <v>1927200</v>
      </c>
      <c r="T383" s="9">
        <v>0.1</v>
      </c>
      <c r="U383" s="8">
        <f t="shared" si="4"/>
        <v>192720</v>
      </c>
      <c r="V383" s="8">
        <f t="shared" si="5"/>
        <v>1734480</v>
      </c>
      <c r="W383" s="10">
        <f t="shared" si="6"/>
        <v>983400</v>
      </c>
      <c r="X383" s="10">
        <f t="shared" si="7"/>
        <v>751080</v>
      </c>
      <c r="Y383" s="10"/>
      <c r="Z383" s="10"/>
      <c r="AA383" s="10"/>
      <c r="AB383" s="4" t="s">
        <v>1378</v>
      </c>
      <c r="AC383" s="4" t="s">
        <v>1375</v>
      </c>
      <c r="AD383" s="4">
        <v>43085.0</v>
      </c>
      <c r="AE383" s="4">
        <v>2017.0</v>
      </c>
      <c r="AF383" s="4" t="s">
        <v>1376</v>
      </c>
      <c r="AG383" s="4" t="s">
        <v>1377</v>
      </c>
      <c r="AH383" s="4" t="s">
        <v>289</v>
      </c>
      <c r="AI383" s="4" t="s">
        <v>51</v>
      </c>
      <c r="AJ383" s="4" t="s">
        <v>98</v>
      </c>
      <c r="AK383" s="4" t="s">
        <v>74</v>
      </c>
      <c r="AL383" s="4" t="s">
        <v>493</v>
      </c>
      <c r="AM383" s="4" t="s">
        <v>36</v>
      </c>
      <c r="AN383" s="4" t="s">
        <v>45</v>
      </c>
      <c r="AO383" s="4" t="s">
        <v>38</v>
      </c>
      <c r="AP383" s="4">
        <v>43092.0</v>
      </c>
      <c r="AQ383" s="4">
        <v>44700.0</v>
      </c>
      <c r="AR383" s="4">
        <v>87600.0</v>
      </c>
      <c r="AS383" s="4">
        <v>42900.0</v>
      </c>
      <c r="AT383" s="4">
        <v>22.0</v>
      </c>
      <c r="AU383" s="4">
        <v>1927200.0</v>
      </c>
      <c r="AV383" s="4">
        <v>0.1</v>
      </c>
      <c r="AW383" s="4">
        <v>192720.0</v>
      </c>
      <c r="AX383" s="4">
        <v>1734480.0</v>
      </c>
      <c r="AY383" s="4">
        <v>983400.0</v>
      </c>
      <c r="AZ383" s="4">
        <v>751080.0</v>
      </c>
    </row>
    <row r="384" ht="15.75" customHeight="1">
      <c r="A384" s="3" t="s">
        <v>1379</v>
      </c>
      <c r="B384" s="5">
        <v>43086.0</v>
      </c>
      <c r="C384" s="6">
        <f t="shared" si="1"/>
        <v>2017</v>
      </c>
      <c r="D384" s="7" t="s">
        <v>558</v>
      </c>
      <c r="E384" s="7" t="s">
        <v>559</v>
      </c>
      <c r="F384" s="7" t="s">
        <v>50</v>
      </c>
      <c r="G384" s="5" t="s">
        <v>51</v>
      </c>
      <c r="H384" s="7" t="s">
        <v>98</v>
      </c>
      <c r="I384" s="7" t="s">
        <v>92</v>
      </c>
      <c r="J384" s="7" t="s">
        <v>654</v>
      </c>
      <c r="K384" s="7" t="s">
        <v>36</v>
      </c>
      <c r="L384" s="7" t="s">
        <v>127</v>
      </c>
      <c r="M384" s="7" t="s">
        <v>38</v>
      </c>
      <c r="N384" s="5">
        <v>43087.0</v>
      </c>
      <c r="O384" s="8">
        <v>37500.0</v>
      </c>
      <c r="P384" s="8">
        <v>85200.0</v>
      </c>
      <c r="Q384" s="8">
        <f t="shared" si="2"/>
        <v>47700</v>
      </c>
      <c r="R384" s="8">
        <v>23.0</v>
      </c>
      <c r="S384" s="8">
        <f t="shared" si="3"/>
        <v>1959600</v>
      </c>
      <c r="T384" s="9">
        <v>0.01</v>
      </c>
      <c r="U384" s="8">
        <f t="shared" si="4"/>
        <v>19596</v>
      </c>
      <c r="V384" s="8">
        <f t="shared" si="5"/>
        <v>1940004</v>
      </c>
      <c r="W384" s="10">
        <f t="shared" si="6"/>
        <v>862500</v>
      </c>
      <c r="X384" s="10">
        <f t="shared" si="7"/>
        <v>1077504</v>
      </c>
      <c r="Y384" s="10"/>
      <c r="Z384" s="10"/>
      <c r="AA384" s="10"/>
      <c r="AB384" s="4" t="s">
        <v>1380</v>
      </c>
      <c r="AC384" s="4" t="s">
        <v>1379</v>
      </c>
      <c r="AD384" s="4">
        <v>43086.0</v>
      </c>
      <c r="AE384" s="4">
        <v>2017.0</v>
      </c>
      <c r="AF384" s="4" t="s">
        <v>558</v>
      </c>
      <c r="AG384" s="4" t="s">
        <v>559</v>
      </c>
      <c r="AH384" s="4" t="s">
        <v>50</v>
      </c>
      <c r="AI384" s="4" t="s">
        <v>51</v>
      </c>
      <c r="AJ384" s="4" t="s">
        <v>98</v>
      </c>
      <c r="AK384" s="4" t="s">
        <v>92</v>
      </c>
      <c r="AL384" s="4" t="s">
        <v>654</v>
      </c>
      <c r="AM384" s="4" t="s">
        <v>36</v>
      </c>
      <c r="AN384" s="4" t="s">
        <v>127</v>
      </c>
      <c r="AO384" s="4" t="s">
        <v>38</v>
      </c>
      <c r="AP384" s="4">
        <v>43087.0</v>
      </c>
      <c r="AQ384" s="4">
        <v>37500.0</v>
      </c>
      <c r="AR384" s="4">
        <v>85200.0</v>
      </c>
      <c r="AS384" s="4">
        <v>47700.0</v>
      </c>
      <c r="AT384" s="4">
        <v>23.0</v>
      </c>
      <c r="AU384" s="4">
        <v>1959600.0</v>
      </c>
      <c r="AV384" s="4">
        <v>0.01</v>
      </c>
      <c r="AW384" s="4">
        <v>19596.0</v>
      </c>
      <c r="AX384" s="4">
        <v>1940004.0</v>
      </c>
      <c r="AY384" s="4">
        <v>862500.0</v>
      </c>
      <c r="AZ384" s="4">
        <v>1077504.0</v>
      </c>
    </row>
    <row r="385" ht="15.75" customHeight="1">
      <c r="A385" s="3" t="s">
        <v>1381</v>
      </c>
      <c r="B385" s="5">
        <v>43089.0</v>
      </c>
      <c r="C385" s="6">
        <f t="shared" si="1"/>
        <v>2017</v>
      </c>
      <c r="D385" s="7" t="s">
        <v>316</v>
      </c>
      <c r="E385" s="7" t="s">
        <v>317</v>
      </c>
      <c r="F385" s="7" t="s">
        <v>289</v>
      </c>
      <c r="G385" s="5" t="s">
        <v>32</v>
      </c>
      <c r="H385" s="7" t="s">
        <v>200</v>
      </c>
      <c r="I385" s="7" t="s">
        <v>92</v>
      </c>
      <c r="J385" s="7" t="s">
        <v>294</v>
      </c>
      <c r="K385" s="7" t="s">
        <v>36</v>
      </c>
      <c r="L385" s="7" t="s">
        <v>37</v>
      </c>
      <c r="M385" s="7" t="s">
        <v>38</v>
      </c>
      <c r="N385" s="5">
        <v>43089.0</v>
      </c>
      <c r="O385" s="8">
        <v>17700.0</v>
      </c>
      <c r="P385" s="8">
        <v>28200.0</v>
      </c>
      <c r="Q385" s="8">
        <f t="shared" si="2"/>
        <v>10500</v>
      </c>
      <c r="R385" s="8">
        <v>47.0</v>
      </c>
      <c r="S385" s="8">
        <f t="shared" si="3"/>
        <v>1325400</v>
      </c>
      <c r="T385" s="9">
        <v>0.06</v>
      </c>
      <c r="U385" s="8">
        <f t="shared" si="4"/>
        <v>79524</v>
      </c>
      <c r="V385" s="8">
        <f t="shared" si="5"/>
        <v>1245876</v>
      </c>
      <c r="W385" s="10">
        <f t="shared" si="6"/>
        <v>831900</v>
      </c>
      <c r="X385" s="10">
        <f t="shared" si="7"/>
        <v>413976</v>
      </c>
      <c r="Y385" s="10"/>
      <c r="Z385" s="10"/>
      <c r="AA385" s="10"/>
      <c r="AB385" s="4" t="s">
        <v>1382</v>
      </c>
      <c r="AC385" s="4" t="s">
        <v>1381</v>
      </c>
      <c r="AD385" s="4">
        <v>43089.0</v>
      </c>
      <c r="AE385" s="4">
        <v>2017.0</v>
      </c>
      <c r="AF385" s="4" t="s">
        <v>316</v>
      </c>
      <c r="AG385" s="4" t="s">
        <v>317</v>
      </c>
      <c r="AH385" s="4" t="s">
        <v>289</v>
      </c>
      <c r="AI385" s="4" t="s">
        <v>32</v>
      </c>
      <c r="AJ385" s="4" t="s">
        <v>200</v>
      </c>
      <c r="AK385" s="4" t="s">
        <v>92</v>
      </c>
      <c r="AL385" s="4" t="s">
        <v>294</v>
      </c>
      <c r="AM385" s="4" t="s">
        <v>36</v>
      </c>
      <c r="AN385" s="4" t="s">
        <v>37</v>
      </c>
      <c r="AO385" s="4" t="s">
        <v>38</v>
      </c>
      <c r="AP385" s="4">
        <v>43089.0</v>
      </c>
      <c r="AQ385" s="4">
        <v>17700.0</v>
      </c>
      <c r="AR385" s="4">
        <v>28200.0</v>
      </c>
      <c r="AS385" s="4">
        <v>10500.0</v>
      </c>
      <c r="AT385" s="4">
        <v>47.0</v>
      </c>
      <c r="AU385" s="4">
        <v>1325400.0</v>
      </c>
      <c r="AV385" s="4">
        <v>0.06</v>
      </c>
      <c r="AW385" s="4">
        <v>79524.0</v>
      </c>
      <c r="AX385" s="4">
        <v>1245876.0</v>
      </c>
      <c r="AY385" s="4">
        <v>831900.0</v>
      </c>
      <c r="AZ385" s="4">
        <v>413976.0</v>
      </c>
    </row>
    <row r="386" ht="15.75" customHeight="1">
      <c r="A386" s="3" t="s">
        <v>1383</v>
      </c>
      <c r="B386" s="5">
        <v>43089.0</v>
      </c>
      <c r="C386" s="6">
        <f t="shared" si="1"/>
        <v>2017</v>
      </c>
      <c r="D386" s="7" t="s">
        <v>316</v>
      </c>
      <c r="E386" s="7" t="s">
        <v>317</v>
      </c>
      <c r="F386" s="7" t="s">
        <v>289</v>
      </c>
      <c r="G386" s="5" t="s">
        <v>32</v>
      </c>
      <c r="H386" s="7" t="s">
        <v>200</v>
      </c>
      <c r="I386" s="7" t="s">
        <v>92</v>
      </c>
      <c r="J386" s="7" t="s">
        <v>462</v>
      </c>
      <c r="K386" s="7" t="s">
        <v>36</v>
      </c>
      <c r="L386" s="7" t="s">
        <v>45</v>
      </c>
      <c r="M386" s="7" t="s">
        <v>38</v>
      </c>
      <c r="N386" s="5">
        <v>43091.0</v>
      </c>
      <c r="O386" s="8">
        <v>19650.0</v>
      </c>
      <c r="P386" s="8">
        <v>42600.0</v>
      </c>
      <c r="Q386" s="8">
        <f t="shared" si="2"/>
        <v>22950</v>
      </c>
      <c r="R386" s="8">
        <v>39.0</v>
      </c>
      <c r="S386" s="8">
        <f t="shared" si="3"/>
        <v>1661400</v>
      </c>
      <c r="T386" s="9">
        <v>0.08</v>
      </c>
      <c r="U386" s="8">
        <f t="shared" si="4"/>
        <v>132912</v>
      </c>
      <c r="V386" s="8">
        <f t="shared" si="5"/>
        <v>1528488</v>
      </c>
      <c r="W386" s="10">
        <f t="shared" si="6"/>
        <v>766350</v>
      </c>
      <c r="X386" s="10">
        <f t="shared" si="7"/>
        <v>762138</v>
      </c>
      <c r="Y386" s="10"/>
      <c r="Z386" s="10"/>
      <c r="AA386" s="10"/>
      <c r="AB386" s="4" t="s">
        <v>1384</v>
      </c>
      <c r="AC386" s="4" t="s">
        <v>1383</v>
      </c>
      <c r="AD386" s="4">
        <v>43089.0</v>
      </c>
      <c r="AE386" s="4">
        <v>2017.0</v>
      </c>
      <c r="AF386" s="4" t="s">
        <v>316</v>
      </c>
      <c r="AG386" s="4" t="s">
        <v>317</v>
      </c>
      <c r="AH386" s="4" t="s">
        <v>289</v>
      </c>
      <c r="AI386" s="4" t="s">
        <v>32</v>
      </c>
      <c r="AJ386" s="4" t="s">
        <v>200</v>
      </c>
      <c r="AK386" s="4" t="s">
        <v>92</v>
      </c>
      <c r="AL386" s="4" t="s">
        <v>462</v>
      </c>
      <c r="AM386" s="4" t="s">
        <v>36</v>
      </c>
      <c r="AN386" s="4" t="s">
        <v>45</v>
      </c>
      <c r="AO386" s="4" t="s">
        <v>38</v>
      </c>
      <c r="AP386" s="4">
        <v>43091.0</v>
      </c>
      <c r="AQ386" s="4">
        <v>19650.0</v>
      </c>
      <c r="AR386" s="4">
        <v>42600.0</v>
      </c>
      <c r="AS386" s="4">
        <v>22950.0</v>
      </c>
      <c r="AT386" s="4">
        <v>39.0</v>
      </c>
      <c r="AU386" s="4">
        <v>1661400.0</v>
      </c>
      <c r="AV386" s="4">
        <v>0.08</v>
      </c>
      <c r="AW386" s="4">
        <v>132912.0</v>
      </c>
      <c r="AX386" s="4">
        <v>1528488.0</v>
      </c>
      <c r="AY386" s="4">
        <v>766350.0</v>
      </c>
      <c r="AZ386" s="4">
        <v>762138.0</v>
      </c>
    </row>
    <row r="387" ht="15.75" customHeight="1">
      <c r="A387" s="3" t="s">
        <v>1385</v>
      </c>
      <c r="B387" s="5">
        <v>43092.0</v>
      </c>
      <c r="C387" s="6">
        <f t="shared" si="1"/>
        <v>2017</v>
      </c>
      <c r="D387" s="7" t="s">
        <v>769</v>
      </c>
      <c r="E387" s="7" t="s">
        <v>770</v>
      </c>
      <c r="F387" s="7" t="s">
        <v>289</v>
      </c>
      <c r="G387" s="5" t="s">
        <v>51</v>
      </c>
      <c r="H387" s="7" t="s">
        <v>98</v>
      </c>
      <c r="I387" s="7" t="s">
        <v>92</v>
      </c>
      <c r="J387" s="7" t="s">
        <v>824</v>
      </c>
      <c r="K387" s="7" t="s">
        <v>278</v>
      </c>
      <c r="L387" s="7" t="s">
        <v>127</v>
      </c>
      <c r="M387" s="7" t="s">
        <v>38</v>
      </c>
      <c r="N387" s="5">
        <v>43094.0</v>
      </c>
      <c r="O387" s="8">
        <v>170700.0</v>
      </c>
      <c r="P387" s="8">
        <v>279750.0</v>
      </c>
      <c r="Q387" s="8">
        <f t="shared" si="2"/>
        <v>109050</v>
      </c>
      <c r="R387" s="8">
        <v>7.0</v>
      </c>
      <c r="S387" s="8">
        <f t="shared" si="3"/>
        <v>1958250</v>
      </c>
      <c r="T387" s="9">
        <v>0.01</v>
      </c>
      <c r="U387" s="8">
        <f t="shared" si="4"/>
        <v>19582.5</v>
      </c>
      <c r="V387" s="8">
        <f t="shared" si="5"/>
        <v>1938667.5</v>
      </c>
      <c r="W387" s="10">
        <f t="shared" si="6"/>
        <v>1194900</v>
      </c>
      <c r="X387" s="10">
        <f t="shared" si="7"/>
        <v>743767.5</v>
      </c>
      <c r="Y387" s="10"/>
      <c r="Z387" s="10"/>
      <c r="AA387" s="10"/>
      <c r="AB387" s="4" t="s">
        <v>1386</v>
      </c>
      <c r="AC387" s="4" t="s">
        <v>1385</v>
      </c>
      <c r="AD387" s="4">
        <v>43092.0</v>
      </c>
      <c r="AE387" s="4">
        <v>2017.0</v>
      </c>
      <c r="AF387" s="4" t="s">
        <v>769</v>
      </c>
      <c r="AG387" s="4" t="s">
        <v>770</v>
      </c>
      <c r="AH387" s="4" t="s">
        <v>289</v>
      </c>
      <c r="AI387" s="4" t="s">
        <v>51</v>
      </c>
      <c r="AJ387" s="4" t="s">
        <v>98</v>
      </c>
      <c r="AK387" s="4" t="s">
        <v>92</v>
      </c>
      <c r="AL387" s="4" t="s">
        <v>824</v>
      </c>
      <c r="AM387" s="4" t="s">
        <v>278</v>
      </c>
      <c r="AN387" s="4" t="s">
        <v>127</v>
      </c>
      <c r="AO387" s="4" t="s">
        <v>38</v>
      </c>
      <c r="AP387" s="4">
        <v>43094.0</v>
      </c>
      <c r="AQ387" s="4">
        <v>170700.0</v>
      </c>
      <c r="AR387" s="4">
        <v>279750.0</v>
      </c>
      <c r="AS387" s="4">
        <v>109050.0</v>
      </c>
      <c r="AT387" s="4">
        <v>7.0</v>
      </c>
      <c r="AU387" s="4">
        <v>1958250.0</v>
      </c>
      <c r="AV387" s="4">
        <v>0.01</v>
      </c>
      <c r="AW387" s="4">
        <v>19582.5</v>
      </c>
      <c r="AX387" s="4">
        <v>1938667.5</v>
      </c>
      <c r="AY387" s="4">
        <v>1194900.0</v>
      </c>
      <c r="AZ387" s="4">
        <v>743767.5</v>
      </c>
    </row>
    <row r="388" ht="15.75" customHeight="1">
      <c r="A388" s="3" t="s">
        <v>1387</v>
      </c>
      <c r="B388" s="5">
        <v>43093.0</v>
      </c>
      <c r="C388" s="6">
        <f t="shared" si="1"/>
        <v>2017</v>
      </c>
      <c r="D388" s="7" t="s">
        <v>1303</v>
      </c>
      <c r="E388" s="7" t="s">
        <v>194</v>
      </c>
      <c r="F388" s="7" t="s">
        <v>31</v>
      </c>
      <c r="G388" s="5" t="s">
        <v>32</v>
      </c>
      <c r="H388" s="7" t="s">
        <v>33</v>
      </c>
      <c r="I388" s="7" t="s">
        <v>53</v>
      </c>
      <c r="J388" s="7" t="s">
        <v>567</v>
      </c>
      <c r="K388" s="7" t="s">
        <v>36</v>
      </c>
      <c r="L388" s="7" t="s">
        <v>45</v>
      </c>
      <c r="M388" s="7" t="s">
        <v>38</v>
      </c>
      <c r="N388" s="5">
        <v>43095.0</v>
      </c>
      <c r="O388" s="8">
        <v>13950.0</v>
      </c>
      <c r="P388" s="8">
        <v>22200.0</v>
      </c>
      <c r="Q388" s="8">
        <f t="shared" si="2"/>
        <v>8250</v>
      </c>
      <c r="R388" s="8">
        <v>15.0</v>
      </c>
      <c r="S388" s="8">
        <f t="shared" si="3"/>
        <v>333000</v>
      </c>
      <c r="T388" s="9">
        <v>0.03</v>
      </c>
      <c r="U388" s="8">
        <f t="shared" si="4"/>
        <v>9990</v>
      </c>
      <c r="V388" s="8">
        <f t="shared" si="5"/>
        <v>323010</v>
      </c>
      <c r="W388" s="10">
        <f t="shared" si="6"/>
        <v>209250</v>
      </c>
      <c r="X388" s="10">
        <f t="shared" si="7"/>
        <v>113760</v>
      </c>
      <c r="Y388" s="10"/>
      <c r="Z388" s="10"/>
      <c r="AA388" s="10"/>
      <c r="AB388" s="4" t="s">
        <v>1388</v>
      </c>
      <c r="AC388" s="4" t="s">
        <v>1387</v>
      </c>
      <c r="AD388" s="4">
        <v>43093.0</v>
      </c>
      <c r="AE388" s="4">
        <v>2017.0</v>
      </c>
      <c r="AF388" s="4" t="s">
        <v>1303</v>
      </c>
      <c r="AG388" s="4" t="s">
        <v>194</v>
      </c>
      <c r="AH388" s="4" t="s">
        <v>31</v>
      </c>
      <c r="AI388" s="4" t="s">
        <v>32</v>
      </c>
      <c r="AJ388" s="4" t="s">
        <v>33</v>
      </c>
      <c r="AK388" s="4" t="s">
        <v>53</v>
      </c>
      <c r="AL388" s="4" t="s">
        <v>567</v>
      </c>
      <c r="AM388" s="4" t="s">
        <v>36</v>
      </c>
      <c r="AN388" s="4" t="s">
        <v>45</v>
      </c>
      <c r="AO388" s="4" t="s">
        <v>38</v>
      </c>
      <c r="AP388" s="4">
        <v>43095.0</v>
      </c>
      <c r="AQ388" s="4">
        <v>13950.0</v>
      </c>
      <c r="AR388" s="4">
        <v>22200.0</v>
      </c>
      <c r="AS388" s="4">
        <v>8250.0</v>
      </c>
      <c r="AT388" s="4">
        <v>15.0</v>
      </c>
      <c r="AU388" s="4">
        <v>333000.0</v>
      </c>
      <c r="AV388" s="4">
        <v>0.03</v>
      </c>
      <c r="AW388" s="4">
        <v>9990.0</v>
      </c>
      <c r="AX388" s="4">
        <v>323010.0</v>
      </c>
      <c r="AY388" s="4">
        <v>209250.0</v>
      </c>
      <c r="AZ388" s="4">
        <v>113760.0</v>
      </c>
    </row>
    <row r="389" ht="15.75" customHeight="1">
      <c r="A389" s="3" t="s">
        <v>1389</v>
      </c>
      <c r="B389" s="5">
        <v>43094.0</v>
      </c>
      <c r="C389" s="6">
        <f t="shared" si="1"/>
        <v>2017</v>
      </c>
      <c r="D389" s="7" t="s">
        <v>1390</v>
      </c>
      <c r="E389" s="7" t="s">
        <v>962</v>
      </c>
      <c r="F389" s="7" t="s">
        <v>50</v>
      </c>
      <c r="G389" s="5" t="s">
        <v>51</v>
      </c>
      <c r="H389" s="7" t="s">
        <v>80</v>
      </c>
      <c r="I389" s="7" t="s">
        <v>53</v>
      </c>
      <c r="J389" s="7" t="s">
        <v>1189</v>
      </c>
      <c r="K389" s="7" t="s">
        <v>36</v>
      </c>
      <c r="L389" s="7" t="s">
        <v>45</v>
      </c>
      <c r="M389" s="7" t="s">
        <v>38</v>
      </c>
      <c r="N389" s="5">
        <v>43095.0</v>
      </c>
      <c r="O389" s="8">
        <v>16350.000000000002</v>
      </c>
      <c r="P389" s="8">
        <v>27300.0</v>
      </c>
      <c r="Q389" s="8">
        <f t="shared" si="2"/>
        <v>10950</v>
      </c>
      <c r="R389" s="8">
        <v>36.0</v>
      </c>
      <c r="S389" s="8">
        <f t="shared" si="3"/>
        <v>982800</v>
      </c>
      <c r="T389" s="9">
        <v>0.09</v>
      </c>
      <c r="U389" s="8">
        <f t="shared" si="4"/>
        <v>88452</v>
      </c>
      <c r="V389" s="8">
        <f t="shared" si="5"/>
        <v>894348</v>
      </c>
      <c r="W389" s="10">
        <f t="shared" si="6"/>
        <v>588600</v>
      </c>
      <c r="X389" s="10">
        <f t="shared" si="7"/>
        <v>305748</v>
      </c>
      <c r="Y389" s="10"/>
      <c r="Z389" s="10"/>
      <c r="AA389" s="10"/>
      <c r="AB389" s="4" t="s">
        <v>1391</v>
      </c>
      <c r="AC389" s="4" t="s">
        <v>1389</v>
      </c>
      <c r="AD389" s="4">
        <v>43094.0</v>
      </c>
      <c r="AE389" s="4">
        <v>2017.0</v>
      </c>
      <c r="AF389" s="4" t="s">
        <v>1390</v>
      </c>
      <c r="AG389" s="4" t="s">
        <v>962</v>
      </c>
      <c r="AH389" s="4" t="s">
        <v>50</v>
      </c>
      <c r="AI389" s="4" t="s">
        <v>51</v>
      </c>
      <c r="AJ389" s="4" t="s">
        <v>80</v>
      </c>
      <c r="AK389" s="4" t="s">
        <v>53</v>
      </c>
      <c r="AL389" s="4" t="s">
        <v>1189</v>
      </c>
      <c r="AM389" s="4" t="s">
        <v>36</v>
      </c>
      <c r="AN389" s="4" t="s">
        <v>45</v>
      </c>
      <c r="AO389" s="4" t="s">
        <v>38</v>
      </c>
      <c r="AP389" s="4">
        <v>43095.0</v>
      </c>
      <c r="AQ389" s="4">
        <v>16350.0</v>
      </c>
      <c r="AR389" s="4">
        <v>27300.0</v>
      </c>
      <c r="AS389" s="4">
        <v>10950.0</v>
      </c>
      <c r="AT389" s="4">
        <v>36.0</v>
      </c>
      <c r="AU389" s="4">
        <v>982800.0</v>
      </c>
      <c r="AV389" s="4">
        <v>0.09</v>
      </c>
      <c r="AW389" s="4">
        <v>88452.0</v>
      </c>
      <c r="AX389" s="4">
        <v>894348.0</v>
      </c>
      <c r="AY389" s="4">
        <v>588600.0</v>
      </c>
      <c r="AZ389" s="4">
        <v>305748.0</v>
      </c>
    </row>
    <row r="390" ht="15.75" customHeight="1">
      <c r="A390" s="3" t="s">
        <v>1392</v>
      </c>
      <c r="B390" s="5">
        <v>43094.0</v>
      </c>
      <c r="C390" s="6">
        <f t="shared" si="1"/>
        <v>2017</v>
      </c>
      <c r="D390" s="7" t="s">
        <v>1393</v>
      </c>
      <c r="E390" s="7" t="s">
        <v>90</v>
      </c>
      <c r="F390" s="7" t="s">
        <v>50</v>
      </c>
      <c r="G390" s="5" t="s">
        <v>68</v>
      </c>
      <c r="H390" s="7" t="s">
        <v>52</v>
      </c>
      <c r="I390" s="7" t="s">
        <v>74</v>
      </c>
      <c r="J390" s="7" t="s">
        <v>677</v>
      </c>
      <c r="K390" s="7" t="s">
        <v>36</v>
      </c>
      <c r="L390" s="7" t="s">
        <v>37</v>
      </c>
      <c r="M390" s="7" t="s">
        <v>38</v>
      </c>
      <c r="N390" s="5">
        <v>43101.0</v>
      </c>
      <c r="O390" s="8">
        <v>224250.0</v>
      </c>
      <c r="P390" s="8">
        <v>521399.99999999994</v>
      </c>
      <c r="Q390" s="8">
        <f t="shared" si="2"/>
        <v>297150</v>
      </c>
      <c r="R390" s="8">
        <v>34.0</v>
      </c>
      <c r="S390" s="8">
        <f t="shared" si="3"/>
        <v>17727600</v>
      </c>
      <c r="T390" s="9">
        <v>0.03</v>
      </c>
      <c r="U390" s="8">
        <f t="shared" si="4"/>
        <v>531828</v>
      </c>
      <c r="V390" s="8">
        <f t="shared" si="5"/>
        <v>17195772</v>
      </c>
      <c r="W390" s="10">
        <f t="shared" si="6"/>
        <v>7624500</v>
      </c>
      <c r="X390" s="10">
        <f t="shared" si="7"/>
        <v>9571272</v>
      </c>
      <c r="Y390" s="10"/>
      <c r="Z390" s="10"/>
      <c r="AA390" s="10"/>
      <c r="AB390" s="4" t="s">
        <v>1394</v>
      </c>
      <c r="AC390" s="4" t="s">
        <v>1392</v>
      </c>
      <c r="AD390" s="4">
        <v>43094.0</v>
      </c>
      <c r="AE390" s="4">
        <v>2017.0</v>
      </c>
      <c r="AF390" s="4" t="s">
        <v>1393</v>
      </c>
      <c r="AG390" s="4" t="s">
        <v>90</v>
      </c>
      <c r="AH390" s="4" t="s">
        <v>50</v>
      </c>
      <c r="AI390" s="4" t="s">
        <v>68</v>
      </c>
      <c r="AJ390" s="4" t="s">
        <v>52</v>
      </c>
      <c r="AK390" s="4" t="s">
        <v>74</v>
      </c>
      <c r="AL390" s="4" t="s">
        <v>677</v>
      </c>
      <c r="AM390" s="4" t="s">
        <v>36</v>
      </c>
      <c r="AN390" s="4" t="s">
        <v>37</v>
      </c>
      <c r="AO390" s="4" t="s">
        <v>38</v>
      </c>
      <c r="AP390" s="4">
        <v>43101.0</v>
      </c>
      <c r="AQ390" s="4">
        <v>224250.0</v>
      </c>
      <c r="AR390" s="4">
        <v>521400.0</v>
      </c>
      <c r="AS390" s="4">
        <v>297150.0</v>
      </c>
      <c r="AT390" s="4">
        <v>34.0</v>
      </c>
      <c r="AU390" s="4">
        <v>1.77276E7</v>
      </c>
      <c r="AV390" s="4">
        <v>0.03</v>
      </c>
      <c r="AW390" s="4">
        <v>531828.0</v>
      </c>
      <c r="AX390" s="4">
        <v>1.7195772E7</v>
      </c>
      <c r="AY390" s="4">
        <v>7624500.0</v>
      </c>
      <c r="AZ390" s="4">
        <v>9571272.0</v>
      </c>
    </row>
    <row r="391" ht="15.75" customHeight="1">
      <c r="A391" s="3" t="s">
        <v>1395</v>
      </c>
      <c r="B391" s="5">
        <v>43095.0</v>
      </c>
      <c r="C391" s="6">
        <f t="shared" si="1"/>
        <v>2017</v>
      </c>
      <c r="D391" s="7" t="s">
        <v>138</v>
      </c>
      <c r="E391" s="7" t="s">
        <v>139</v>
      </c>
      <c r="F391" s="7" t="s">
        <v>50</v>
      </c>
      <c r="G391" s="5" t="s">
        <v>91</v>
      </c>
      <c r="H391" s="7" t="s">
        <v>140</v>
      </c>
      <c r="I391" s="7" t="s">
        <v>74</v>
      </c>
      <c r="J391" s="7" t="s">
        <v>739</v>
      </c>
      <c r="K391" s="7" t="s">
        <v>36</v>
      </c>
      <c r="L391" s="7" t="s">
        <v>37</v>
      </c>
      <c r="M391" s="7" t="s">
        <v>38</v>
      </c>
      <c r="N391" s="5">
        <v>43099.0</v>
      </c>
      <c r="O391" s="8">
        <v>67950.0</v>
      </c>
      <c r="P391" s="8">
        <v>109500.0</v>
      </c>
      <c r="Q391" s="8">
        <f t="shared" si="2"/>
        <v>41550</v>
      </c>
      <c r="R391" s="8">
        <v>26.0</v>
      </c>
      <c r="S391" s="8">
        <f t="shared" si="3"/>
        <v>2847000</v>
      </c>
      <c r="T391" s="9">
        <v>0.03</v>
      </c>
      <c r="U391" s="8">
        <f t="shared" si="4"/>
        <v>85410</v>
      </c>
      <c r="V391" s="8">
        <f t="shared" si="5"/>
        <v>2761590</v>
      </c>
      <c r="W391" s="10">
        <f t="shared" si="6"/>
        <v>1766700</v>
      </c>
      <c r="X391" s="10">
        <f t="shared" si="7"/>
        <v>994890</v>
      </c>
      <c r="Y391" s="10"/>
      <c r="Z391" s="10"/>
      <c r="AA391" s="10"/>
      <c r="AB391" s="4" t="s">
        <v>1396</v>
      </c>
      <c r="AC391" s="4" t="s">
        <v>1395</v>
      </c>
      <c r="AD391" s="4">
        <v>43095.0</v>
      </c>
      <c r="AE391" s="4">
        <v>2017.0</v>
      </c>
      <c r="AF391" s="4" t="s">
        <v>138</v>
      </c>
      <c r="AG391" s="4" t="s">
        <v>139</v>
      </c>
      <c r="AH391" s="4" t="s">
        <v>50</v>
      </c>
      <c r="AI391" s="4" t="s">
        <v>91</v>
      </c>
      <c r="AJ391" s="4" t="s">
        <v>140</v>
      </c>
      <c r="AK391" s="4" t="s">
        <v>74</v>
      </c>
      <c r="AL391" s="4" t="s">
        <v>739</v>
      </c>
      <c r="AM391" s="4" t="s">
        <v>36</v>
      </c>
      <c r="AN391" s="4" t="s">
        <v>37</v>
      </c>
      <c r="AO391" s="4" t="s">
        <v>38</v>
      </c>
      <c r="AP391" s="4">
        <v>43099.0</v>
      </c>
      <c r="AQ391" s="4">
        <v>67950.0</v>
      </c>
      <c r="AR391" s="4">
        <v>109500.0</v>
      </c>
      <c r="AS391" s="4">
        <v>41550.0</v>
      </c>
      <c r="AT391" s="4">
        <v>26.0</v>
      </c>
      <c r="AU391" s="4">
        <v>2847000.0</v>
      </c>
      <c r="AV391" s="4">
        <v>0.03</v>
      </c>
      <c r="AW391" s="4">
        <v>85410.0</v>
      </c>
      <c r="AX391" s="4">
        <v>2761590.0</v>
      </c>
      <c r="AY391" s="4">
        <v>1766700.0</v>
      </c>
      <c r="AZ391" s="4">
        <v>994890.0</v>
      </c>
    </row>
    <row r="392" ht="15.75" customHeight="1">
      <c r="A392" s="3" t="s">
        <v>1397</v>
      </c>
      <c r="B392" s="5">
        <v>43099.0</v>
      </c>
      <c r="C392" s="6">
        <f t="shared" si="1"/>
        <v>2017</v>
      </c>
      <c r="D392" s="7" t="s">
        <v>1398</v>
      </c>
      <c r="E392" s="7" t="s">
        <v>1399</v>
      </c>
      <c r="F392" s="7" t="s">
        <v>50</v>
      </c>
      <c r="G392" s="5" t="s">
        <v>51</v>
      </c>
      <c r="H392" s="7" t="s">
        <v>69</v>
      </c>
      <c r="I392" s="7" t="s">
        <v>53</v>
      </c>
      <c r="J392" s="7" t="s">
        <v>538</v>
      </c>
      <c r="K392" s="7" t="s">
        <v>36</v>
      </c>
      <c r="L392" s="7" t="s">
        <v>37</v>
      </c>
      <c r="M392" s="7" t="s">
        <v>38</v>
      </c>
      <c r="N392" s="5">
        <v>43100.0</v>
      </c>
      <c r="O392" s="8">
        <v>33900.0</v>
      </c>
      <c r="P392" s="8">
        <v>53700.0</v>
      </c>
      <c r="Q392" s="8">
        <f t="shared" si="2"/>
        <v>19800</v>
      </c>
      <c r="R392" s="8">
        <v>19.0</v>
      </c>
      <c r="S392" s="8">
        <f t="shared" si="3"/>
        <v>1020300</v>
      </c>
      <c r="T392" s="9">
        <v>0.0</v>
      </c>
      <c r="U392" s="8">
        <f t="shared" si="4"/>
        <v>0</v>
      </c>
      <c r="V392" s="8">
        <f t="shared" si="5"/>
        <v>1020300</v>
      </c>
      <c r="W392" s="10">
        <f t="shared" si="6"/>
        <v>644100</v>
      </c>
      <c r="X392" s="10">
        <f t="shared" si="7"/>
        <v>376200</v>
      </c>
      <c r="Y392" s="10"/>
      <c r="Z392" s="10"/>
      <c r="AA392" s="10"/>
      <c r="AB392" s="4" t="s">
        <v>1400</v>
      </c>
      <c r="AC392" s="4" t="s">
        <v>1397</v>
      </c>
      <c r="AD392" s="4">
        <v>43099.0</v>
      </c>
      <c r="AE392" s="4">
        <v>2017.0</v>
      </c>
      <c r="AF392" s="4" t="s">
        <v>1398</v>
      </c>
      <c r="AG392" s="4" t="s">
        <v>1399</v>
      </c>
      <c r="AH392" s="4" t="s">
        <v>50</v>
      </c>
      <c r="AI392" s="4" t="s">
        <v>51</v>
      </c>
      <c r="AJ392" s="4" t="s">
        <v>69</v>
      </c>
      <c r="AK392" s="4" t="s">
        <v>53</v>
      </c>
      <c r="AL392" s="4" t="s">
        <v>538</v>
      </c>
      <c r="AM392" s="4" t="s">
        <v>36</v>
      </c>
      <c r="AN392" s="4" t="s">
        <v>37</v>
      </c>
      <c r="AO392" s="4" t="s">
        <v>38</v>
      </c>
      <c r="AP392" s="4">
        <v>43100.0</v>
      </c>
      <c r="AQ392" s="4">
        <v>33900.0</v>
      </c>
      <c r="AR392" s="4">
        <v>53700.0</v>
      </c>
      <c r="AS392" s="4">
        <v>19800.0</v>
      </c>
      <c r="AT392" s="4">
        <v>19.0</v>
      </c>
      <c r="AU392" s="4">
        <v>1020300.0</v>
      </c>
      <c r="AV392" s="4">
        <v>0.0</v>
      </c>
      <c r="AW392" s="4">
        <v>0.0</v>
      </c>
      <c r="AX392" s="4">
        <v>1020300.0</v>
      </c>
      <c r="AY392" s="4">
        <v>644100.0</v>
      </c>
      <c r="AZ392" s="4">
        <v>376200.0</v>
      </c>
    </row>
    <row r="393" ht="15.75" customHeight="1">
      <c r="A393" s="3" t="s">
        <v>1401</v>
      </c>
      <c r="B393" s="5">
        <v>43103.0</v>
      </c>
      <c r="C393" s="6">
        <f t="shared" si="1"/>
        <v>2018</v>
      </c>
      <c r="D393" s="7" t="s">
        <v>1402</v>
      </c>
      <c r="E393" s="7" t="s">
        <v>1069</v>
      </c>
      <c r="F393" s="7" t="s">
        <v>31</v>
      </c>
      <c r="G393" s="5" t="s">
        <v>68</v>
      </c>
      <c r="H393" s="7" t="s">
        <v>43</v>
      </c>
      <c r="I393" s="7" t="s">
        <v>104</v>
      </c>
      <c r="J393" s="7" t="s">
        <v>264</v>
      </c>
      <c r="K393" s="7" t="s">
        <v>61</v>
      </c>
      <c r="L393" s="7" t="s">
        <v>37</v>
      </c>
      <c r="M393" s="7" t="s">
        <v>38</v>
      </c>
      <c r="N393" s="5">
        <v>43105.0</v>
      </c>
      <c r="O393" s="8">
        <v>296700.0</v>
      </c>
      <c r="P393" s="8">
        <v>689850.0</v>
      </c>
      <c r="Q393" s="8">
        <f t="shared" si="2"/>
        <v>393150</v>
      </c>
      <c r="R393" s="8">
        <v>23.0</v>
      </c>
      <c r="S393" s="8">
        <f t="shared" si="3"/>
        <v>15866550</v>
      </c>
      <c r="T393" s="9">
        <v>0.1</v>
      </c>
      <c r="U393" s="8">
        <f t="shared" si="4"/>
        <v>1586655</v>
      </c>
      <c r="V393" s="8">
        <f t="shared" si="5"/>
        <v>14279895</v>
      </c>
      <c r="W393" s="10">
        <f t="shared" si="6"/>
        <v>6824100</v>
      </c>
      <c r="X393" s="10">
        <f t="shared" si="7"/>
        <v>7455795</v>
      </c>
      <c r="Y393" s="10"/>
      <c r="Z393" s="10"/>
      <c r="AA393" s="10"/>
      <c r="AB393" s="4" t="s">
        <v>1403</v>
      </c>
      <c r="AC393" s="4" t="s">
        <v>1401</v>
      </c>
      <c r="AD393" s="4">
        <v>43103.0</v>
      </c>
      <c r="AE393" s="4">
        <v>2018.0</v>
      </c>
      <c r="AF393" s="4" t="s">
        <v>1402</v>
      </c>
      <c r="AG393" s="4" t="s">
        <v>1069</v>
      </c>
      <c r="AH393" s="4" t="s">
        <v>31</v>
      </c>
      <c r="AI393" s="4" t="s">
        <v>68</v>
      </c>
      <c r="AJ393" s="4" t="s">
        <v>43</v>
      </c>
      <c r="AK393" s="4" t="s">
        <v>104</v>
      </c>
      <c r="AL393" s="4" t="s">
        <v>264</v>
      </c>
      <c r="AM393" s="4" t="s">
        <v>61</v>
      </c>
      <c r="AN393" s="4" t="s">
        <v>37</v>
      </c>
      <c r="AO393" s="4" t="s">
        <v>38</v>
      </c>
      <c r="AP393" s="4">
        <v>43105.0</v>
      </c>
      <c r="AQ393" s="4">
        <v>296700.0</v>
      </c>
      <c r="AR393" s="4">
        <v>689850.0</v>
      </c>
      <c r="AS393" s="4">
        <v>393150.0</v>
      </c>
      <c r="AT393" s="4">
        <v>23.0</v>
      </c>
      <c r="AU393" s="4">
        <v>1.586655E7</v>
      </c>
      <c r="AV393" s="4">
        <v>0.1</v>
      </c>
      <c r="AW393" s="4">
        <v>1586655.0</v>
      </c>
      <c r="AX393" s="4">
        <v>1.4279895E7</v>
      </c>
      <c r="AY393" s="4">
        <v>6824100.0</v>
      </c>
      <c r="AZ393" s="4">
        <v>7455795.0</v>
      </c>
    </row>
    <row r="394" ht="15.75" customHeight="1">
      <c r="A394" s="3" t="s">
        <v>1404</v>
      </c>
      <c r="B394" s="5">
        <v>43103.0</v>
      </c>
      <c r="C394" s="6">
        <f t="shared" si="1"/>
        <v>2018</v>
      </c>
      <c r="D394" s="7" t="s">
        <v>1402</v>
      </c>
      <c r="E394" s="7" t="s">
        <v>1069</v>
      </c>
      <c r="F394" s="7" t="s">
        <v>31</v>
      </c>
      <c r="G394" s="5" t="s">
        <v>68</v>
      </c>
      <c r="H394" s="7" t="s">
        <v>43</v>
      </c>
      <c r="I394" s="7" t="s">
        <v>104</v>
      </c>
      <c r="J394" s="7" t="s">
        <v>567</v>
      </c>
      <c r="K394" s="7" t="s">
        <v>36</v>
      </c>
      <c r="L394" s="7" t="s">
        <v>45</v>
      </c>
      <c r="M394" s="7" t="s">
        <v>38</v>
      </c>
      <c r="N394" s="5">
        <v>43104.0</v>
      </c>
      <c r="O394" s="8">
        <v>13950.0</v>
      </c>
      <c r="P394" s="8">
        <v>22200.0</v>
      </c>
      <c r="Q394" s="8">
        <f t="shared" si="2"/>
        <v>8250</v>
      </c>
      <c r="R394" s="8">
        <v>33.0</v>
      </c>
      <c r="S394" s="8">
        <f t="shared" si="3"/>
        <v>732600</v>
      </c>
      <c r="T394" s="9">
        <v>0.06</v>
      </c>
      <c r="U394" s="8">
        <f t="shared" si="4"/>
        <v>43956</v>
      </c>
      <c r="V394" s="8">
        <f t="shared" si="5"/>
        <v>688644</v>
      </c>
      <c r="W394" s="10">
        <f t="shared" si="6"/>
        <v>460350</v>
      </c>
      <c r="X394" s="10">
        <f t="shared" si="7"/>
        <v>228294</v>
      </c>
      <c r="Y394" s="10"/>
      <c r="Z394" s="10"/>
      <c r="AA394" s="10"/>
      <c r="AB394" s="4" t="s">
        <v>1405</v>
      </c>
      <c r="AC394" s="4" t="s">
        <v>1404</v>
      </c>
      <c r="AD394" s="4">
        <v>43103.0</v>
      </c>
      <c r="AE394" s="4">
        <v>2018.0</v>
      </c>
      <c r="AF394" s="4" t="s">
        <v>1402</v>
      </c>
      <c r="AG394" s="4" t="s">
        <v>1069</v>
      </c>
      <c r="AH394" s="4" t="s">
        <v>31</v>
      </c>
      <c r="AI394" s="4" t="s">
        <v>68</v>
      </c>
      <c r="AJ394" s="4" t="s">
        <v>43</v>
      </c>
      <c r="AK394" s="4" t="s">
        <v>104</v>
      </c>
      <c r="AL394" s="4" t="s">
        <v>567</v>
      </c>
      <c r="AM394" s="4" t="s">
        <v>36</v>
      </c>
      <c r="AN394" s="4" t="s">
        <v>45</v>
      </c>
      <c r="AO394" s="4" t="s">
        <v>38</v>
      </c>
      <c r="AP394" s="4">
        <v>43104.0</v>
      </c>
      <c r="AQ394" s="4">
        <v>13950.0</v>
      </c>
      <c r="AR394" s="4">
        <v>22200.0</v>
      </c>
      <c r="AS394" s="4">
        <v>8250.0</v>
      </c>
      <c r="AT394" s="4">
        <v>33.0</v>
      </c>
      <c r="AU394" s="4">
        <v>732600.0</v>
      </c>
      <c r="AV394" s="4">
        <v>0.06</v>
      </c>
      <c r="AW394" s="4">
        <v>43956.0</v>
      </c>
      <c r="AX394" s="4">
        <v>688644.0</v>
      </c>
      <c r="AY394" s="4">
        <v>460350.0</v>
      </c>
      <c r="AZ394" s="4">
        <v>228294.0</v>
      </c>
    </row>
    <row r="395" ht="15.75" customHeight="1">
      <c r="A395" s="3" t="s">
        <v>1406</v>
      </c>
      <c r="B395" s="5">
        <v>43105.0</v>
      </c>
      <c r="C395" s="6">
        <f t="shared" si="1"/>
        <v>2018</v>
      </c>
      <c r="D395" s="7" t="s">
        <v>1407</v>
      </c>
      <c r="E395" s="7" t="s">
        <v>253</v>
      </c>
      <c r="F395" s="7" t="s">
        <v>31</v>
      </c>
      <c r="G395" s="5" t="s">
        <v>51</v>
      </c>
      <c r="H395" s="7" t="s">
        <v>43</v>
      </c>
      <c r="I395" s="7" t="s">
        <v>34</v>
      </c>
      <c r="J395" s="7" t="s">
        <v>452</v>
      </c>
      <c r="K395" s="7" t="s">
        <v>36</v>
      </c>
      <c r="L395" s="7" t="s">
        <v>45</v>
      </c>
      <c r="M395" s="7" t="s">
        <v>55</v>
      </c>
      <c r="N395" s="5">
        <v>43107.0</v>
      </c>
      <c r="O395" s="8">
        <v>65550.0</v>
      </c>
      <c r="P395" s="8">
        <v>136650.0</v>
      </c>
      <c r="Q395" s="8">
        <f t="shared" si="2"/>
        <v>71100</v>
      </c>
      <c r="R395" s="8">
        <v>48.0</v>
      </c>
      <c r="S395" s="8">
        <f t="shared" si="3"/>
        <v>6559200</v>
      </c>
      <c r="T395" s="9">
        <v>0.06</v>
      </c>
      <c r="U395" s="8">
        <f t="shared" si="4"/>
        <v>393552</v>
      </c>
      <c r="V395" s="8">
        <f t="shared" si="5"/>
        <v>6165648</v>
      </c>
      <c r="W395" s="10">
        <f t="shared" si="6"/>
        <v>3146400</v>
      </c>
      <c r="X395" s="10">
        <f t="shared" si="7"/>
        <v>3019248</v>
      </c>
      <c r="Y395" s="10"/>
      <c r="Z395" s="10"/>
      <c r="AA395" s="10"/>
      <c r="AB395" s="4" t="s">
        <v>1408</v>
      </c>
      <c r="AC395" s="4" t="s">
        <v>1406</v>
      </c>
      <c r="AD395" s="4">
        <v>43105.0</v>
      </c>
      <c r="AE395" s="4">
        <v>2018.0</v>
      </c>
      <c r="AF395" s="4" t="s">
        <v>1407</v>
      </c>
      <c r="AG395" s="4" t="s">
        <v>253</v>
      </c>
      <c r="AH395" s="4" t="s">
        <v>31</v>
      </c>
      <c r="AI395" s="4" t="s">
        <v>51</v>
      </c>
      <c r="AJ395" s="4" t="s">
        <v>43</v>
      </c>
      <c r="AK395" s="4" t="s">
        <v>34</v>
      </c>
      <c r="AL395" s="4" t="s">
        <v>452</v>
      </c>
      <c r="AM395" s="4" t="s">
        <v>36</v>
      </c>
      <c r="AN395" s="4" t="s">
        <v>45</v>
      </c>
      <c r="AO395" s="4" t="s">
        <v>55</v>
      </c>
      <c r="AP395" s="4">
        <v>43107.0</v>
      </c>
      <c r="AQ395" s="4">
        <v>65550.0</v>
      </c>
      <c r="AR395" s="4">
        <v>136650.0</v>
      </c>
      <c r="AS395" s="4">
        <v>71100.0</v>
      </c>
      <c r="AT395" s="4">
        <v>48.0</v>
      </c>
      <c r="AU395" s="4">
        <v>6559200.0</v>
      </c>
      <c r="AV395" s="4">
        <v>0.06</v>
      </c>
      <c r="AW395" s="4">
        <v>393552.0</v>
      </c>
      <c r="AX395" s="4">
        <v>6165648.0</v>
      </c>
      <c r="AY395" s="4">
        <v>3146400.0</v>
      </c>
      <c r="AZ395" s="4">
        <v>3019248.0</v>
      </c>
    </row>
    <row r="396" ht="15.75" customHeight="1">
      <c r="A396" s="3" t="s">
        <v>1409</v>
      </c>
      <c r="B396" s="5">
        <v>43109.0</v>
      </c>
      <c r="C396" s="6">
        <f t="shared" si="1"/>
        <v>2018</v>
      </c>
      <c r="D396" s="7" t="s">
        <v>1410</v>
      </c>
      <c r="E396" s="7" t="s">
        <v>716</v>
      </c>
      <c r="F396" s="7" t="s">
        <v>289</v>
      </c>
      <c r="G396" s="5" t="s">
        <v>51</v>
      </c>
      <c r="H396" s="7" t="s">
        <v>140</v>
      </c>
      <c r="I396" s="7" t="s">
        <v>74</v>
      </c>
      <c r="J396" s="7" t="s">
        <v>165</v>
      </c>
      <c r="K396" s="7" t="s">
        <v>36</v>
      </c>
      <c r="L396" s="7" t="s">
        <v>127</v>
      </c>
      <c r="M396" s="7" t="s">
        <v>38</v>
      </c>
      <c r="N396" s="5">
        <v>43114.0</v>
      </c>
      <c r="O396" s="8">
        <v>14100.0</v>
      </c>
      <c r="P396" s="8">
        <v>31200.0</v>
      </c>
      <c r="Q396" s="8">
        <f t="shared" si="2"/>
        <v>17100</v>
      </c>
      <c r="R396" s="8">
        <v>36.0</v>
      </c>
      <c r="S396" s="8">
        <f t="shared" si="3"/>
        <v>1123200</v>
      </c>
      <c r="T396" s="9">
        <v>0.01</v>
      </c>
      <c r="U396" s="8">
        <f t="shared" si="4"/>
        <v>11232</v>
      </c>
      <c r="V396" s="8">
        <f t="shared" si="5"/>
        <v>1111968</v>
      </c>
      <c r="W396" s="10">
        <f t="shared" si="6"/>
        <v>507600</v>
      </c>
      <c r="X396" s="10">
        <f t="shared" si="7"/>
        <v>604368</v>
      </c>
      <c r="Y396" s="10"/>
      <c r="Z396" s="10"/>
      <c r="AA396" s="10"/>
      <c r="AB396" s="4" t="s">
        <v>1411</v>
      </c>
      <c r="AC396" s="4" t="s">
        <v>1409</v>
      </c>
      <c r="AD396" s="4">
        <v>43109.0</v>
      </c>
      <c r="AE396" s="4">
        <v>2018.0</v>
      </c>
      <c r="AF396" s="4" t="s">
        <v>1410</v>
      </c>
      <c r="AG396" s="4" t="s">
        <v>716</v>
      </c>
      <c r="AH396" s="4" t="s">
        <v>289</v>
      </c>
      <c r="AI396" s="4" t="s">
        <v>51</v>
      </c>
      <c r="AJ396" s="4" t="s">
        <v>140</v>
      </c>
      <c r="AK396" s="4" t="s">
        <v>74</v>
      </c>
      <c r="AL396" s="4" t="s">
        <v>165</v>
      </c>
      <c r="AM396" s="4" t="s">
        <v>36</v>
      </c>
      <c r="AN396" s="4" t="s">
        <v>127</v>
      </c>
      <c r="AO396" s="4" t="s">
        <v>38</v>
      </c>
      <c r="AP396" s="4">
        <v>43114.0</v>
      </c>
      <c r="AQ396" s="4">
        <v>14100.0</v>
      </c>
      <c r="AR396" s="4">
        <v>31200.0</v>
      </c>
      <c r="AS396" s="4">
        <v>17100.0</v>
      </c>
      <c r="AT396" s="4">
        <v>36.0</v>
      </c>
      <c r="AU396" s="4">
        <v>1123200.0</v>
      </c>
      <c r="AV396" s="4">
        <v>0.01</v>
      </c>
      <c r="AW396" s="4">
        <v>11232.0</v>
      </c>
      <c r="AX396" s="4">
        <v>1111968.0</v>
      </c>
      <c r="AY396" s="4">
        <v>507600.0</v>
      </c>
      <c r="AZ396" s="4">
        <v>604368.0</v>
      </c>
    </row>
    <row r="397" ht="15.75" customHeight="1">
      <c r="A397" s="3" t="s">
        <v>1412</v>
      </c>
      <c r="B397" s="5">
        <v>43110.0</v>
      </c>
      <c r="C397" s="6">
        <f t="shared" si="1"/>
        <v>2018</v>
      </c>
      <c r="D397" s="7" t="s">
        <v>1413</v>
      </c>
      <c r="E397" s="7" t="s">
        <v>466</v>
      </c>
      <c r="F397" s="7" t="s">
        <v>50</v>
      </c>
      <c r="G397" s="5" t="s">
        <v>51</v>
      </c>
      <c r="H397" s="7" t="s">
        <v>110</v>
      </c>
      <c r="I397" s="7" t="s">
        <v>34</v>
      </c>
      <c r="J397" s="7" t="s">
        <v>1255</v>
      </c>
      <c r="K397" s="7" t="s">
        <v>36</v>
      </c>
      <c r="L397" s="7" t="s">
        <v>45</v>
      </c>
      <c r="M397" s="7" t="s">
        <v>38</v>
      </c>
      <c r="N397" s="5">
        <v>43111.0</v>
      </c>
      <c r="O397" s="8">
        <v>22950.0</v>
      </c>
      <c r="P397" s="8">
        <v>37050.0</v>
      </c>
      <c r="Q397" s="8">
        <f t="shared" si="2"/>
        <v>14100</v>
      </c>
      <c r="R397" s="8">
        <v>49.0</v>
      </c>
      <c r="S397" s="8">
        <f t="shared" si="3"/>
        <v>1815450</v>
      </c>
      <c r="T397" s="9">
        <v>0.03</v>
      </c>
      <c r="U397" s="8">
        <f t="shared" si="4"/>
        <v>54463.5</v>
      </c>
      <c r="V397" s="8">
        <f t="shared" si="5"/>
        <v>1760986.5</v>
      </c>
      <c r="W397" s="10">
        <f t="shared" si="6"/>
        <v>1124550</v>
      </c>
      <c r="X397" s="10">
        <f t="shared" si="7"/>
        <v>636436.5</v>
      </c>
      <c r="Y397" s="10"/>
      <c r="Z397" s="10"/>
      <c r="AA397" s="10"/>
      <c r="AB397" s="4" t="s">
        <v>1414</v>
      </c>
      <c r="AC397" s="4" t="s">
        <v>1412</v>
      </c>
      <c r="AD397" s="4">
        <v>43110.0</v>
      </c>
      <c r="AE397" s="4">
        <v>2018.0</v>
      </c>
      <c r="AF397" s="4" t="s">
        <v>1413</v>
      </c>
      <c r="AG397" s="4" t="s">
        <v>466</v>
      </c>
      <c r="AH397" s="4" t="s">
        <v>50</v>
      </c>
      <c r="AI397" s="4" t="s">
        <v>51</v>
      </c>
      <c r="AJ397" s="4" t="s">
        <v>110</v>
      </c>
      <c r="AK397" s="4" t="s">
        <v>34</v>
      </c>
      <c r="AL397" s="4" t="s">
        <v>1255</v>
      </c>
      <c r="AM397" s="4" t="s">
        <v>36</v>
      </c>
      <c r="AN397" s="4" t="s">
        <v>45</v>
      </c>
      <c r="AO397" s="4" t="s">
        <v>38</v>
      </c>
      <c r="AP397" s="4">
        <v>43111.0</v>
      </c>
      <c r="AQ397" s="4">
        <v>22950.0</v>
      </c>
      <c r="AR397" s="4">
        <v>37050.0</v>
      </c>
      <c r="AS397" s="4">
        <v>14100.0</v>
      </c>
      <c r="AT397" s="4">
        <v>49.0</v>
      </c>
      <c r="AU397" s="4">
        <v>1815450.0</v>
      </c>
      <c r="AV397" s="4">
        <v>0.03</v>
      </c>
      <c r="AW397" s="4">
        <v>54463.5</v>
      </c>
      <c r="AX397" s="4">
        <v>1760986.5</v>
      </c>
      <c r="AY397" s="4">
        <v>1124550.0</v>
      </c>
      <c r="AZ397" s="4">
        <v>636436.5</v>
      </c>
    </row>
    <row r="398" ht="15.75" customHeight="1">
      <c r="A398" s="3" t="s">
        <v>1415</v>
      </c>
      <c r="B398" s="5">
        <v>43110.0</v>
      </c>
      <c r="C398" s="6">
        <f t="shared" si="1"/>
        <v>2018</v>
      </c>
      <c r="D398" s="7" t="s">
        <v>1416</v>
      </c>
      <c r="E398" s="7" t="s">
        <v>432</v>
      </c>
      <c r="F398" s="7" t="s">
        <v>50</v>
      </c>
      <c r="G398" s="5" t="s">
        <v>32</v>
      </c>
      <c r="H398" s="7" t="s">
        <v>140</v>
      </c>
      <c r="I398" s="7" t="s">
        <v>34</v>
      </c>
      <c r="J398" s="7" t="s">
        <v>224</v>
      </c>
      <c r="K398" s="7" t="s">
        <v>36</v>
      </c>
      <c r="L398" s="7" t="s">
        <v>45</v>
      </c>
      <c r="M398" s="7" t="s">
        <v>38</v>
      </c>
      <c r="N398" s="5">
        <v>43111.0</v>
      </c>
      <c r="O398" s="8">
        <v>52050.0</v>
      </c>
      <c r="P398" s="8">
        <v>100200.0</v>
      </c>
      <c r="Q398" s="8">
        <f t="shared" si="2"/>
        <v>48150</v>
      </c>
      <c r="R398" s="8">
        <v>16.0</v>
      </c>
      <c r="S398" s="8">
        <f t="shared" si="3"/>
        <v>1603200</v>
      </c>
      <c r="T398" s="9">
        <v>0.1</v>
      </c>
      <c r="U398" s="8">
        <f t="shared" si="4"/>
        <v>160320</v>
      </c>
      <c r="V398" s="8">
        <f t="shared" si="5"/>
        <v>1442880</v>
      </c>
      <c r="W398" s="10">
        <f t="shared" si="6"/>
        <v>832800</v>
      </c>
      <c r="X398" s="10">
        <f t="shared" si="7"/>
        <v>610080</v>
      </c>
      <c r="Y398" s="10"/>
      <c r="Z398" s="10"/>
      <c r="AA398" s="10"/>
      <c r="AB398" s="4" t="s">
        <v>1417</v>
      </c>
      <c r="AC398" s="4" t="s">
        <v>1415</v>
      </c>
      <c r="AD398" s="4">
        <v>43110.0</v>
      </c>
      <c r="AE398" s="4">
        <v>2018.0</v>
      </c>
      <c r="AF398" s="4" t="s">
        <v>1416</v>
      </c>
      <c r="AG398" s="4" t="s">
        <v>432</v>
      </c>
      <c r="AH398" s="4" t="s">
        <v>50</v>
      </c>
      <c r="AI398" s="4" t="s">
        <v>32</v>
      </c>
      <c r="AJ398" s="4" t="s">
        <v>140</v>
      </c>
      <c r="AK398" s="4" t="s">
        <v>34</v>
      </c>
      <c r="AL398" s="4" t="s">
        <v>224</v>
      </c>
      <c r="AM398" s="4" t="s">
        <v>36</v>
      </c>
      <c r="AN398" s="4" t="s">
        <v>45</v>
      </c>
      <c r="AO398" s="4" t="s">
        <v>38</v>
      </c>
      <c r="AP398" s="4">
        <v>43111.0</v>
      </c>
      <c r="AQ398" s="4">
        <v>52050.0</v>
      </c>
      <c r="AR398" s="4">
        <v>100200.0</v>
      </c>
      <c r="AS398" s="4">
        <v>48150.0</v>
      </c>
      <c r="AT398" s="4">
        <v>16.0</v>
      </c>
      <c r="AU398" s="4">
        <v>1603200.0</v>
      </c>
      <c r="AV398" s="4">
        <v>0.1</v>
      </c>
      <c r="AW398" s="4">
        <v>160320.0</v>
      </c>
      <c r="AX398" s="4">
        <v>1442880.0</v>
      </c>
      <c r="AY398" s="4">
        <v>832800.0</v>
      </c>
      <c r="AZ398" s="4">
        <v>610080.0</v>
      </c>
    </row>
    <row r="399" ht="15.75" customHeight="1">
      <c r="A399" s="3" t="s">
        <v>1418</v>
      </c>
      <c r="B399" s="5">
        <v>43111.0</v>
      </c>
      <c r="C399" s="6">
        <f t="shared" si="1"/>
        <v>2018</v>
      </c>
      <c r="D399" s="7" t="s">
        <v>1192</v>
      </c>
      <c r="E399" s="7" t="s">
        <v>1419</v>
      </c>
      <c r="F399" s="7" t="s">
        <v>289</v>
      </c>
      <c r="G399" s="5" t="s">
        <v>91</v>
      </c>
      <c r="H399" s="7" t="s">
        <v>140</v>
      </c>
      <c r="I399" s="7" t="s">
        <v>74</v>
      </c>
      <c r="J399" s="7" t="s">
        <v>120</v>
      </c>
      <c r="K399" s="7" t="s">
        <v>36</v>
      </c>
      <c r="L399" s="7" t="s">
        <v>45</v>
      </c>
      <c r="M399" s="7" t="s">
        <v>38</v>
      </c>
      <c r="N399" s="5">
        <v>43111.0</v>
      </c>
      <c r="O399" s="8">
        <v>10650.0</v>
      </c>
      <c r="P399" s="8">
        <v>17100.0</v>
      </c>
      <c r="Q399" s="8">
        <f t="shared" si="2"/>
        <v>6450</v>
      </c>
      <c r="R399" s="8">
        <v>8.0</v>
      </c>
      <c r="S399" s="8">
        <f t="shared" si="3"/>
        <v>136800</v>
      </c>
      <c r="T399" s="9">
        <v>0.0</v>
      </c>
      <c r="U399" s="8">
        <f t="shared" si="4"/>
        <v>0</v>
      </c>
      <c r="V399" s="8">
        <f t="shared" si="5"/>
        <v>136800</v>
      </c>
      <c r="W399" s="10">
        <f t="shared" si="6"/>
        <v>85200</v>
      </c>
      <c r="X399" s="10">
        <f t="shared" si="7"/>
        <v>51600</v>
      </c>
      <c r="Y399" s="10"/>
      <c r="Z399" s="10"/>
      <c r="AA399" s="10"/>
      <c r="AB399" s="4" t="s">
        <v>1420</v>
      </c>
      <c r="AC399" s="4" t="s">
        <v>1418</v>
      </c>
      <c r="AD399" s="4">
        <v>43111.0</v>
      </c>
      <c r="AE399" s="4">
        <v>2018.0</v>
      </c>
      <c r="AF399" s="4" t="s">
        <v>1192</v>
      </c>
      <c r="AG399" s="4" t="s">
        <v>1419</v>
      </c>
      <c r="AH399" s="4" t="s">
        <v>289</v>
      </c>
      <c r="AI399" s="4" t="s">
        <v>91</v>
      </c>
      <c r="AJ399" s="4" t="s">
        <v>140</v>
      </c>
      <c r="AK399" s="4" t="s">
        <v>74</v>
      </c>
      <c r="AL399" s="4" t="s">
        <v>120</v>
      </c>
      <c r="AM399" s="4" t="s">
        <v>36</v>
      </c>
      <c r="AN399" s="4" t="s">
        <v>45</v>
      </c>
      <c r="AO399" s="4" t="s">
        <v>38</v>
      </c>
      <c r="AP399" s="4">
        <v>43111.0</v>
      </c>
      <c r="AQ399" s="4">
        <v>10650.0</v>
      </c>
      <c r="AR399" s="4">
        <v>17100.0</v>
      </c>
      <c r="AS399" s="4">
        <v>6450.0</v>
      </c>
      <c r="AT399" s="4">
        <v>8.0</v>
      </c>
      <c r="AU399" s="4">
        <v>136800.0</v>
      </c>
      <c r="AV399" s="4">
        <v>0.0</v>
      </c>
      <c r="AW399" s="4">
        <v>0.0</v>
      </c>
      <c r="AX399" s="4">
        <v>136800.0</v>
      </c>
      <c r="AY399" s="4">
        <v>85200.0</v>
      </c>
      <c r="AZ399" s="4">
        <v>51600.0</v>
      </c>
    </row>
    <row r="400" ht="15.75" customHeight="1">
      <c r="A400" s="3" t="s">
        <v>1421</v>
      </c>
      <c r="B400" s="5">
        <v>43113.0</v>
      </c>
      <c r="C400" s="6">
        <f t="shared" si="1"/>
        <v>2018</v>
      </c>
      <c r="D400" s="7" t="s">
        <v>29</v>
      </c>
      <c r="E400" s="7" t="s">
        <v>30</v>
      </c>
      <c r="F400" s="7" t="s">
        <v>31</v>
      </c>
      <c r="G400" s="5" t="s">
        <v>32</v>
      </c>
      <c r="H400" s="7" t="s">
        <v>33</v>
      </c>
      <c r="I400" s="7" t="s">
        <v>34</v>
      </c>
      <c r="J400" s="7" t="s">
        <v>195</v>
      </c>
      <c r="K400" s="7" t="s">
        <v>61</v>
      </c>
      <c r="L400" s="7" t="s">
        <v>37</v>
      </c>
      <c r="M400" s="7" t="s">
        <v>38</v>
      </c>
      <c r="N400" s="5">
        <v>43115.0</v>
      </c>
      <c r="O400" s="8">
        <v>594600.0</v>
      </c>
      <c r="P400" s="8">
        <v>2287200.0</v>
      </c>
      <c r="Q400" s="8">
        <f t="shared" si="2"/>
        <v>1692600</v>
      </c>
      <c r="R400" s="8">
        <v>48.0</v>
      </c>
      <c r="S400" s="8">
        <f t="shared" si="3"/>
        <v>109785600</v>
      </c>
      <c r="T400" s="9">
        <v>0.04</v>
      </c>
      <c r="U400" s="8">
        <f t="shared" si="4"/>
        <v>4391424</v>
      </c>
      <c r="V400" s="8">
        <f t="shared" si="5"/>
        <v>105394176</v>
      </c>
      <c r="W400" s="10">
        <f t="shared" si="6"/>
        <v>28540800</v>
      </c>
      <c r="X400" s="10">
        <f t="shared" si="7"/>
        <v>76853376</v>
      </c>
      <c r="Y400" s="10"/>
      <c r="Z400" s="10"/>
      <c r="AA400" s="10"/>
      <c r="AB400" s="4" t="s">
        <v>1422</v>
      </c>
      <c r="AC400" s="4" t="s">
        <v>1421</v>
      </c>
      <c r="AD400" s="4">
        <v>43113.0</v>
      </c>
      <c r="AE400" s="4">
        <v>2018.0</v>
      </c>
      <c r="AF400" s="4" t="s">
        <v>29</v>
      </c>
      <c r="AG400" s="4" t="s">
        <v>30</v>
      </c>
      <c r="AH400" s="4" t="s">
        <v>31</v>
      </c>
      <c r="AI400" s="4" t="s">
        <v>32</v>
      </c>
      <c r="AJ400" s="4" t="s">
        <v>33</v>
      </c>
      <c r="AK400" s="4" t="s">
        <v>34</v>
      </c>
      <c r="AL400" s="4" t="s">
        <v>195</v>
      </c>
      <c r="AM400" s="4" t="s">
        <v>61</v>
      </c>
      <c r="AN400" s="4" t="s">
        <v>37</v>
      </c>
      <c r="AO400" s="4" t="s">
        <v>38</v>
      </c>
      <c r="AP400" s="4">
        <v>43115.0</v>
      </c>
      <c r="AQ400" s="4">
        <v>594600.0</v>
      </c>
      <c r="AR400" s="4">
        <v>2287200.0</v>
      </c>
      <c r="AS400" s="4">
        <v>1692600.0</v>
      </c>
      <c r="AT400" s="4">
        <v>48.0</v>
      </c>
      <c r="AU400" s="4">
        <v>1.097856E8</v>
      </c>
      <c r="AV400" s="4">
        <v>0.04</v>
      </c>
      <c r="AW400" s="4">
        <v>4391424.0</v>
      </c>
      <c r="AX400" s="4">
        <v>1.05394176E8</v>
      </c>
      <c r="AY400" s="4">
        <v>2.85408E7</v>
      </c>
      <c r="AZ400" s="4">
        <v>7.6853376E7</v>
      </c>
    </row>
    <row r="401" ht="15.75" customHeight="1">
      <c r="A401" s="3" t="s">
        <v>1423</v>
      </c>
      <c r="B401" s="5">
        <v>43113.0</v>
      </c>
      <c r="C401" s="6">
        <f t="shared" si="1"/>
        <v>2018</v>
      </c>
      <c r="D401" s="7" t="s">
        <v>1424</v>
      </c>
      <c r="E401" s="7" t="s">
        <v>85</v>
      </c>
      <c r="F401" s="7" t="s">
        <v>50</v>
      </c>
      <c r="G401" s="5" t="s">
        <v>51</v>
      </c>
      <c r="H401" s="7" t="s">
        <v>80</v>
      </c>
      <c r="I401" s="7" t="s">
        <v>92</v>
      </c>
      <c r="J401" s="7" t="s">
        <v>404</v>
      </c>
      <c r="K401" s="7" t="s">
        <v>36</v>
      </c>
      <c r="L401" s="7" t="s">
        <v>45</v>
      </c>
      <c r="M401" s="7" t="s">
        <v>55</v>
      </c>
      <c r="N401" s="5">
        <v>43114.0</v>
      </c>
      <c r="O401" s="8">
        <v>166650.0</v>
      </c>
      <c r="P401" s="8">
        <v>297600.0</v>
      </c>
      <c r="Q401" s="8">
        <f t="shared" si="2"/>
        <v>130950</v>
      </c>
      <c r="R401" s="8">
        <v>15.0</v>
      </c>
      <c r="S401" s="8">
        <f t="shared" si="3"/>
        <v>4464000</v>
      </c>
      <c r="T401" s="9">
        <v>0.0</v>
      </c>
      <c r="U401" s="8">
        <f t="shared" si="4"/>
        <v>0</v>
      </c>
      <c r="V401" s="8">
        <f t="shared" si="5"/>
        <v>4464000</v>
      </c>
      <c r="W401" s="10">
        <f t="shared" si="6"/>
        <v>2499750</v>
      </c>
      <c r="X401" s="10">
        <f t="shared" si="7"/>
        <v>1964250</v>
      </c>
      <c r="Y401" s="10"/>
      <c r="Z401" s="10"/>
      <c r="AA401" s="10"/>
      <c r="AB401" s="4" t="s">
        <v>1425</v>
      </c>
      <c r="AC401" s="4" t="s">
        <v>1423</v>
      </c>
      <c r="AD401" s="4">
        <v>43113.0</v>
      </c>
      <c r="AE401" s="4">
        <v>2018.0</v>
      </c>
      <c r="AF401" s="4" t="s">
        <v>1424</v>
      </c>
      <c r="AG401" s="4" t="s">
        <v>85</v>
      </c>
      <c r="AH401" s="4" t="s">
        <v>50</v>
      </c>
      <c r="AI401" s="4" t="s">
        <v>51</v>
      </c>
      <c r="AJ401" s="4" t="s">
        <v>80</v>
      </c>
      <c r="AK401" s="4" t="s">
        <v>92</v>
      </c>
      <c r="AL401" s="4" t="s">
        <v>404</v>
      </c>
      <c r="AM401" s="4" t="s">
        <v>36</v>
      </c>
      <c r="AN401" s="4" t="s">
        <v>45</v>
      </c>
      <c r="AO401" s="4" t="s">
        <v>55</v>
      </c>
      <c r="AP401" s="4">
        <v>43114.0</v>
      </c>
      <c r="AQ401" s="4">
        <v>166650.0</v>
      </c>
      <c r="AR401" s="4">
        <v>297600.0</v>
      </c>
      <c r="AS401" s="4">
        <v>130950.0</v>
      </c>
      <c r="AT401" s="4">
        <v>15.0</v>
      </c>
      <c r="AU401" s="4">
        <v>4464000.0</v>
      </c>
      <c r="AV401" s="4">
        <v>0.0</v>
      </c>
      <c r="AW401" s="4">
        <v>0.0</v>
      </c>
      <c r="AX401" s="4">
        <v>4464000.0</v>
      </c>
      <c r="AY401" s="4">
        <v>2499750.0</v>
      </c>
      <c r="AZ401" s="4">
        <v>1964250.0</v>
      </c>
    </row>
    <row r="402" ht="15.75" customHeight="1">
      <c r="A402" s="3" t="s">
        <v>1426</v>
      </c>
      <c r="B402" s="5">
        <v>43114.0</v>
      </c>
      <c r="C402" s="6">
        <f t="shared" si="1"/>
        <v>2018</v>
      </c>
      <c r="D402" s="7" t="s">
        <v>1427</v>
      </c>
      <c r="E402" s="7" t="s">
        <v>1428</v>
      </c>
      <c r="F402" s="7" t="s">
        <v>50</v>
      </c>
      <c r="G402" s="5" t="s">
        <v>32</v>
      </c>
      <c r="H402" s="7" t="s">
        <v>110</v>
      </c>
      <c r="I402" s="7" t="s">
        <v>34</v>
      </c>
      <c r="J402" s="7" t="s">
        <v>771</v>
      </c>
      <c r="K402" s="7" t="s">
        <v>36</v>
      </c>
      <c r="L402" s="7" t="s">
        <v>37</v>
      </c>
      <c r="M402" s="7" t="s">
        <v>38</v>
      </c>
      <c r="N402" s="5">
        <v>43116.0</v>
      </c>
      <c r="O402" s="8">
        <v>34350.0</v>
      </c>
      <c r="P402" s="8">
        <v>55350.0</v>
      </c>
      <c r="Q402" s="8">
        <f t="shared" si="2"/>
        <v>21000</v>
      </c>
      <c r="R402" s="8">
        <v>30.0</v>
      </c>
      <c r="S402" s="8">
        <f t="shared" si="3"/>
        <v>1660500</v>
      </c>
      <c r="T402" s="9">
        <v>0.09</v>
      </c>
      <c r="U402" s="8">
        <f t="shared" si="4"/>
        <v>149445</v>
      </c>
      <c r="V402" s="8">
        <f t="shared" si="5"/>
        <v>1511055</v>
      </c>
      <c r="W402" s="10">
        <f t="shared" si="6"/>
        <v>1030500</v>
      </c>
      <c r="X402" s="10">
        <f t="shared" si="7"/>
        <v>480555</v>
      </c>
      <c r="Y402" s="10"/>
      <c r="Z402" s="10"/>
      <c r="AA402" s="10"/>
      <c r="AB402" s="4" t="s">
        <v>1429</v>
      </c>
      <c r="AC402" s="4" t="s">
        <v>1426</v>
      </c>
      <c r="AD402" s="4">
        <v>43114.0</v>
      </c>
      <c r="AE402" s="4">
        <v>2018.0</v>
      </c>
      <c r="AF402" s="4" t="s">
        <v>1427</v>
      </c>
      <c r="AG402" s="4" t="s">
        <v>1428</v>
      </c>
      <c r="AH402" s="4" t="s">
        <v>50</v>
      </c>
      <c r="AI402" s="4" t="s">
        <v>32</v>
      </c>
      <c r="AJ402" s="4" t="s">
        <v>110</v>
      </c>
      <c r="AK402" s="4" t="s">
        <v>34</v>
      </c>
      <c r="AL402" s="4" t="s">
        <v>771</v>
      </c>
      <c r="AM402" s="4" t="s">
        <v>36</v>
      </c>
      <c r="AN402" s="4" t="s">
        <v>37</v>
      </c>
      <c r="AO402" s="4" t="s">
        <v>38</v>
      </c>
      <c r="AP402" s="4">
        <v>43116.0</v>
      </c>
      <c r="AQ402" s="4">
        <v>34350.0</v>
      </c>
      <c r="AR402" s="4">
        <v>55350.0</v>
      </c>
      <c r="AS402" s="4">
        <v>21000.0</v>
      </c>
      <c r="AT402" s="4">
        <v>30.0</v>
      </c>
      <c r="AU402" s="4">
        <v>1660500.0</v>
      </c>
      <c r="AV402" s="4">
        <v>0.09</v>
      </c>
      <c r="AW402" s="4">
        <v>149445.0</v>
      </c>
      <c r="AX402" s="4">
        <v>1511055.0</v>
      </c>
      <c r="AY402" s="4">
        <v>1030500.0</v>
      </c>
      <c r="AZ402" s="4">
        <v>480555.0</v>
      </c>
    </row>
    <row r="403" ht="15.75" customHeight="1">
      <c r="A403" s="3" t="s">
        <v>1430</v>
      </c>
      <c r="B403" s="5">
        <v>43114.0</v>
      </c>
      <c r="C403" s="6">
        <f t="shared" si="1"/>
        <v>2018</v>
      </c>
      <c r="D403" s="7" t="s">
        <v>1146</v>
      </c>
      <c r="E403" s="7" t="s">
        <v>1147</v>
      </c>
      <c r="F403" s="7" t="s">
        <v>289</v>
      </c>
      <c r="G403" s="5" t="s">
        <v>51</v>
      </c>
      <c r="H403" s="7" t="s">
        <v>98</v>
      </c>
      <c r="I403" s="7" t="s">
        <v>34</v>
      </c>
      <c r="J403" s="7" t="s">
        <v>1065</v>
      </c>
      <c r="K403" s="7" t="s">
        <v>36</v>
      </c>
      <c r="L403" s="7" t="s">
        <v>37</v>
      </c>
      <c r="M403" s="7" t="s">
        <v>38</v>
      </c>
      <c r="N403" s="5">
        <v>43116.0</v>
      </c>
      <c r="O403" s="8">
        <v>329550.0</v>
      </c>
      <c r="P403" s="8">
        <v>531600.0</v>
      </c>
      <c r="Q403" s="8">
        <f t="shared" si="2"/>
        <v>202050</v>
      </c>
      <c r="R403" s="8">
        <v>29.0</v>
      </c>
      <c r="S403" s="8">
        <f t="shared" si="3"/>
        <v>15416400</v>
      </c>
      <c r="T403" s="9">
        <v>0.03</v>
      </c>
      <c r="U403" s="8">
        <f t="shared" si="4"/>
        <v>462492</v>
      </c>
      <c r="V403" s="8">
        <f t="shared" si="5"/>
        <v>14953908</v>
      </c>
      <c r="W403" s="10">
        <f t="shared" si="6"/>
        <v>9556950</v>
      </c>
      <c r="X403" s="10">
        <f t="shared" si="7"/>
        <v>5396958</v>
      </c>
      <c r="Y403" s="10"/>
      <c r="Z403" s="10"/>
      <c r="AA403" s="10"/>
      <c r="AB403" s="4" t="s">
        <v>1431</v>
      </c>
      <c r="AC403" s="4" t="s">
        <v>1430</v>
      </c>
      <c r="AD403" s="4">
        <v>43114.0</v>
      </c>
      <c r="AE403" s="4">
        <v>2018.0</v>
      </c>
      <c r="AF403" s="4" t="s">
        <v>1146</v>
      </c>
      <c r="AG403" s="4" t="s">
        <v>1147</v>
      </c>
      <c r="AH403" s="4" t="s">
        <v>289</v>
      </c>
      <c r="AI403" s="4" t="s">
        <v>51</v>
      </c>
      <c r="AJ403" s="4" t="s">
        <v>98</v>
      </c>
      <c r="AK403" s="4" t="s">
        <v>34</v>
      </c>
      <c r="AL403" s="4" t="s">
        <v>1065</v>
      </c>
      <c r="AM403" s="4" t="s">
        <v>36</v>
      </c>
      <c r="AN403" s="4" t="s">
        <v>37</v>
      </c>
      <c r="AO403" s="4" t="s">
        <v>38</v>
      </c>
      <c r="AP403" s="4">
        <v>43116.0</v>
      </c>
      <c r="AQ403" s="4">
        <v>329550.0</v>
      </c>
      <c r="AR403" s="4">
        <v>531600.0</v>
      </c>
      <c r="AS403" s="4">
        <v>202050.0</v>
      </c>
      <c r="AT403" s="4">
        <v>29.0</v>
      </c>
      <c r="AU403" s="4">
        <v>1.54164E7</v>
      </c>
      <c r="AV403" s="4">
        <v>0.03</v>
      </c>
      <c r="AW403" s="4">
        <v>462492.0</v>
      </c>
      <c r="AX403" s="4">
        <v>1.4953908E7</v>
      </c>
      <c r="AY403" s="4">
        <v>9556950.0</v>
      </c>
      <c r="AZ403" s="4">
        <v>5396958.0</v>
      </c>
    </row>
    <row r="404" ht="15.75" customHeight="1">
      <c r="A404" s="3" t="s">
        <v>1432</v>
      </c>
      <c r="B404" s="5">
        <v>43115.0</v>
      </c>
      <c r="C404" s="6">
        <f t="shared" si="1"/>
        <v>2018</v>
      </c>
      <c r="D404" s="7" t="s">
        <v>1407</v>
      </c>
      <c r="E404" s="7" t="s">
        <v>253</v>
      </c>
      <c r="F404" s="7" t="s">
        <v>31</v>
      </c>
      <c r="G404" s="5" t="s">
        <v>51</v>
      </c>
      <c r="H404" s="7" t="s">
        <v>43</v>
      </c>
      <c r="I404" s="7" t="s">
        <v>92</v>
      </c>
      <c r="J404" s="7" t="s">
        <v>120</v>
      </c>
      <c r="K404" s="7" t="s">
        <v>36</v>
      </c>
      <c r="L404" s="7" t="s">
        <v>45</v>
      </c>
      <c r="M404" s="7" t="s">
        <v>38</v>
      </c>
      <c r="N404" s="5">
        <v>43117.0</v>
      </c>
      <c r="O404" s="8">
        <v>10650.0</v>
      </c>
      <c r="P404" s="8">
        <v>17100.0</v>
      </c>
      <c r="Q404" s="8">
        <f t="shared" si="2"/>
        <v>6450</v>
      </c>
      <c r="R404" s="8">
        <v>4.0</v>
      </c>
      <c r="S404" s="8">
        <f t="shared" si="3"/>
        <v>68400</v>
      </c>
      <c r="T404" s="9">
        <v>0.0</v>
      </c>
      <c r="U404" s="8">
        <f t="shared" si="4"/>
        <v>0</v>
      </c>
      <c r="V404" s="8">
        <f t="shared" si="5"/>
        <v>68400</v>
      </c>
      <c r="W404" s="10">
        <f t="shared" si="6"/>
        <v>42600</v>
      </c>
      <c r="X404" s="10">
        <f t="shared" si="7"/>
        <v>25800</v>
      </c>
      <c r="Y404" s="10"/>
      <c r="Z404" s="10"/>
      <c r="AA404" s="10"/>
      <c r="AB404" s="4" t="s">
        <v>1433</v>
      </c>
      <c r="AC404" s="4" t="s">
        <v>1432</v>
      </c>
      <c r="AD404" s="4">
        <v>43115.0</v>
      </c>
      <c r="AE404" s="4">
        <v>2018.0</v>
      </c>
      <c r="AF404" s="4" t="s">
        <v>1407</v>
      </c>
      <c r="AG404" s="4" t="s">
        <v>253</v>
      </c>
      <c r="AH404" s="4" t="s">
        <v>31</v>
      </c>
      <c r="AI404" s="4" t="s">
        <v>51</v>
      </c>
      <c r="AJ404" s="4" t="s">
        <v>43</v>
      </c>
      <c r="AK404" s="4" t="s">
        <v>92</v>
      </c>
      <c r="AL404" s="4" t="s">
        <v>120</v>
      </c>
      <c r="AM404" s="4" t="s">
        <v>36</v>
      </c>
      <c r="AN404" s="4" t="s">
        <v>45</v>
      </c>
      <c r="AO404" s="4" t="s">
        <v>38</v>
      </c>
      <c r="AP404" s="4">
        <v>43117.0</v>
      </c>
      <c r="AQ404" s="4">
        <v>10650.0</v>
      </c>
      <c r="AR404" s="4">
        <v>17100.0</v>
      </c>
      <c r="AS404" s="4">
        <v>6450.0</v>
      </c>
      <c r="AT404" s="4">
        <v>4.0</v>
      </c>
      <c r="AU404" s="4">
        <v>68400.0</v>
      </c>
      <c r="AV404" s="4">
        <v>0.0</v>
      </c>
      <c r="AW404" s="4">
        <v>0.0</v>
      </c>
      <c r="AX404" s="4">
        <v>68400.0</v>
      </c>
      <c r="AY404" s="4">
        <v>42600.0</v>
      </c>
      <c r="AZ404" s="4">
        <v>25800.0</v>
      </c>
    </row>
    <row r="405" ht="15.75" customHeight="1">
      <c r="A405" s="3" t="s">
        <v>1434</v>
      </c>
      <c r="B405" s="5">
        <v>43116.0</v>
      </c>
      <c r="C405" s="6">
        <f t="shared" si="1"/>
        <v>2018</v>
      </c>
      <c r="D405" s="7" t="s">
        <v>634</v>
      </c>
      <c r="E405" s="7" t="s">
        <v>85</v>
      </c>
      <c r="F405" s="7" t="s">
        <v>50</v>
      </c>
      <c r="G405" s="5" t="s">
        <v>68</v>
      </c>
      <c r="H405" s="7" t="s">
        <v>80</v>
      </c>
      <c r="I405" s="7" t="s">
        <v>74</v>
      </c>
      <c r="J405" s="7" t="s">
        <v>449</v>
      </c>
      <c r="K405" s="7" t="s">
        <v>36</v>
      </c>
      <c r="L405" s="7" t="s">
        <v>37</v>
      </c>
      <c r="M405" s="7" t="s">
        <v>55</v>
      </c>
      <c r="N405" s="5">
        <v>43123.0</v>
      </c>
      <c r="O405" s="8">
        <v>41100.0</v>
      </c>
      <c r="P405" s="8">
        <v>67350.0</v>
      </c>
      <c r="Q405" s="8">
        <f t="shared" si="2"/>
        <v>26250</v>
      </c>
      <c r="R405" s="8">
        <v>44.0</v>
      </c>
      <c r="S405" s="8">
        <f t="shared" si="3"/>
        <v>2963400</v>
      </c>
      <c r="T405" s="9">
        <v>0.03</v>
      </c>
      <c r="U405" s="8">
        <f t="shared" si="4"/>
        <v>88902</v>
      </c>
      <c r="V405" s="8">
        <f t="shared" si="5"/>
        <v>2874498</v>
      </c>
      <c r="W405" s="10">
        <f t="shared" si="6"/>
        <v>1808400</v>
      </c>
      <c r="X405" s="10">
        <f t="shared" si="7"/>
        <v>1066098</v>
      </c>
      <c r="Y405" s="10"/>
      <c r="Z405" s="10"/>
      <c r="AA405" s="10"/>
      <c r="AB405" s="4" t="s">
        <v>1435</v>
      </c>
      <c r="AC405" s="4" t="s">
        <v>1434</v>
      </c>
      <c r="AD405" s="4">
        <v>43116.0</v>
      </c>
      <c r="AE405" s="4">
        <v>2018.0</v>
      </c>
      <c r="AF405" s="4" t="s">
        <v>634</v>
      </c>
      <c r="AG405" s="4" t="s">
        <v>85</v>
      </c>
      <c r="AH405" s="4" t="s">
        <v>50</v>
      </c>
      <c r="AI405" s="4" t="s">
        <v>68</v>
      </c>
      <c r="AJ405" s="4" t="s">
        <v>80</v>
      </c>
      <c r="AK405" s="4" t="s">
        <v>74</v>
      </c>
      <c r="AL405" s="4" t="s">
        <v>449</v>
      </c>
      <c r="AM405" s="4" t="s">
        <v>36</v>
      </c>
      <c r="AN405" s="4" t="s">
        <v>37</v>
      </c>
      <c r="AO405" s="4" t="s">
        <v>55</v>
      </c>
      <c r="AP405" s="4">
        <v>43123.0</v>
      </c>
      <c r="AQ405" s="4">
        <v>41100.0</v>
      </c>
      <c r="AR405" s="4">
        <v>67350.0</v>
      </c>
      <c r="AS405" s="4">
        <v>26250.0</v>
      </c>
      <c r="AT405" s="4">
        <v>44.0</v>
      </c>
      <c r="AU405" s="4">
        <v>2963400.0</v>
      </c>
      <c r="AV405" s="4">
        <v>0.03</v>
      </c>
      <c r="AW405" s="4">
        <v>88902.0</v>
      </c>
      <c r="AX405" s="4">
        <v>2874498.0</v>
      </c>
      <c r="AY405" s="4">
        <v>1808400.0</v>
      </c>
      <c r="AZ405" s="4">
        <v>1066098.0</v>
      </c>
    </row>
    <row r="406" ht="15.75" customHeight="1">
      <c r="A406" s="3" t="s">
        <v>1436</v>
      </c>
      <c r="B406" s="5">
        <v>43116.0</v>
      </c>
      <c r="C406" s="6">
        <f t="shared" si="1"/>
        <v>2018</v>
      </c>
      <c r="D406" s="7" t="s">
        <v>934</v>
      </c>
      <c r="E406" s="7" t="s">
        <v>935</v>
      </c>
      <c r="F406" s="7" t="s">
        <v>289</v>
      </c>
      <c r="G406" s="5" t="s">
        <v>32</v>
      </c>
      <c r="H406" s="7" t="s">
        <v>140</v>
      </c>
      <c r="I406" s="7" t="s">
        <v>74</v>
      </c>
      <c r="J406" s="7" t="s">
        <v>339</v>
      </c>
      <c r="K406" s="7" t="s">
        <v>61</v>
      </c>
      <c r="L406" s="7" t="s">
        <v>127</v>
      </c>
      <c r="M406" s="7" t="s">
        <v>38</v>
      </c>
      <c r="N406" s="5">
        <v>43118.0</v>
      </c>
      <c r="O406" s="8">
        <v>302700.0</v>
      </c>
      <c r="P406" s="8">
        <v>531150.0</v>
      </c>
      <c r="Q406" s="8">
        <f t="shared" si="2"/>
        <v>228450</v>
      </c>
      <c r="R406" s="8">
        <v>5.0</v>
      </c>
      <c r="S406" s="8">
        <f t="shared" si="3"/>
        <v>2655750</v>
      </c>
      <c r="T406" s="9">
        <v>0.0</v>
      </c>
      <c r="U406" s="8">
        <f t="shared" si="4"/>
        <v>0</v>
      </c>
      <c r="V406" s="8">
        <f t="shared" si="5"/>
        <v>2655750</v>
      </c>
      <c r="W406" s="10">
        <f t="shared" si="6"/>
        <v>1513500</v>
      </c>
      <c r="X406" s="10">
        <f t="shared" si="7"/>
        <v>1142250</v>
      </c>
      <c r="Y406" s="10"/>
      <c r="Z406" s="10"/>
      <c r="AA406" s="10"/>
      <c r="AB406" s="4" t="s">
        <v>1437</v>
      </c>
      <c r="AC406" s="4" t="s">
        <v>1436</v>
      </c>
      <c r="AD406" s="4">
        <v>43116.0</v>
      </c>
      <c r="AE406" s="4">
        <v>2018.0</v>
      </c>
      <c r="AF406" s="4" t="s">
        <v>934</v>
      </c>
      <c r="AG406" s="4" t="s">
        <v>935</v>
      </c>
      <c r="AH406" s="4" t="s">
        <v>289</v>
      </c>
      <c r="AI406" s="4" t="s">
        <v>32</v>
      </c>
      <c r="AJ406" s="4" t="s">
        <v>140</v>
      </c>
      <c r="AK406" s="4" t="s">
        <v>74</v>
      </c>
      <c r="AL406" s="4" t="s">
        <v>339</v>
      </c>
      <c r="AM406" s="4" t="s">
        <v>61</v>
      </c>
      <c r="AN406" s="4" t="s">
        <v>127</v>
      </c>
      <c r="AO406" s="4" t="s">
        <v>38</v>
      </c>
      <c r="AP406" s="4">
        <v>43118.0</v>
      </c>
      <c r="AQ406" s="4">
        <v>302700.0</v>
      </c>
      <c r="AR406" s="4">
        <v>531150.0</v>
      </c>
      <c r="AS406" s="4">
        <v>228450.0</v>
      </c>
      <c r="AT406" s="4">
        <v>5.0</v>
      </c>
      <c r="AU406" s="4">
        <v>2655750.0</v>
      </c>
      <c r="AV406" s="4">
        <v>0.0</v>
      </c>
      <c r="AW406" s="4">
        <v>0.0</v>
      </c>
      <c r="AX406" s="4">
        <v>2655750.0</v>
      </c>
      <c r="AY406" s="4">
        <v>1513500.0</v>
      </c>
      <c r="AZ406" s="4">
        <v>1142250.0</v>
      </c>
    </row>
    <row r="407" ht="15.75" customHeight="1">
      <c r="A407" s="3" t="s">
        <v>1438</v>
      </c>
      <c r="B407" s="5">
        <v>43118.0</v>
      </c>
      <c r="C407" s="6">
        <f t="shared" si="1"/>
        <v>2018</v>
      </c>
      <c r="D407" s="7" t="s">
        <v>1015</v>
      </c>
      <c r="E407" s="7" t="s">
        <v>537</v>
      </c>
      <c r="F407" s="7" t="s">
        <v>31</v>
      </c>
      <c r="G407" s="5" t="s">
        <v>68</v>
      </c>
      <c r="H407" s="7" t="s">
        <v>33</v>
      </c>
      <c r="I407" s="7" t="s">
        <v>53</v>
      </c>
      <c r="J407" s="7" t="s">
        <v>516</v>
      </c>
      <c r="K407" s="7" t="s">
        <v>36</v>
      </c>
      <c r="L407" s="7" t="s">
        <v>37</v>
      </c>
      <c r="M407" s="7" t="s">
        <v>38</v>
      </c>
      <c r="N407" s="5">
        <v>43119.0</v>
      </c>
      <c r="O407" s="8">
        <v>29100.0</v>
      </c>
      <c r="P407" s="8">
        <v>46200.0</v>
      </c>
      <c r="Q407" s="8">
        <f t="shared" si="2"/>
        <v>17100</v>
      </c>
      <c r="R407" s="8">
        <v>46.0</v>
      </c>
      <c r="S407" s="8">
        <f t="shared" si="3"/>
        <v>2125200</v>
      </c>
      <c r="T407" s="9">
        <v>0.04</v>
      </c>
      <c r="U407" s="8">
        <f t="shared" si="4"/>
        <v>85008</v>
      </c>
      <c r="V407" s="8">
        <f t="shared" si="5"/>
        <v>2040192</v>
      </c>
      <c r="W407" s="10">
        <f t="shared" si="6"/>
        <v>1338600</v>
      </c>
      <c r="X407" s="10">
        <f t="shared" si="7"/>
        <v>701592</v>
      </c>
      <c r="Y407" s="10"/>
      <c r="Z407" s="10"/>
      <c r="AA407" s="10"/>
      <c r="AB407" s="4" t="s">
        <v>1439</v>
      </c>
      <c r="AC407" s="4" t="s">
        <v>1438</v>
      </c>
      <c r="AD407" s="4">
        <v>43118.0</v>
      </c>
      <c r="AE407" s="4">
        <v>2018.0</v>
      </c>
      <c r="AF407" s="4" t="s">
        <v>1015</v>
      </c>
      <c r="AG407" s="4" t="s">
        <v>537</v>
      </c>
      <c r="AH407" s="4" t="s">
        <v>31</v>
      </c>
      <c r="AI407" s="4" t="s">
        <v>68</v>
      </c>
      <c r="AJ407" s="4" t="s">
        <v>33</v>
      </c>
      <c r="AK407" s="4" t="s">
        <v>53</v>
      </c>
      <c r="AL407" s="4" t="s">
        <v>516</v>
      </c>
      <c r="AM407" s="4" t="s">
        <v>36</v>
      </c>
      <c r="AN407" s="4" t="s">
        <v>37</v>
      </c>
      <c r="AO407" s="4" t="s">
        <v>38</v>
      </c>
      <c r="AP407" s="4">
        <v>43119.0</v>
      </c>
      <c r="AQ407" s="4">
        <v>29100.0</v>
      </c>
      <c r="AR407" s="4">
        <v>46200.0</v>
      </c>
      <c r="AS407" s="4">
        <v>17100.0</v>
      </c>
      <c r="AT407" s="4">
        <v>46.0</v>
      </c>
      <c r="AU407" s="4">
        <v>2125200.0</v>
      </c>
      <c r="AV407" s="4">
        <v>0.04</v>
      </c>
      <c r="AW407" s="4">
        <v>85008.0</v>
      </c>
      <c r="AX407" s="4">
        <v>2040192.0</v>
      </c>
      <c r="AY407" s="4">
        <v>1338600.0</v>
      </c>
      <c r="AZ407" s="4">
        <v>701592.0</v>
      </c>
    </row>
    <row r="408" ht="15.75" customHeight="1">
      <c r="A408" s="3" t="s">
        <v>1440</v>
      </c>
      <c r="B408" s="5">
        <v>43120.0</v>
      </c>
      <c r="C408" s="6">
        <f t="shared" si="1"/>
        <v>2018</v>
      </c>
      <c r="D408" s="7" t="s">
        <v>227</v>
      </c>
      <c r="E408" s="7" t="s">
        <v>228</v>
      </c>
      <c r="F408" s="7" t="s">
        <v>50</v>
      </c>
      <c r="G408" s="5" t="s">
        <v>51</v>
      </c>
      <c r="H408" s="7" t="s">
        <v>140</v>
      </c>
      <c r="I408" s="7" t="s">
        <v>34</v>
      </c>
      <c r="J408" s="7" t="s">
        <v>277</v>
      </c>
      <c r="K408" s="7" t="s">
        <v>278</v>
      </c>
      <c r="L408" s="7" t="s">
        <v>127</v>
      </c>
      <c r="M408" s="7" t="s">
        <v>38</v>
      </c>
      <c r="N408" s="5">
        <v>43122.0</v>
      </c>
      <c r="O408" s="8">
        <v>82500.0</v>
      </c>
      <c r="P408" s="8">
        <v>183300.0</v>
      </c>
      <c r="Q408" s="8">
        <f t="shared" si="2"/>
        <v>100800</v>
      </c>
      <c r="R408" s="8">
        <v>1.0</v>
      </c>
      <c r="S408" s="8">
        <f t="shared" si="3"/>
        <v>183300</v>
      </c>
      <c r="T408" s="9">
        <v>0.1</v>
      </c>
      <c r="U408" s="8">
        <f t="shared" si="4"/>
        <v>18330</v>
      </c>
      <c r="V408" s="8">
        <f t="shared" si="5"/>
        <v>164970</v>
      </c>
      <c r="W408" s="10">
        <f t="shared" si="6"/>
        <v>82500</v>
      </c>
      <c r="X408" s="10">
        <f t="shared" si="7"/>
        <v>82470</v>
      </c>
      <c r="Y408" s="10"/>
      <c r="Z408" s="10"/>
      <c r="AA408" s="10"/>
      <c r="AB408" s="4" t="s">
        <v>1441</v>
      </c>
      <c r="AC408" s="4" t="s">
        <v>1440</v>
      </c>
      <c r="AD408" s="4">
        <v>43120.0</v>
      </c>
      <c r="AE408" s="4">
        <v>2018.0</v>
      </c>
      <c r="AF408" s="4" t="s">
        <v>227</v>
      </c>
      <c r="AG408" s="4" t="s">
        <v>228</v>
      </c>
      <c r="AH408" s="4" t="s">
        <v>50</v>
      </c>
      <c r="AI408" s="4" t="s">
        <v>51</v>
      </c>
      <c r="AJ408" s="4" t="s">
        <v>140</v>
      </c>
      <c r="AK408" s="4" t="s">
        <v>34</v>
      </c>
      <c r="AL408" s="4" t="s">
        <v>277</v>
      </c>
      <c r="AM408" s="4" t="s">
        <v>278</v>
      </c>
      <c r="AN408" s="4" t="s">
        <v>127</v>
      </c>
      <c r="AO408" s="4" t="s">
        <v>38</v>
      </c>
      <c r="AP408" s="4">
        <v>43122.0</v>
      </c>
      <c r="AQ408" s="4">
        <v>82500.0</v>
      </c>
      <c r="AR408" s="4">
        <v>183300.0</v>
      </c>
      <c r="AS408" s="4">
        <v>100800.0</v>
      </c>
      <c r="AT408" s="4">
        <v>1.0</v>
      </c>
      <c r="AU408" s="4">
        <v>183300.0</v>
      </c>
      <c r="AV408" s="4">
        <v>0.1</v>
      </c>
      <c r="AW408" s="4">
        <v>18330.0</v>
      </c>
      <c r="AX408" s="4">
        <v>164970.0</v>
      </c>
      <c r="AY408" s="4">
        <v>82500.0</v>
      </c>
      <c r="AZ408" s="4">
        <v>82470.0</v>
      </c>
    </row>
    <row r="409" ht="15.75" customHeight="1">
      <c r="A409" s="3" t="s">
        <v>1442</v>
      </c>
      <c r="B409" s="5">
        <v>43121.0</v>
      </c>
      <c r="C409" s="6">
        <f t="shared" si="1"/>
        <v>2018</v>
      </c>
      <c r="D409" s="7" t="s">
        <v>1443</v>
      </c>
      <c r="E409" s="7" t="s">
        <v>164</v>
      </c>
      <c r="F409" s="7" t="s">
        <v>50</v>
      </c>
      <c r="G409" s="5" t="s">
        <v>68</v>
      </c>
      <c r="H409" s="7" t="s">
        <v>69</v>
      </c>
      <c r="I409" s="7" t="s">
        <v>34</v>
      </c>
      <c r="J409" s="7" t="s">
        <v>1012</v>
      </c>
      <c r="K409" s="7" t="s">
        <v>36</v>
      </c>
      <c r="L409" s="7" t="s">
        <v>127</v>
      </c>
      <c r="M409" s="7" t="s">
        <v>38</v>
      </c>
      <c r="N409" s="5">
        <v>43121.0</v>
      </c>
      <c r="O409" s="8">
        <v>62850.00000000001</v>
      </c>
      <c r="P409" s="8">
        <v>153450.0</v>
      </c>
      <c r="Q409" s="8">
        <f t="shared" si="2"/>
        <v>90600</v>
      </c>
      <c r="R409" s="8">
        <v>37.0</v>
      </c>
      <c r="S409" s="8">
        <f t="shared" si="3"/>
        <v>5677650</v>
      </c>
      <c r="T409" s="9">
        <v>0.08</v>
      </c>
      <c r="U409" s="8">
        <f t="shared" si="4"/>
        <v>454212</v>
      </c>
      <c r="V409" s="8">
        <f t="shared" si="5"/>
        <v>5223438</v>
      </c>
      <c r="W409" s="10">
        <f t="shared" si="6"/>
        <v>2325450</v>
      </c>
      <c r="X409" s="10">
        <f t="shared" si="7"/>
        <v>2897988</v>
      </c>
      <c r="Y409" s="10"/>
      <c r="Z409" s="10"/>
      <c r="AA409" s="10"/>
      <c r="AB409" s="4" t="s">
        <v>1444</v>
      </c>
      <c r="AC409" s="4" t="s">
        <v>1442</v>
      </c>
      <c r="AD409" s="4">
        <v>43121.0</v>
      </c>
      <c r="AE409" s="4">
        <v>2018.0</v>
      </c>
      <c r="AF409" s="4" t="s">
        <v>1443</v>
      </c>
      <c r="AG409" s="4" t="s">
        <v>164</v>
      </c>
      <c r="AH409" s="4" t="s">
        <v>50</v>
      </c>
      <c r="AI409" s="4" t="s">
        <v>68</v>
      </c>
      <c r="AJ409" s="4" t="s">
        <v>69</v>
      </c>
      <c r="AK409" s="4" t="s">
        <v>34</v>
      </c>
      <c r="AL409" s="4" t="s">
        <v>1012</v>
      </c>
      <c r="AM409" s="4" t="s">
        <v>36</v>
      </c>
      <c r="AN409" s="4" t="s">
        <v>127</v>
      </c>
      <c r="AO409" s="4" t="s">
        <v>38</v>
      </c>
      <c r="AP409" s="4">
        <v>43121.0</v>
      </c>
      <c r="AQ409" s="4">
        <v>62850.0</v>
      </c>
      <c r="AR409" s="4">
        <v>153450.0</v>
      </c>
      <c r="AS409" s="4">
        <v>90600.0</v>
      </c>
      <c r="AT409" s="4">
        <v>37.0</v>
      </c>
      <c r="AU409" s="4">
        <v>5677650.0</v>
      </c>
      <c r="AV409" s="4">
        <v>0.08</v>
      </c>
      <c r="AW409" s="4">
        <v>454212.0</v>
      </c>
      <c r="AX409" s="4">
        <v>5223438.0</v>
      </c>
      <c r="AY409" s="4">
        <v>2325450.0</v>
      </c>
      <c r="AZ409" s="4">
        <v>2897988.0</v>
      </c>
    </row>
    <row r="410" ht="15.75" customHeight="1">
      <c r="A410" s="3" t="s">
        <v>1445</v>
      </c>
      <c r="B410" s="5">
        <v>43122.0</v>
      </c>
      <c r="C410" s="6">
        <f t="shared" si="1"/>
        <v>2018</v>
      </c>
      <c r="D410" s="7" t="s">
        <v>1108</v>
      </c>
      <c r="E410" s="7" t="s">
        <v>667</v>
      </c>
      <c r="F410" s="7" t="s">
        <v>50</v>
      </c>
      <c r="G410" s="5" t="s">
        <v>51</v>
      </c>
      <c r="H410" s="7" t="s">
        <v>140</v>
      </c>
      <c r="I410" s="7" t="s">
        <v>74</v>
      </c>
      <c r="J410" s="7" t="s">
        <v>1446</v>
      </c>
      <c r="K410" s="7" t="s">
        <v>36</v>
      </c>
      <c r="L410" s="7" t="s">
        <v>37</v>
      </c>
      <c r="M410" s="7" t="s">
        <v>38</v>
      </c>
      <c r="N410" s="5">
        <v>43129.0</v>
      </c>
      <c r="O410" s="8">
        <v>17850.0</v>
      </c>
      <c r="P410" s="8">
        <v>29700.0</v>
      </c>
      <c r="Q410" s="8">
        <f t="shared" si="2"/>
        <v>11850</v>
      </c>
      <c r="R410" s="8">
        <v>38.0</v>
      </c>
      <c r="S410" s="8">
        <f t="shared" si="3"/>
        <v>1128600</v>
      </c>
      <c r="T410" s="9">
        <v>0.05</v>
      </c>
      <c r="U410" s="8">
        <f t="shared" si="4"/>
        <v>56430</v>
      </c>
      <c r="V410" s="8">
        <f t="shared" si="5"/>
        <v>1072170</v>
      </c>
      <c r="W410" s="10">
        <f t="shared" si="6"/>
        <v>678300</v>
      </c>
      <c r="X410" s="10">
        <f t="shared" si="7"/>
        <v>393870</v>
      </c>
      <c r="Y410" s="10"/>
      <c r="Z410" s="10"/>
      <c r="AA410" s="10"/>
      <c r="AB410" s="4" t="s">
        <v>1447</v>
      </c>
      <c r="AC410" s="4" t="s">
        <v>1445</v>
      </c>
      <c r="AD410" s="4">
        <v>43122.0</v>
      </c>
      <c r="AE410" s="4">
        <v>2018.0</v>
      </c>
      <c r="AF410" s="4" t="s">
        <v>1108</v>
      </c>
      <c r="AG410" s="4" t="s">
        <v>667</v>
      </c>
      <c r="AH410" s="4" t="s">
        <v>50</v>
      </c>
      <c r="AI410" s="4" t="s">
        <v>51</v>
      </c>
      <c r="AJ410" s="4" t="s">
        <v>140</v>
      </c>
      <c r="AK410" s="4" t="s">
        <v>74</v>
      </c>
      <c r="AL410" s="4" t="s">
        <v>1446</v>
      </c>
      <c r="AM410" s="4" t="s">
        <v>36</v>
      </c>
      <c r="AN410" s="4" t="s">
        <v>37</v>
      </c>
      <c r="AO410" s="4" t="s">
        <v>38</v>
      </c>
      <c r="AP410" s="4">
        <v>43129.0</v>
      </c>
      <c r="AQ410" s="4">
        <v>17850.0</v>
      </c>
      <c r="AR410" s="4">
        <v>29700.0</v>
      </c>
      <c r="AS410" s="4">
        <v>11850.0</v>
      </c>
      <c r="AT410" s="4">
        <v>38.0</v>
      </c>
      <c r="AU410" s="4">
        <v>1128600.0</v>
      </c>
      <c r="AV410" s="4">
        <v>0.05</v>
      </c>
      <c r="AW410" s="4">
        <v>56430.0</v>
      </c>
      <c r="AX410" s="4">
        <v>1072170.0</v>
      </c>
      <c r="AY410" s="4">
        <v>678300.0</v>
      </c>
      <c r="AZ410" s="4">
        <v>393870.0</v>
      </c>
    </row>
    <row r="411" ht="15.75" customHeight="1">
      <c r="A411" s="3" t="s">
        <v>1448</v>
      </c>
      <c r="B411" s="5">
        <v>43123.0</v>
      </c>
      <c r="C411" s="6">
        <f t="shared" si="1"/>
        <v>2018</v>
      </c>
      <c r="D411" s="7" t="s">
        <v>1449</v>
      </c>
      <c r="E411" s="7" t="s">
        <v>919</v>
      </c>
      <c r="F411" s="7" t="s">
        <v>50</v>
      </c>
      <c r="G411" s="5" t="s">
        <v>32</v>
      </c>
      <c r="H411" s="7" t="s">
        <v>80</v>
      </c>
      <c r="I411" s="7" t="s">
        <v>104</v>
      </c>
      <c r="J411" s="7" t="s">
        <v>404</v>
      </c>
      <c r="K411" s="7" t="s">
        <v>36</v>
      </c>
      <c r="L411" s="7" t="s">
        <v>45</v>
      </c>
      <c r="M411" s="7" t="s">
        <v>38</v>
      </c>
      <c r="N411" s="5">
        <v>43123.0</v>
      </c>
      <c r="O411" s="8">
        <v>166650.0</v>
      </c>
      <c r="P411" s="8">
        <v>297600.0</v>
      </c>
      <c r="Q411" s="8">
        <f t="shared" si="2"/>
        <v>130950</v>
      </c>
      <c r="R411" s="8">
        <v>43.0</v>
      </c>
      <c r="S411" s="8">
        <f t="shared" si="3"/>
        <v>12796800</v>
      </c>
      <c r="T411" s="9">
        <v>0.03</v>
      </c>
      <c r="U411" s="8">
        <f t="shared" si="4"/>
        <v>383904</v>
      </c>
      <c r="V411" s="8">
        <f t="shared" si="5"/>
        <v>12412896</v>
      </c>
      <c r="W411" s="10">
        <f t="shared" si="6"/>
        <v>7165950</v>
      </c>
      <c r="X411" s="10">
        <f t="shared" si="7"/>
        <v>5246946</v>
      </c>
      <c r="Y411" s="10"/>
      <c r="Z411" s="10"/>
      <c r="AA411" s="10"/>
      <c r="AB411" s="4" t="s">
        <v>1450</v>
      </c>
      <c r="AC411" s="4" t="s">
        <v>1448</v>
      </c>
      <c r="AD411" s="4">
        <v>43123.0</v>
      </c>
      <c r="AE411" s="4">
        <v>2018.0</v>
      </c>
      <c r="AF411" s="4" t="s">
        <v>1449</v>
      </c>
      <c r="AG411" s="4" t="s">
        <v>919</v>
      </c>
      <c r="AH411" s="4" t="s">
        <v>50</v>
      </c>
      <c r="AI411" s="4" t="s">
        <v>32</v>
      </c>
      <c r="AJ411" s="4" t="s">
        <v>80</v>
      </c>
      <c r="AK411" s="4" t="s">
        <v>104</v>
      </c>
      <c r="AL411" s="4" t="s">
        <v>404</v>
      </c>
      <c r="AM411" s="4" t="s">
        <v>36</v>
      </c>
      <c r="AN411" s="4" t="s">
        <v>45</v>
      </c>
      <c r="AO411" s="4" t="s">
        <v>38</v>
      </c>
      <c r="AP411" s="4">
        <v>43123.0</v>
      </c>
      <c r="AQ411" s="4">
        <v>166650.0</v>
      </c>
      <c r="AR411" s="4">
        <v>297600.0</v>
      </c>
      <c r="AS411" s="4">
        <v>130950.0</v>
      </c>
      <c r="AT411" s="4">
        <v>43.0</v>
      </c>
      <c r="AU411" s="4">
        <v>1.27968E7</v>
      </c>
      <c r="AV411" s="4">
        <v>0.03</v>
      </c>
      <c r="AW411" s="4">
        <v>383904.0</v>
      </c>
      <c r="AX411" s="4">
        <v>1.2412896E7</v>
      </c>
      <c r="AY411" s="4">
        <v>7165950.0</v>
      </c>
      <c r="AZ411" s="4">
        <v>5246946.0</v>
      </c>
    </row>
    <row r="412" ht="15.75" customHeight="1">
      <c r="A412" s="3" t="s">
        <v>1451</v>
      </c>
      <c r="B412" s="5">
        <v>43127.0</v>
      </c>
      <c r="C412" s="6">
        <f t="shared" si="1"/>
        <v>2018</v>
      </c>
      <c r="D412" s="7" t="s">
        <v>1452</v>
      </c>
      <c r="E412" s="7" t="s">
        <v>156</v>
      </c>
      <c r="F412" s="7" t="s">
        <v>50</v>
      </c>
      <c r="G412" s="5" t="s">
        <v>32</v>
      </c>
      <c r="H412" s="7" t="s">
        <v>110</v>
      </c>
      <c r="I412" s="7" t="s">
        <v>74</v>
      </c>
      <c r="J412" s="7" t="s">
        <v>992</v>
      </c>
      <c r="K412" s="7" t="s">
        <v>36</v>
      </c>
      <c r="L412" s="7" t="s">
        <v>37</v>
      </c>
      <c r="M412" s="7" t="s">
        <v>55</v>
      </c>
      <c r="N412" s="5">
        <v>43131.0</v>
      </c>
      <c r="O412" s="8">
        <v>781050.0</v>
      </c>
      <c r="P412" s="8">
        <v>1259700.0</v>
      </c>
      <c r="Q412" s="8">
        <f t="shared" si="2"/>
        <v>478650</v>
      </c>
      <c r="R412" s="8">
        <v>34.0</v>
      </c>
      <c r="S412" s="8">
        <f t="shared" si="3"/>
        <v>42829800</v>
      </c>
      <c r="T412" s="9">
        <v>0.06</v>
      </c>
      <c r="U412" s="8">
        <f t="shared" si="4"/>
        <v>2569788</v>
      </c>
      <c r="V412" s="8">
        <f t="shared" si="5"/>
        <v>40260012</v>
      </c>
      <c r="W412" s="10">
        <f t="shared" si="6"/>
        <v>26555700</v>
      </c>
      <c r="X412" s="10">
        <f t="shared" si="7"/>
        <v>13704312</v>
      </c>
      <c r="Y412" s="10"/>
      <c r="Z412" s="10"/>
      <c r="AA412" s="10"/>
      <c r="AB412" s="4" t="s">
        <v>1453</v>
      </c>
      <c r="AC412" s="4" t="s">
        <v>1451</v>
      </c>
      <c r="AD412" s="4">
        <v>43127.0</v>
      </c>
      <c r="AE412" s="4">
        <v>2018.0</v>
      </c>
      <c r="AF412" s="4" t="s">
        <v>1452</v>
      </c>
      <c r="AG412" s="4" t="s">
        <v>156</v>
      </c>
      <c r="AH412" s="4" t="s">
        <v>50</v>
      </c>
      <c r="AI412" s="4" t="s">
        <v>32</v>
      </c>
      <c r="AJ412" s="4" t="s">
        <v>110</v>
      </c>
      <c r="AK412" s="4" t="s">
        <v>74</v>
      </c>
      <c r="AL412" s="4" t="s">
        <v>992</v>
      </c>
      <c r="AM412" s="4" t="s">
        <v>36</v>
      </c>
      <c r="AN412" s="4" t="s">
        <v>37</v>
      </c>
      <c r="AO412" s="4" t="s">
        <v>55</v>
      </c>
      <c r="AP412" s="4">
        <v>43131.0</v>
      </c>
      <c r="AQ412" s="4">
        <v>781050.0</v>
      </c>
      <c r="AR412" s="4">
        <v>1259700.0</v>
      </c>
      <c r="AS412" s="4">
        <v>478650.0</v>
      </c>
      <c r="AT412" s="4">
        <v>34.0</v>
      </c>
      <c r="AU412" s="4">
        <v>4.28298E7</v>
      </c>
      <c r="AV412" s="4">
        <v>0.06</v>
      </c>
      <c r="AW412" s="4">
        <v>2569788.0</v>
      </c>
      <c r="AX412" s="4">
        <v>4.0260012E7</v>
      </c>
      <c r="AY412" s="4">
        <v>2.65557E7</v>
      </c>
      <c r="AZ412" s="4">
        <v>1.3704312E7</v>
      </c>
    </row>
    <row r="413" ht="15.75" customHeight="1">
      <c r="A413" s="3" t="s">
        <v>1454</v>
      </c>
      <c r="B413" s="5">
        <v>43128.0</v>
      </c>
      <c r="C413" s="6">
        <f t="shared" si="1"/>
        <v>2018</v>
      </c>
      <c r="D413" s="7" t="s">
        <v>29</v>
      </c>
      <c r="E413" s="7" t="s">
        <v>30</v>
      </c>
      <c r="F413" s="7" t="s">
        <v>31</v>
      </c>
      <c r="G413" s="5" t="s">
        <v>32</v>
      </c>
      <c r="H413" s="7" t="s">
        <v>33</v>
      </c>
      <c r="I413" s="7" t="s">
        <v>53</v>
      </c>
      <c r="J413" s="7" t="s">
        <v>174</v>
      </c>
      <c r="K413" s="7" t="s">
        <v>36</v>
      </c>
      <c r="L413" s="7" t="s">
        <v>45</v>
      </c>
      <c r="M413" s="7" t="s">
        <v>38</v>
      </c>
      <c r="N413" s="5">
        <v>43129.0</v>
      </c>
      <c r="O413" s="8">
        <v>37800.0</v>
      </c>
      <c r="P413" s="8">
        <v>60000.0</v>
      </c>
      <c r="Q413" s="8">
        <f t="shared" si="2"/>
        <v>22200</v>
      </c>
      <c r="R413" s="8">
        <v>36.0</v>
      </c>
      <c r="S413" s="8">
        <f t="shared" si="3"/>
        <v>2160000</v>
      </c>
      <c r="T413" s="9">
        <v>0.01</v>
      </c>
      <c r="U413" s="8">
        <f t="shared" si="4"/>
        <v>21600</v>
      </c>
      <c r="V413" s="8">
        <f t="shared" si="5"/>
        <v>2138400</v>
      </c>
      <c r="W413" s="10">
        <f t="shared" si="6"/>
        <v>1360800</v>
      </c>
      <c r="X413" s="10">
        <f t="shared" si="7"/>
        <v>777600</v>
      </c>
      <c r="Y413" s="10"/>
      <c r="Z413" s="10"/>
      <c r="AA413" s="10"/>
      <c r="AB413" s="4" t="s">
        <v>1455</v>
      </c>
      <c r="AC413" s="4" t="s">
        <v>1454</v>
      </c>
      <c r="AD413" s="4">
        <v>43128.0</v>
      </c>
      <c r="AE413" s="4">
        <v>2018.0</v>
      </c>
      <c r="AF413" s="4" t="s">
        <v>29</v>
      </c>
      <c r="AG413" s="4" t="s">
        <v>30</v>
      </c>
      <c r="AH413" s="4" t="s">
        <v>31</v>
      </c>
      <c r="AI413" s="4" t="s">
        <v>32</v>
      </c>
      <c r="AJ413" s="4" t="s">
        <v>33</v>
      </c>
      <c r="AK413" s="4" t="s">
        <v>53</v>
      </c>
      <c r="AL413" s="4" t="s">
        <v>174</v>
      </c>
      <c r="AM413" s="4" t="s">
        <v>36</v>
      </c>
      <c r="AN413" s="4" t="s">
        <v>45</v>
      </c>
      <c r="AO413" s="4" t="s">
        <v>38</v>
      </c>
      <c r="AP413" s="4">
        <v>43129.0</v>
      </c>
      <c r="AQ413" s="4">
        <v>37800.0</v>
      </c>
      <c r="AR413" s="4">
        <v>60000.0</v>
      </c>
      <c r="AS413" s="4">
        <v>22200.0</v>
      </c>
      <c r="AT413" s="4">
        <v>36.0</v>
      </c>
      <c r="AU413" s="4">
        <v>2160000.0</v>
      </c>
      <c r="AV413" s="4">
        <v>0.01</v>
      </c>
      <c r="AW413" s="4">
        <v>21600.0</v>
      </c>
      <c r="AX413" s="4">
        <v>2138400.0</v>
      </c>
      <c r="AY413" s="4">
        <v>1360800.0</v>
      </c>
      <c r="AZ413" s="4">
        <v>777600.0</v>
      </c>
    </row>
    <row r="414" ht="15.75" customHeight="1">
      <c r="A414" s="3" t="s">
        <v>1456</v>
      </c>
      <c r="B414" s="5">
        <v>43129.0</v>
      </c>
      <c r="C414" s="6">
        <f t="shared" si="1"/>
        <v>2018</v>
      </c>
      <c r="D414" s="7" t="s">
        <v>1457</v>
      </c>
      <c r="E414" s="7" t="s">
        <v>183</v>
      </c>
      <c r="F414" s="7" t="s">
        <v>31</v>
      </c>
      <c r="G414" s="5" t="s">
        <v>32</v>
      </c>
      <c r="H414" s="7" t="s">
        <v>43</v>
      </c>
      <c r="I414" s="7" t="s">
        <v>104</v>
      </c>
      <c r="J414" s="7" t="s">
        <v>595</v>
      </c>
      <c r="K414" s="7" t="s">
        <v>36</v>
      </c>
      <c r="L414" s="7" t="s">
        <v>127</v>
      </c>
      <c r="M414" s="7" t="s">
        <v>38</v>
      </c>
      <c r="N414" s="5">
        <v>43129.0</v>
      </c>
      <c r="O414" s="8">
        <v>77850.0</v>
      </c>
      <c r="P414" s="8">
        <v>194700.0</v>
      </c>
      <c r="Q414" s="8">
        <f t="shared" si="2"/>
        <v>116850</v>
      </c>
      <c r="R414" s="8">
        <v>11.0</v>
      </c>
      <c r="S414" s="8">
        <f t="shared" si="3"/>
        <v>2141700</v>
      </c>
      <c r="T414" s="9">
        <v>0.08</v>
      </c>
      <c r="U414" s="8">
        <f t="shared" si="4"/>
        <v>171336</v>
      </c>
      <c r="V414" s="8">
        <f t="shared" si="5"/>
        <v>1970364</v>
      </c>
      <c r="W414" s="10">
        <f t="shared" si="6"/>
        <v>856350</v>
      </c>
      <c r="X414" s="10">
        <f t="shared" si="7"/>
        <v>1114014</v>
      </c>
      <c r="Y414" s="10"/>
      <c r="Z414" s="10"/>
      <c r="AA414" s="10"/>
      <c r="AB414" s="4" t="s">
        <v>1458</v>
      </c>
      <c r="AC414" s="4" t="s">
        <v>1456</v>
      </c>
      <c r="AD414" s="4">
        <v>43129.0</v>
      </c>
      <c r="AE414" s="4">
        <v>2018.0</v>
      </c>
      <c r="AF414" s="4" t="s">
        <v>1457</v>
      </c>
      <c r="AG414" s="4" t="s">
        <v>183</v>
      </c>
      <c r="AH414" s="4" t="s">
        <v>31</v>
      </c>
      <c r="AI414" s="4" t="s">
        <v>32</v>
      </c>
      <c r="AJ414" s="4" t="s">
        <v>43</v>
      </c>
      <c r="AK414" s="4" t="s">
        <v>104</v>
      </c>
      <c r="AL414" s="4" t="s">
        <v>595</v>
      </c>
      <c r="AM414" s="4" t="s">
        <v>36</v>
      </c>
      <c r="AN414" s="4" t="s">
        <v>127</v>
      </c>
      <c r="AO414" s="4" t="s">
        <v>38</v>
      </c>
      <c r="AP414" s="4">
        <v>43129.0</v>
      </c>
      <c r="AQ414" s="4">
        <v>77850.0</v>
      </c>
      <c r="AR414" s="4">
        <v>194700.0</v>
      </c>
      <c r="AS414" s="4">
        <v>116850.0</v>
      </c>
      <c r="AT414" s="4">
        <v>11.0</v>
      </c>
      <c r="AU414" s="4">
        <v>2141700.0</v>
      </c>
      <c r="AV414" s="4">
        <v>0.08</v>
      </c>
      <c r="AW414" s="4">
        <v>171336.0</v>
      </c>
      <c r="AX414" s="4">
        <v>1970364.0</v>
      </c>
      <c r="AY414" s="4">
        <v>856350.0</v>
      </c>
      <c r="AZ414" s="4">
        <v>1114014.0</v>
      </c>
    </row>
    <row r="415" ht="15.75" customHeight="1">
      <c r="A415" s="3" t="s">
        <v>1459</v>
      </c>
      <c r="B415" s="5">
        <v>43129.0</v>
      </c>
      <c r="C415" s="6">
        <f t="shared" si="1"/>
        <v>2018</v>
      </c>
      <c r="D415" s="7" t="s">
        <v>1457</v>
      </c>
      <c r="E415" s="7" t="s">
        <v>183</v>
      </c>
      <c r="F415" s="7" t="s">
        <v>31</v>
      </c>
      <c r="G415" s="5" t="s">
        <v>32</v>
      </c>
      <c r="H415" s="7" t="s">
        <v>43</v>
      </c>
      <c r="I415" s="7" t="s">
        <v>104</v>
      </c>
      <c r="J415" s="7" t="s">
        <v>174</v>
      </c>
      <c r="K415" s="7" t="s">
        <v>36</v>
      </c>
      <c r="L415" s="7" t="s">
        <v>45</v>
      </c>
      <c r="M415" s="7" t="s">
        <v>38</v>
      </c>
      <c r="N415" s="5">
        <v>43131.0</v>
      </c>
      <c r="O415" s="8">
        <v>37800.0</v>
      </c>
      <c r="P415" s="8">
        <v>60000.0</v>
      </c>
      <c r="Q415" s="8">
        <f t="shared" si="2"/>
        <v>22200</v>
      </c>
      <c r="R415" s="8">
        <v>19.0</v>
      </c>
      <c r="S415" s="8">
        <f t="shared" si="3"/>
        <v>1140000</v>
      </c>
      <c r="T415" s="9">
        <v>0.01</v>
      </c>
      <c r="U415" s="8">
        <f t="shared" si="4"/>
        <v>11400</v>
      </c>
      <c r="V415" s="8">
        <f t="shared" si="5"/>
        <v>1128600</v>
      </c>
      <c r="W415" s="10">
        <f t="shared" si="6"/>
        <v>718200</v>
      </c>
      <c r="X415" s="10">
        <f t="shared" si="7"/>
        <v>410400</v>
      </c>
      <c r="Y415" s="10"/>
      <c r="Z415" s="10"/>
      <c r="AA415" s="10"/>
      <c r="AB415" s="4" t="s">
        <v>1460</v>
      </c>
      <c r="AC415" s="4" t="s">
        <v>1459</v>
      </c>
      <c r="AD415" s="4">
        <v>43129.0</v>
      </c>
      <c r="AE415" s="4">
        <v>2018.0</v>
      </c>
      <c r="AF415" s="4" t="s">
        <v>1457</v>
      </c>
      <c r="AG415" s="4" t="s">
        <v>183</v>
      </c>
      <c r="AH415" s="4" t="s">
        <v>31</v>
      </c>
      <c r="AI415" s="4" t="s">
        <v>32</v>
      </c>
      <c r="AJ415" s="4" t="s">
        <v>43</v>
      </c>
      <c r="AK415" s="4" t="s">
        <v>104</v>
      </c>
      <c r="AL415" s="4" t="s">
        <v>174</v>
      </c>
      <c r="AM415" s="4" t="s">
        <v>36</v>
      </c>
      <c r="AN415" s="4" t="s">
        <v>45</v>
      </c>
      <c r="AO415" s="4" t="s">
        <v>38</v>
      </c>
      <c r="AP415" s="4">
        <v>43131.0</v>
      </c>
      <c r="AQ415" s="4">
        <v>37800.0</v>
      </c>
      <c r="AR415" s="4">
        <v>60000.0</v>
      </c>
      <c r="AS415" s="4">
        <v>22200.0</v>
      </c>
      <c r="AT415" s="4">
        <v>19.0</v>
      </c>
      <c r="AU415" s="4">
        <v>1140000.0</v>
      </c>
      <c r="AV415" s="4">
        <v>0.01</v>
      </c>
      <c r="AW415" s="4">
        <v>11400.0</v>
      </c>
      <c r="AX415" s="4">
        <v>1128600.0</v>
      </c>
      <c r="AY415" s="4">
        <v>718200.0</v>
      </c>
      <c r="AZ415" s="4">
        <v>410400.0</v>
      </c>
    </row>
    <row r="416" ht="15.75" customHeight="1">
      <c r="A416" s="3" t="s">
        <v>1461</v>
      </c>
      <c r="B416" s="5">
        <v>43130.0</v>
      </c>
      <c r="C416" s="6">
        <f t="shared" si="1"/>
        <v>2018</v>
      </c>
      <c r="D416" s="7" t="s">
        <v>29</v>
      </c>
      <c r="E416" s="7" t="s">
        <v>30</v>
      </c>
      <c r="F416" s="7" t="s">
        <v>31</v>
      </c>
      <c r="G416" s="5" t="s">
        <v>32</v>
      </c>
      <c r="H416" s="7" t="s">
        <v>33</v>
      </c>
      <c r="I416" s="7" t="s">
        <v>92</v>
      </c>
      <c r="J416" s="7" t="s">
        <v>303</v>
      </c>
      <c r="K416" s="7" t="s">
        <v>36</v>
      </c>
      <c r="L416" s="7" t="s">
        <v>37</v>
      </c>
      <c r="M416" s="7" t="s">
        <v>38</v>
      </c>
      <c r="N416" s="5">
        <v>43132.0</v>
      </c>
      <c r="O416" s="8">
        <v>57600.0</v>
      </c>
      <c r="P416" s="8">
        <v>94500.0</v>
      </c>
      <c r="Q416" s="8">
        <f t="shared" si="2"/>
        <v>36900</v>
      </c>
      <c r="R416" s="8">
        <v>8.0</v>
      </c>
      <c r="S416" s="8">
        <f t="shared" si="3"/>
        <v>756000</v>
      </c>
      <c r="T416" s="9">
        <v>0.01</v>
      </c>
      <c r="U416" s="8">
        <f t="shared" si="4"/>
        <v>7560</v>
      </c>
      <c r="V416" s="8">
        <f t="shared" si="5"/>
        <v>748440</v>
      </c>
      <c r="W416" s="10">
        <f t="shared" si="6"/>
        <v>460800</v>
      </c>
      <c r="X416" s="10">
        <f t="shared" si="7"/>
        <v>287640</v>
      </c>
      <c r="Y416" s="10"/>
      <c r="Z416" s="10"/>
      <c r="AA416" s="10"/>
      <c r="AB416" s="4" t="s">
        <v>1462</v>
      </c>
      <c r="AC416" s="4" t="s">
        <v>1461</v>
      </c>
      <c r="AD416" s="4">
        <v>43130.0</v>
      </c>
      <c r="AE416" s="4">
        <v>2018.0</v>
      </c>
      <c r="AF416" s="4" t="s">
        <v>29</v>
      </c>
      <c r="AG416" s="4" t="s">
        <v>30</v>
      </c>
      <c r="AH416" s="4" t="s">
        <v>31</v>
      </c>
      <c r="AI416" s="4" t="s">
        <v>32</v>
      </c>
      <c r="AJ416" s="4" t="s">
        <v>33</v>
      </c>
      <c r="AK416" s="4" t="s">
        <v>92</v>
      </c>
      <c r="AL416" s="4" t="s">
        <v>303</v>
      </c>
      <c r="AM416" s="4" t="s">
        <v>36</v>
      </c>
      <c r="AN416" s="4" t="s">
        <v>37</v>
      </c>
      <c r="AO416" s="4" t="s">
        <v>38</v>
      </c>
      <c r="AP416" s="4">
        <v>43132.0</v>
      </c>
      <c r="AQ416" s="4">
        <v>57600.0</v>
      </c>
      <c r="AR416" s="4">
        <v>94500.0</v>
      </c>
      <c r="AS416" s="4">
        <v>36900.0</v>
      </c>
      <c r="AT416" s="4">
        <v>8.0</v>
      </c>
      <c r="AU416" s="4">
        <v>756000.0</v>
      </c>
      <c r="AV416" s="4">
        <v>0.01</v>
      </c>
      <c r="AW416" s="4">
        <v>7560.0</v>
      </c>
      <c r="AX416" s="4">
        <v>748440.0</v>
      </c>
      <c r="AY416" s="4">
        <v>460800.0</v>
      </c>
      <c r="AZ416" s="4">
        <v>287640.0</v>
      </c>
    </row>
    <row r="417" ht="15.75" customHeight="1">
      <c r="A417" s="3" t="s">
        <v>1463</v>
      </c>
      <c r="B417" s="5">
        <v>43131.0</v>
      </c>
      <c r="C417" s="6">
        <f t="shared" si="1"/>
        <v>2018</v>
      </c>
      <c r="D417" s="7" t="s">
        <v>1464</v>
      </c>
      <c r="E417" s="7" t="s">
        <v>1465</v>
      </c>
      <c r="F417" s="7" t="s">
        <v>31</v>
      </c>
      <c r="G417" s="5" t="s">
        <v>51</v>
      </c>
      <c r="H417" s="7" t="s">
        <v>33</v>
      </c>
      <c r="I417" s="7" t="s">
        <v>34</v>
      </c>
      <c r="J417" s="7" t="s">
        <v>502</v>
      </c>
      <c r="K417" s="7" t="s">
        <v>36</v>
      </c>
      <c r="L417" s="7" t="s">
        <v>37</v>
      </c>
      <c r="M417" s="7" t="s">
        <v>55</v>
      </c>
      <c r="N417" s="5">
        <v>43132.0</v>
      </c>
      <c r="O417" s="8">
        <v>66900.0</v>
      </c>
      <c r="P417" s="8">
        <v>163350.0</v>
      </c>
      <c r="Q417" s="8">
        <f t="shared" si="2"/>
        <v>96450</v>
      </c>
      <c r="R417" s="8">
        <v>4.0</v>
      </c>
      <c r="S417" s="8">
        <f t="shared" si="3"/>
        <v>653400</v>
      </c>
      <c r="T417" s="9">
        <v>0.05</v>
      </c>
      <c r="U417" s="8">
        <f t="shared" si="4"/>
        <v>32670</v>
      </c>
      <c r="V417" s="8">
        <f t="shared" si="5"/>
        <v>620730</v>
      </c>
      <c r="W417" s="10">
        <f t="shared" si="6"/>
        <v>267600</v>
      </c>
      <c r="X417" s="10">
        <f t="shared" si="7"/>
        <v>353130</v>
      </c>
      <c r="Y417" s="10"/>
      <c r="Z417" s="10"/>
      <c r="AA417" s="10"/>
      <c r="AB417" s="4" t="s">
        <v>1466</v>
      </c>
      <c r="AC417" s="4" t="s">
        <v>1463</v>
      </c>
      <c r="AD417" s="4">
        <v>43131.0</v>
      </c>
      <c r="AE417" s="4">
        <v>2018.0</v>
      </c>
      <c r="AF417" s="4" t="s">
        <v>1464</v>
      </c>
      <c r="AG417" s="4" t="s">
        <v>1465</v>
      </c>
      <c r="AH417" s="4" t="s">
        <v>31</v>
      </c>
      <c r="AI417" s="4" t="s">
        <v>51</v>
      </c>
      <c r="AJ417" s="4" t="s">
        <v>33</v>
      </c>
      <c r="AK417" s="4" t="s">
        <v>34</v>
      </c>
      <c r="AL417" s="4" t="s">
        <v>502</v>
      </c>
      <c r="AM417" s="4" t="s">
        <v>36</v>
      </c>
      <c r="AN417" s="4" t="s">
        <v>37</v>
      </c>
      <c r="AO417" s="4" t="s">
        <v>55</v>
      </c>
      <c r="AP417" s="4">
        <v>43132.0</v>
      </c>
      <c r="AQ417" s="4">
        <v>66900.0</v>
      </c>
      <c r="AR417" s="4">
        <v>163350.0</v>
      </c>
      <c r="AS417" s="4">
        <v>96450.0</v>
      </c>
      <c r="AT417" s="4">
        <v>4.0</v>
      </c>
      <c r="AU417" s="4">
        <v>653400.0</v>
      </c>
      <c r="AV417" s="4">
        <v>0.05</v>
      </c>
      <c r="AW417" s="4">
        <v>32670.0</v>
      </c>
      <c r="AX417" s="4">
        <v>620730.0</v>
      </c>
      <c r="AY417" s="4">
        <v>267600.0</v>
      </c>
      <c r="AZ417" s="4">
        <v>353130.0</v>
      </c>
    </row>
    <row r="418" ht="15.75" customHeight="1">
      <c r="A418" s="3" t="s">
        <v>1467</v>
      </c>
      <c r="B418" s="5">
        <v>43132.0</v>
      </c>
      <c r="C418" s="6">
        <f t="shared" si="1"/>
        <v>2018</v>
      </c>
      <c r="D418" s="7" t="s">
        <v>1402</v>
      </c>
      <c r="E418" s="7" t="s">
        <v>1069</v>
      </c>
      <c r="F418" s="7" t="s">
        <v>31</v>
      </c>
      <c r="G418" s="5" t="s">
        <v>91</v>
      </c>
      <c r="H418" s="7" t="s">
        <v>43</v>
      </c>
      <c r="I418" s="7" t="s">
        <v>92</v>
      </c>
      <c r="J418" s="7" t="s">
        <v>204</v>
      </c>
      <c r="K418" s="7" t="s">
        <v>61</v>
      </c>
      <c r="L418" s="7" t="s">
        <v>37</v>
      </c>
      <c r="M418" s="7" t="s">
        <v>38</v>
      </c>
      <c r="N418" s="5">
        <v>43134.0</v>
      </c>
      <c r="O418" s="8">
        <v>124650.00000000001</v>
      </c>
      <c r="P418" s="8">
        <v>239700.0</v>
      </c>
      <c r="Q418" s="8">
        <f t="shared" si="2"/>
        <v>115050</v>
      </c>
      <c r="R418" s="8">
        <v>38.0</v>
      </c>
      <c r="S418" s="8">
        <f t="shared" si="3"/>
        <v>9108600</v>
      </c>
      <c r="T418" s="9">
        <v>0.1</v>
      </c>
      <c r="U418" s="8">
        <f t="shared" si="4"/>
        <v>910860</v>
      </c>
      <c r="V418" s="8">
        <f t="shared" si="5"/>
        <v>8197740</v>
      </c>
      <c r="W418" s="10">
        <f t="shared" si="6"/>
        <v>4736700</v>
      </c>
      <c r="X418" s="10">
        <f t="shared" si="7"/>
        <v>3461040</v>
      </c>
      <c r="Y418" s="10"/>
      <c r="Z418" s="10"/>
      <c r="AA418" s="10"/>
      <c r="AB418" s="4" t="s">
        <v>1468</v>
      </c>
      <c r="AC418" s="4" t="s">
        <v>1467</v>
      </c>
      <c r="AD418" s="4">
        <v>43132.0</v>
      </c>
      <c r="AE418" s="4">
        <v>2018.0</v>
      </c>
      <c r="AF418" s="4" t="s">
        <v>1402</v>
      </c>
      <c r="AG418" s="4" t="s">
        <v>1069</v>
      </c>
      <c r="AH418" s="4" t="s">
        <v>31</v>
      </c>
      <c r="AI418" s="4" t="s">
        <v>91</v>
      </c>
      <c r="AJ418" s="4" t="s">
        <v>43</v>
      </c>
      <c r="AK418" s="4" t="s">
        <v>92</v>
      </c>
      <c r="AL418" s="4" t="s">
        <v>204</v>
      </c>
      <c r="AM418" s="4" t="s">
        <v>61</v>
      </c>
      <c r="AN418" s="4" t="s">
        <v>37</v>
      </c>
      <c r="AO418" s="4" t="s">
        <v>38</v>
      </c>
      <c r="AP418" s="4">
        <v>43134.0</v>
      </c>
      <c r="AQ418" s="4">
        <v>124650.0</v>
      </c>
      <c r="AR418" s="4">
        <v>239700.0</v>
      </c>
      <c r="AS418" s="4">
        <v>115050.0</v>
      </c>
      <c r="AT418" s="4">
        <v>38.0</v>
      </c>
      <c r="AU418" s="4">
        <v>9108600.0</v>
      </c>
      <c r="AV418" s="4">
        <v>0.1</v>
      </c>
      <c r="AW418" s="4">
        <v>910860.0</v>
      </c>
      <c r="AX418" s="4">
        <v>8197740.0</v>
      </c>
      <c r="AY418" s="4">
        <v>4736700.0</v>
      </c>
      <c r="AZ418" s="4">
        <v>3461040.0</v>
      </c>
    </row>
    <row r="419" ht="15.75" customHeight="1">
      <c r="A419" s="3" t="s">
        <v>1469</v>
      </c>
      <c r="B419" s="5">
        <v>43133.0</v>
      </c>
      <c r="C419" s="6">
        <f t="shared" si="1"/>
        <v>2018</v>
      </c>
      <c r="D419" s="7" t="s">
        <v>1470</v>
      </c>
      <c r="E419" s="7" t="s">
        <v>1471</v>
      </c>
      <c r="F419" s="7" t="s">
        <v>50</v>
      </c>
      <c r="G419" s="5" t="s">
        <v>68</v>
      </c>
      <c r="H419" s="7" t="s">
        <v>110</v>
      </c>
      <c r="I419" s="7" t="s">
        <v>92</v>
      </c>
      <c r="J419" s="7" t="s">
        <v>1472</v>
      </c>
      <c r="K419" s="7" t="s">
        <v>36</v>
      </c>
      <c r="L419" s="7" t="s">
        <v>45</v>
      </c>
      <c r="M419" s="7" t="s">
        <v>38</v>
      </c>
      <c r="N419" s="5">
        <v>43134.0</v>
      </c>
      <c r="O419" s="8">
        <v>67200.0</v>
      </c>
      <c r="P419" s="8">
        <v>122100.00000000001</v>
      </c>
      <c r="Q419" s="8">
        <f t="shared" si="2"/>
        <v>54900</v>
      </c>
      <c r="R419" s="8">
        <v>46.0</v>
      </c>
      <c r="S419" s="8">
        <f t="shared" si="3"/>
        <v>5616600</v>
      </c>
      <c r="T419" s="9">
        <v>0.0</v>
      </c>
      <c r="U419" s="8">
        <f t="shared" si="4"/>
        <v>0</v>
      </c>
      <c r="V419" s="8">
        <f t="shared" si="5"/>
        <v>5616600</v>
      </c>
      <c r="W419" s="10">
        <f t="shared" si="6"/>
        <v>3091200</v>
      </c>
      <c r="X419" s="10">
        <f t="shared" si="7"/>
        <v>2525400</v>
      </c>
      <c r="Y419" s="10"/>
      <c r="Z419" s="10"/>
      <c r="AA419" s="10"/>
      <c r="AB419" s="4" t="s">
        <v>1473</v>
      </c>
      <c r="AC419" s="4" t="s">
        <v>1469</v>
      </c>
      <c r="AD419" s="4">
        <v>43133.0</v>
      </c>
      <c r="AE419" s="4">
        <v>2018.0</v>
      </c>
      <c r="AF419" s="4" t="s">
        <v>1470</v>
      </c>
      <c r="AG419" s="4" t="s">
        <v>1471</v>
      </c>
      <c r="AH419" s="4" t="s">
        <v>50</v>
      </c>
      <c r="AI419" s="4" t="s">
        <v>68</v>
      </c>
      <c r="AJ419" s="4" t="s">
        <v>110</v>
      </c>
      <c r="AK419" s="4" t="s">
        <v>92</v>
      </c>
      <c r="AL419" s="4" t="s">
        <v>1472</v>
      </c>
      <c r="AM419" s="4" t="s">
        <v>36</v>
      </c>
      <c r="AN419" s="4" t="s">
        <v>45</v>
      </c>
      <c r="AO419" s="4" t="s">
        <v>38</v>
      </c>
      <c r="AP419" s="4">
        <v>43134.0</v>
      </c>
      <c r="AQ419" s="4">
        <v>67200.0</v>
      </c>
      <c r="AR419" s="4">
        <v>122100.0</v>
      </c>
      <c r="AS419" s="4">
        <v>54900.0</v>
      </c>
      <c r="AT419" s="4">
        <v>46.0</v>
      </c>
      <c r="AU419" s="4">
        <v>5616600.0</v>
      </c>
      <c r="AV419" s="4">
        <v>0.0</v>
      </c>
      <c r="AW419" s="4">
        <v>0.0</v>
      </c>
      <c r="AX419" s="4">
        <v>5616600.0</v>
      </c>
      <c r="AY419" s="4">
        <v>3091200.0</v>
      </c>
      <c r="AZ419" s="4">
        <v>2525400.0</v>
      </c>
    </row>
    <row r="420" ht="15.75" customHeight="1">
      <c r="A420" s="3" t="s">
        <v>1474</v>
      </c>
      <c r="B420" s="5">
        <v>43133.0</v>
      </c>
      <c r="C420" s="6">
        <f t="shared" si="1"/>
        <v>2018</v>
      </c>
      <c r="D420" s="7" t="s">
        <v>1303</v>
      </c>
      <c r="E420" s="7" t="s">
        <v>194</v>
      </c>
      <c r="F420" s="7" t="s">
        <v>31</v>
      </c>
      <c r="G420" s="5" t="s">
        <v>51</v>
      </c>
      <c r="H420" s="7" t="s">
        <v>33</v>
      </c>
      <c r="I420" s="7" t="s">
        <v>104</v>
      </c>
      <c r="J420" s="7" t="s">
        <v>208</v>
      </c>
      <c r="K420" s="7" t="s">
        <v>36</v>
      </c>
      <c r="L420" s="7" t="s">
        <v>127</v>
      </c>
      <c r="M420" s="7" t="s">
        <v>38</v>
      </c>
      <c r="N420" s="5">
        <v>43133.0</v>
      </c>
      <c r="O420" s="8">
        <v>71850.0</v>
      </c>
      <c r="P420" s="8">
        <v>179550.0</v>
      </c>
      <c r="Q420" s="8">
        <f t="shared" si="2"/>
        <v>107700</v>
      </c>
      <c r="R420" s="8">
        <v>8.0</v>
      </c>
      <c r="S420" s="8">
        <f t="shared" si="3"/>
        <v>1436400</v>
      </c>
      <c r="T420" s="9">
        <v>0.03</v>
      </c>
      <c r="U420" s="8">
        <f t="shared" si="4"/>
        <v>43092</v>
      </c>
      <c r="V420" s="8">
        <f t="shared" si="5"/>
        <v>1393308</v>
      </c>
      <c r="W420" s="10">
        <f t="shared" si="6"/>
        <v>574800</v>
      </c>
      <c r="X420" s="10">
        <f t="shared" si="7"/>
        <v>818508</v>
      </c>
      <c r="Y420" s="10"/>
      <c r="Z420" s="10"/>
      <c r="AA420" s="10"/>
      <c r="AB420" s="4" t="s">
        <v>1475</v>
      </c>
      <c r="AC420" s="4" t="s">
        <v>1474</v>
      </c>
      <c r="AD420" s="4">
        <v>43133.0</v>
      </c>
      <c r="AE420" s="4">
        <v>2018.0</v>
      </c>
      <c r="AF420" s="4" t="s">
        <v>1303</v>
      </c>
      <c r="AG420" s="4" t="s">
        <v>194</v>
      </c>
      <c r="AH420" s="4" t="s">
        <v>31</v>
      </c>
      <c r="AI420" s="4" t="s">
        <v>51</v>
      </c>
      <c r="AJ420" s="4" t="s">
        <v>33</v>
      </c>
      <c r="AK420" s="4" t="s">
        <v>104</v>
      </c>
      <c r="AL420" s="4" t="s">
        <v>208</v>
      </c>
      <c r="AM420" s="4" t="s">
        <v>36</v>
      </c>
      <c r="AN420" s="4" t="s">
        <v>127</v>
      </c>
      <c r="AO420" s="4" t="s">
        <v>38</v>
      </c>
      <c r="AP420" s="4">
        <v>43133.0</v>
      </c>
      <c r="AQ420" s="4">
        <v>71850.0</v>
      </c>
      <c r="AR420" s="4">
        <v>179550.0</v>
      </c>
      <c r="AS420" s="4">
        <v>107700.0</v>
      </c>
      <c r="AT420" s="4">
        <v>8.0</v>
      </c>
      <c r="AU420" s="4">
        <v>1436400.0</v>
      </c>
      <c r="AV420" s="4">
        <v>0.03</v>
      </c>
      <c r="AW420" s="4">
        <v>43092.0</v>
      </c>
      <c r="AX420" s="4">
        <v>1393308.0</v>
      </c>
      <c r="AY420" s="4">
        <v>574800.0</v>
      </c>
      <c r="AZ420" s="4">
        <v>818508.0</v>
      </c>
    </row>
    <row r="421" ht="15.75" customHeight="1">
      <c r="A421" s="3" t="s">
        <v>1476</v>
      </c>
      <c r="B421" s="5">
        <v>43134.0</v>
      </c>
      <c r="C421" s="6">
        <f t="shared" si="1"/>
        <v>2018</v>
      </c>
      <c r="D421" s="7" t="s">
        <v>1117</v>
      </c>
      <c r="E421" s="7" t="s">
        <v>194</v>
      </c>
      <c r="F421" s="7" t="s">
        <v>31</v>
      </c>
      <c r="G421" s="5" t="s">
        <v>68</v>
      </c>
      <c r="H421" s="7" t="s">
        <v>33</v>
      </c>
      <c r="I421" s="7" t="s">
        <v>34</v>
      </c>
      <c r="J421" s="7" t="s">
        <v>399</v>
      </c>
      <c r="K421" s="7" t="s">
        <v>36</v>
      </c>
      <c r="L421" s="7" t="s">
        <v>37</v>
      </c>
      <c r="M421" s="7" t="s">
        <v>38</v>
      </c>
      <c r="N421" s="5">
        <v>43135.0</v>
      </c>
      <c r="O421" s="8">
        <v>51000.0</v>
      </c>
      <c r="P421" s="8">
        <v>81000.0</v>
      </c>
      <c r="Q421" s="8">
        <f t="shared" si="2"/>
        <v>30000</v>
      </c>
      <c r="R421" s="8">
        <v>22.0</v>
      </c>
      <c r="S421" s="8">
        <f t="shared" si="3"/>
        <v>1782000</v>
      </c>
      <c r="T421" s="9">
        <v>0.1</v>
      </c>
      <c r="U421" s="8">
        <f t="shared" si="4"/>
        <v>178200</v>
      </c>
      <c r="V421" s="8">
        <f t="shared" si="5"/>
        <v>1603800</v>
      </c>
      <c r="W421" s="10">
        <f t="shared" si="6"/>
        <v>1122000</v>
      </c>
      <c r="X421" s="10">
        <f t="shared" si="7"/>
        <v>481800</v>
      </c>
      <c r="Y421" s="10"/>
      <c r="Z421" s="10"/>
      <c r="AA421" s="10"/>
      <c r="AB421" s="4" t="s">
        <v>1477</v>
      </c>
      <c r="AC421" s="4" t="s">
        <v>1476</v>
      </c>
      <c r="AD421" s="4">
        <v>43134.0</v>
      </c>
      <c r="AE421" s="4">
        <v>2018.0</v>
      </c>
      <c r="AF421" s="4" t="s">
        <v>1117</v>
      </c>
      <c r="AG421" s="4" t="s">
        <v>194</v>
      </c>
      <c r="AH421" s="4" t="s">
        <v>31</v>
      </c>
      <c r="AI421" s="4" t="s">
        <v>68</v>
      </c>
      <c r="AJ421" s="4" t="s">
        <v>33</v>
      </c>
      <c r="AK421" s="4" t="s">
        <v>34</v>
      </c>
      <c r="AL421" s="4" t="s">
        <v>399</v>
      </c>
      <c r="AM421" s="4" t="s">
        <v>36</v>
      </c>
      <c r="AN421" s="4" t="s">
        <v>37</v>
      </c>
      <c r="AO421" s="4" t="s">
        <v>38</v>
      </c>
      <c r="AP421" s="4">
        <v>43135.0</v>
      </c>
      <c r="AQ421" s="4">
        <v>51000.0</v>
      </c>
      <c r="AR421" s="4">
        <v>81000.0</v>
      </c>
      <c r="AS421" s="4">
        <v>30000.0</v>
      </c>
      <c r="AT421" s="4">
        <v>22.0</v>
      </c>
      <c r="AU421" s="4">
        <v>1782000.0</v>
      </c>
      <c r="AV421" s="4">
        <v>0.1</v>
      </c>
      <c r="AW421" s="4">
        <v>178200.0</v>
      </c>
      <c r="AX421" s="4">
        <v>1603800.0</v>
      </c>
      <c r="AY421" s="4">
        <v>1122000.0</v>
      </c>
      <c r="AZ421" s="4">
        <v>481800.0</v>
      </c>
    </row>
    <row r="422" ht="15.75" customHeight="1">
      <c r="A422" s="3" t="s">
        <v>1478</v>
      </c>
      <c r="B422" s="5">
        <v>43135.0</v>
      </c>
      <c r="C422" s="6">
        <f t="shared" si="1"/>
        <v>2018</v>
      </c>
      <c r="D422" s="7" t="s">
        <v>1479</v>
      </c>
      <c r="E422" s="7" t="s">
        <v>79</v>
      </c>
      <c r="F422" s="7" t="s">
        <v>50</v>
      </c>
      <c r="G422" s="5" t="s">
        <v>51</v>
      </c>
      <c r="H422" s="7" t="s">
        <v>80</v>
      </c>
      <c r="I422" s="7" t="s">
        <v>92</v>
      </c>
      <c r="J422" s="7" t="s">
        <v>327</v>
      </c>
      <c r="K422" s="7" t="s">
        <v>36</v>
      </c>
      <c r="L422" s="7" t="s">
        <v>37</v>
      </c>
      <c r="M422" s="7" t="s">
        <v>38</v>
      </c>
      <c r="N422" s="5">
        <v>43137.0</v>
      </c>
      <c r="O422" s="8">
        <v>133800.0</v>
      </c>
      <c r="P422" s="8">
        <v>446100.0</v>
      </c>
      <c r="Q422" s="8">
        <f t="shared" si="2"/>
        <v>312300</v>
      </c>
      <c r="R422" s="8">
        <v>19.0</v>
      </c>
      <c r="S422" s="8">
        <f t="shared" si="3"/>
        <v>8475900</v>
      </c>
      <c r="T422" s="9">
        <v>0.1</v>
      </c>
      <c r="U422" s="8">
        <f t="shared" si="4"/>
        <v>847590</v>
      </c>
      <c r="V422" s="8">
        <f t="shared" si="5"/>
        <v>7628310</v>
      </c>
      <c r="W422" s="10">
        <f t="shared" si="6"/>
        <v>2542200</v>
      </c>
      <c r="X422" s="10">
        <f t="shared" si="7"/>
        <v>5086110</v>
      </c>
      <c r="Y422" s="10"/>
      <c r="Z422" s="10"/>
      <c r="AA422" s="10"/>
      <c r="AB422" s="4" t="s">
        <v>1480</v>
      </c>
      <c r="AC422" s="4" t="s">
        <v>1478</v>
      </c>
      <c r="AD422" s="4">
        <v>43135.0</v>
      </c>
      <c r="AE422" s="4">
        <v>2018.0</v>
      </c>
      <c r="AF422" s="4" t="s">
        <v>1479</v>
      </c>
      <c r="AG422" s="4" t="s">
        <v>79</v>
      </c>
      <c r="AH422" s="4" t="s">
        <v>50</v>
      </c>
      <c r="AI422" s="4" t="s">
        <v>51</v>
      </c>
      <c r="AJ422" s="4" t="s">
        <v>80</v>
      </c>
      <c r="AK422" s="4" t="s">
        <v>92</v>
      </c>
      <c r="AL422" s="4" t="s">
        <v>327</v>
      </c>
      <c r="AM422" s="4" t="s">
        <v>36</v>
      </c>
      <c r="AN422" s="4" t="s">
        <v>37</v>
      </c>
      <c r="AO422" s="4" t="s">
        <v>38</v>
      </c>
      <c r="AP422" s="4">
        <v>43137.0</v>
      </c>
      <c r="AQ422" s="4">
        <v>133800.0</v>
      </c>
      <c r="AR422" s="4">
        <v>446100.0</v>
      </c>
      <c r="AS422" s="4">
        <v>312300.0</v>
      </c>
      <c r="AT422" s="4">
        <v>19.0</v>
      </c>
      <c r="AU422" s="4">
        <v>8475900.0</v>
      </c>
      <c r="AV422" s="4">
        <v>0.1</v>
      </c>
      <c r="AW422" s="4">
        <v>847590.0</v>
      </c>
      <c r="AX422" s="4">
        <v>7628310.0</v>
      </c>
      <c r="AY422" s="4">
        <v>2542200.0</v>
      </c>
      <c r="AZ422" s="4">
        <v>5086110.0</v>
      </c>
    </row>
    <row r="423" ht="15.75" customHeight="1">
      <c r="A423" s="3" t="s">
        <v>1481</v>
      </c>
      <c r="B423" s="5">
        <v>43138.0</v>
      </c>
      <c r="C423" s="6">
        <f t="shared" si="1"/>
        <v>2018</v>
      </c>
      <c r="D423" s="7" t="s">
        <v>1482</v>
      </c>
      <c r="E423" s="7" t="s">
        <v>139</v>
      </c>
      <c r="F423" s="7" t="s">
        <v>50</v>
      </c>
      <c r="G423" s="5" t="s">
        <v>32</v>
      </c>
      <c r="H423" s="7" t="s">
        <v>140</v>
      </c>
      <c r="I423" s="7" t="s">
        <v>104</v>
      </c>
      <c r="J423" s="7" t="s">
        <v>497</v>
      </c>
      <c r="K423" s="7" t="s">
        <v>36</v>
      </c>
      <c r="L423" s="7" t="s">
        <v>37</v>
      </c>
      <c r="M423" s="7" t="s">
        <v>38</v>
      </c>
      <c r="N423" s="5">
        <v>43139.0</v>
      </c>
      <c r="O423" s="8">
        <v>54750.0</v>
      </c>
      <c r="P423" s="8">
        <v>89700.0</v>
      </c>
      <c r="Q423" s="8">
        <f t="shared" si="2"/>
        <v>34950</v>
      </c>
      <c r="R423" s="8">
        <v>19.0</v>
      </c>
      <c r="S423" s="8">
        <f t="shared" si="3"/>
        <v>1704300</v>
      </c>
      <c r="T423" s="9">
        <v>0.01</v>
      </c>
      <c r="U423" s="8">
        <f t="shared" si="4"/>
        <v>17043</v>
      </c>
      <c r="V423" s="8">
        <f t="shared" si="5"/>
        <v>1687257</v>
      </c>
      <c r="W423" s="10">
        <f t="shared" si="6"/>
        <v>1040250</v>
      </c>
      <c r="X423" s="10">
        <f t="shared" si="7"/>
        <v>647007</v>
      </c>
      <c r="Y423" s="10"/>
      <c r="Z423" s="10"/>
      <c r="AA423" s="10"/>
      <c r="AB423" s="4" t="s">
        <v>1483</v>
      </c>
      <c r="AC423" s="4" t="s">
        <v>1481</v>
      </c>
      <c r="AD423" s="4">
        <v>43138.0</v>
      </c>
      <c r="AE423" s="4">
        <v>2018.0</v>
      </c>
      <c r="AF423" s="4" t="s">
        <v>1482</v>
      </c>
      <c r="AG423" s="4" t="s">
        <v>139</v>
      </c>
      <c r="AH423" s="4" t="s">
        <v>50</v>
      </c>
      <c r="AI423" s="4" t="s">
        <v>32</v>
      </c>
      <c r="AJ423" s="4" t="s">
        <v>140</v>
      </c>
      <c r="AK423" s="4" t="s">
        <v>104</v>
      </c>
      <c r="AL423" s="4" t="s">
        <v>497</v>
      </c>
      <c r="AM423" s="4" t="s">
        <v>36</v>
      </c>
      <c r="AN423" s="4" t="s">
        <v>37</v>
      </c>
      <c r="AO423" s="4" t="s">
        <v>38</v>
      </c>
      <c r="AP423" s="4">
        <v>43139.0</v>
      </c>
      <c r="AQ423" s="4">
        <v>54750.0</v>
      </c>
      <c r="AR423" s="4">
        <v>89700.0</v>
      </c>
      <c r="AS423" s="4">
        <v>34950.0</v>
      </c>
      <c r="AT423" s="4">
        <v>19.0</v>
      </c>
      <c r="AU423" s="4">
        <v>1704300.0</v>
      </c>
      <c r="AV423" s="4">
        <v>0.01</v>
      </c>
      <c r="AW423" s="4">
        <v>17043.0</v>
      </c>
      <c r="AX423" s="4">
        <v>1687257.0</v>
      </c>
      <c r="AY423" s="4">
        <v>1040250.0</v>
      </c>
      <c r="AZ423" s="4">
        <v>647007.0</v>
      </c>
    </row>
    <row r="424" ht="15.75" customHeight="1">
      <c r="A424" s="3" t="s">
        <v>1484</v>
      </c>
      <c r="B424" s="5">
        <v>43139.0</v>
      </c>
      <c r="C424" s="6">
        <f t="shared" si="1"/>
        <v>2018</v>
      </c>
      <c r="D424" s="7" t="s">
        <v>1268</v>
      </c>
      <c r="E424" s="7" t="s">
        <v>393</v>
      </c>
      <c r="F424" s="7" t="s">
        <v>31</v>
      </c>
      <c r="G424" s="5" t="s">
        <v>68</v>
      </c>
      <c r="H424" s="7" t="s">
        <v>43</v>
      </c>
      <c r="I424" s="7" t="s">
        <v>74</v>
      </c>
      <c r="J424" s="7" t="s">
        <v>998</v>
      </c>
      <c r="K424" s="7" t="s">
        <v>36</v>
      </c>
      <c r="L424" s="7" t="s">
        <v>45</v>
      </c>
      <c r="M424" s="7" t="s">
        <v>38</v>
      </c>
      <c r="N424" s="5">
        <v>43143.0</v>
      </c>
      <c r="O424" s="8">
        <v>32400.000000000004</v>
      </c>
      <c r="P424" s="8">
        <v>57750.0</v>
      </c>
      <c r="Q424" s="8">
        <f t="shared" si="2"/>
        <v>25350</v>
      </c>
      <c r="R424" s="8">
        <v>10.0</v>
      </c>
      <c r="S424" s="8">
        <f t="shared" si="3"/>
        <v>577500</v>
      </c>
      <c r="T424" s="9">
        <v>0.06</v>
      </c>
      <c r="U424" s="8">
        <f t="shared" si="4"/>
        <v>34650</v>
      </c>
      <c r="V424" s="8">
        <f t="shared" si="5"/>
        <v>542850</v>
      </c>
      <c r="W424" s="10">
        <f t="shared" si="6"/>
        <v>324000</v>
      </c>
      <c r="X424" s="10">
        <f t="shared" si="7"/>
        <v>218850</v>
      </c>
      <c r="Y424" s="10"/>
      <c r="Z424" s="10"/>
      <c r="AA424" s="10"/>
      <c r="AB424" s="4" t="s">
        <v>1485</v>
      </c>
      <c r="AC424" s="4" t="s">
        <v>1484</v>
      </c>
      <c r="AD424" s="4">
        <v>43139.0</v>
      </c>
      <c r="AE424" s="4">
        <v>2018.0</v>
      </c>
      <c r="AF424" s="4" t="s">
        <v>1268</v>
      </c>
      <c r="AG424" s="4" t="s">
        <v>393</v>
      </c>
      <c r="AH424" s="4" t="s">
        <v>31</v>
      </c>
      <c r="AI424" s="4" t="s">
        <v>68</v>
      </c>
      <c r="AJ424" s="4" t="s">
        <v>43</v>
      </c>
      <c r="AK424" s="4" t="s">
        <v>74</v>
      </c>
      <c r="AL424" s="4" t="s">
        <v>998</v>
      </c>
      <c r="AM424" s="4" t="s">
        <v>36</v>
      </c>
      <c r="AN424" s="4" t="s">
        <v>45</v>
      </c>
      <c r="AO424" s="4" t="s">
        <v>38</v>
      </c>
      <c r="AP424" s="4">
        <v>43143.0</v>
      </c>
      <c r="AQ424" s="4">
        <v>32400.0</v>
      </c>
      <c r="AR424" s="4">
        <v>57750.0</v>
      </c>
      <c r="AS424" s="4">
        <v>25350.0</v>
      </c>
      <c r="AT424" s="4">
        <v>10.0</v>
      </c>
      <c r="AU424" s="4">
        <v>577500.0</v>
      </c>
      <c r="AV424" s="4">
        <v>0.06</v>
      </c>
      <c r="AW424" s="4">
        <v>34650.0</v>
      </c>
      <c r="AX424" s="4">
        <v>542850.0</v>
      </c>
      <c r="AY424" s="4">
        <v>324000.0</v>
      </c>
      <c r="AZ424" s="4">
        <v>218850.0</v>
      </c>
    </row>
    <row r="425" ht="15.75" customHeight="1">
      <c r="A425" s="3" t="s">
        <v>1486</v>
      </c>
      <c r="B425" s="5">
        <v>43140.0</v>
      </c>
      <c r="C425" s="6">
        <f t="shared" si="1"/>
        <v>2018</v>
      </c>
      <c r="D425" s="7" t="s">
        <v>316</v>
      </c>
      <c r="E425" s="7" t="s">
        <v>317</v>
      </c>
      <c r="F425" s="7" t="s">
        <v>289</v>
      </c>
      <c r="G425" s="5" t="s">
        <v>32</v>
      </c>
      <c r="H425" s="7" t="s">
        <v>200</v>
      </c>
      <c r="I425" s="7" t="s">
        <v>104</v>
      </c>
      <c r="J425" s="7" t="s">
        <v>1487</v>
      </c>
      <c r="K425" s="7" t="s">
        <v>61</v>
      </c>
      <c r="L425" s="7" t="s">
        <v>37</v>
      </c>
      <c r="M425" s="7" t="s">
        <v>38</v>
      </c>
      <c r="N425" s="5">
        <v>43141.0</v>
      </c>
      <c r="O425" s="8">
        <v>267600.0</v>
      </c>
      <c r="P425" s="8">
        <v>524850.0</v>
      </c>
      <c r="Q425" s="8">
        <f t="shared" si="2"/>
        <v>257250</v>
      </c>
      <c r="R425" s="8">
        <v>29.0</v>
      </c>
      <c r="S425" s="8">
        <f t="shared" si="3"/>
        <v>15220650</v>
      </c>
      <c r="T425" s="9">
        <v>0.09</v>
      </c>
      <c r="U425" s="8">
        <f t="shared" si="4"/>
        <v>1369858.5</v>
      </c>
      <c r="V425" s="8">
        <f t="shared" si="5"/>
        <v>13850791.5</v>
      </c>
      <c r="W425" s="10">
        <f t="shared" si="6"/>
        <v>7760400</v>
      </c>
      <c r="X425" s="10">
        <f t="shared" si="7"/>
        <v>6090391.5</v>
      </c>
      <c r="Y425" s="10"/>
      <c r="Z425" s="10"/>
      <c r="AA425" s="10"/>
      <c r="AB425" s="4" t="s">
        <v>1488</v>
      </c>
      <c r="AC425" s="4" t="s">
        <v>1486</v>
      </c>
      <c r="AD425" s="4">
        <v>43140.0</v>
      </c>
      <c r="AE425" s="4">
        <v>2018.0</v>
      </c>
      <c r="AF425" s="4" t="s">
        <v>316</v>
      </c>
      <c r="AG425" s="4" t="s">
        <v>317</v>
      </c>
      <c r="AH425" s="4" t="s">
        <v>289</v>
      </c>
      <c r="AI425" s="4" t="s">
        <v>32</v>
      </c>
      <c r="AJ425" s="4" t="s">
        <v>200</v>
      </c>
      <c r="AK425" s="4" t="s">
        <v>104</v>
      </c>
      <c r="AL425" s="4" t="s">
        <v>1487</v>
      </c>
      <c r="AM425" s="4" t="s">
        <v>61</v>
      </c>
      <c r="AN425" s="4" t="s">
        <v>37</v>
      </c>
      <c r="AO425" s="4" t="s">
        <v>38</v>
      </c>
      <c r="AP425" s="4">
        <v>43141.0</v>
      </c>
      <c r="AQ425" s="4">
        <v>267600.0</v>
      </c>
      <c r="AR425" s="4">
        <v>524850.0</v>
      </c>
      <c r="AS425" s="4">
        <v>257250.0</v>
      </c>
      <c r="AT425" s="4">
        <v>29.0</v>
      </c>
      <c r="AU425" s="4">
        <v>1.522065E7</v>
      </c>
      <c r="AV425" s="4">
        <v>0.09</v>
      </c>
      <c r="AW425" s="4">
        <v>1369858.5</v>
      </c>
      <c r="AX425" s="4">
        <v>1.38507915E7</v>
      </c>
      <c r="AY425" s="4">
        <v>7760400.0</v>
      </c>
      <c r="AZ425" s="4">
        <v>6090391.5</v>
      </c>
    </row>
    <row r="426" ht="15.75" customHeight="1">
      <c r="A426" s="3" t="s">
        <v>1489</v>
      </c>
      <c r="B426" s="5">
        <v>43141.0</v>
      </c>
      <c r="C426" s="6">
        <f t="shared" si="1"/>
        <v>2018</v>
      </c>
      <c r="D426" s="7" t="s">
        <v>1490</v>
      </c>
      <c r="E426" s="7" t="s">
        <v>276</v>
      </c>
      <c r="F426" s="7" t="s">
        <v>50</v>
      </c>
      <c r="G426" s="5" t="s">
        <v>51</v>
      </c>
      <c r="H426" s="7" t="s">
        <v>110</v>
      </c>
      <c r="I426" s="7" t="s">
        <v>34</v>
      </c>
      <c r="J426" s="7" t="s">
        <v>208</v>
      </c>
      <c r="K426" s="7" t="s">
        <v>36</v>
      </c>
      <c r="L426" s="7" t="s">
        <v>127</v>
      </c>
      <c r="M426" s="7" t="s">
        <v>38</v>
      </c>
      <c r="N426" s="5">
        <v>43143.0</v>
      </c>
      <c r="O426" s="8">
        <v>71850.0</v>
      </c>
      <c r="P426" s="8">
        <v>179550.0</v>
      </c>
      <c r="Q426" s="8">
        <f t="shared" si="2"/>
        <v>107700</v>
      </c>
      <c r="R426" s="8">
        <v>23.0</v>
      </c>
      <c r="S426" s="8">
        <f t="shared" si="3"/>
        <v>4129650</v>
      </c>
      <c r="T426" s="9">
        <v>0.01</v>
      </c>
      <c r="U426" s="8">
        <f t="shared" si="4"/>
        <v>41296.5</v>
      </c>
      <c r="V426" s="8">
        <f t="shared" si="5"/>
        <v>4088353.5</v>
      </c>
      <c r="W426" s="10">
        <f t="shared" si="6"/>
        <v>1652550</v>
      </c>
      <c r="X426" s="10">
        <f t="shared" si="7"/>
        <v>2435803.5</v>
      </c>
      <c r="Y426" s="10"/>
      <c r="Z426" s="10"/>
      <c r="AA426" s="10"/>
      <c r="AB426" s="4" t="s">
        <v>1491</v>
      </c>
      <c r="AC426" s="4" t="s">
        <v>1489</v>
      </c>
      <c r="AD426" s="4">
        <v>43141.0</v>
      </c>
      <c r="AE426" s="4">
        <v>2018.0</v>
      </c>
      <c r="AF426" s="4" t="s">
        <v>1490</v>
      </c>
      <c r="AG426" s="4" t="s">
        <v>276</v>
      </c>
      <c r="AH426" s="4" t="s">
        <v>50</v>
      </c>
      <c r="AI426" s="4" t="s">
        <v>51</v>
      </c>
      <c r="AJ426" s="4" t="s">
        <v>110</v>
      </c>
      <c r="AK426" s="4" t="s">
        <v>34</v>
      </c>
      <c r="AL426" s="4" t="s">
        <v>208</v>
      </c>
      <c r="AM426" s="4" t="s">
        <v>36</v>
      </c>
      <c r="AN426" s="4" t="s">
        <v>127</v>
      </c>
      <c r="AO426" s="4" t="s">
        <v>38</v>
      </c>
      <c r="AP426" s="4">
        <v>43143.0</v>
      </c>
      <c r="AQ426" s="4">
        <v>71850.0</v>
      </c>
      <c r="AR426" s="4">
        <v>179550.0</v>
      </c>
      <c r="AS426" s="4">
        <v>107700.0</v>
      </c>
      <c r="AT426" s="4">
        <v>23.0</v>
      </c>
      <c r="AU426" s="4">
        <v>4129650.0</v>
      </c>
      <c r="AV426" s="4">
        <v>0.01</v>
      </c>
      <c r="AW426" s="4">
        <v>41296.5</v>
      </c>
      <c r="AX426" s="4">
        <v>4088353.5</v>
      </c>
      <c r="AY426" s="4">
        <v>1652550.0</v>
      </c>
      <c r="AZ426" s="4">
        <v>2435803.5</v>
      </c>
    </row>
    <row r="427" ht="15.75" customHeight="1">
      <c r="A427" s="3" t="s">
        <v>1492</v>
      </c>
      <c r="B427" s="5">
        <v>43144.0</v>
      </c>
      <c r="C427" s="6">
        <f t="shared" si="1"/>
        <v>2018</v>
      </c>
      <c r="D427" s="7" t="s">
        <v>1493</v>
      </c>
      <c r="E427" s="7" t="s">
        <v>85</v>
      </c>
      <c r="F427" s="7" t="s">
        <v>50</v>
      </c>
      <c r="G427" s="5" t="s">
        <v>91</v>
      </c>
      <c r="H427" s="7" t="s">
        <v>80</v>
      </c>
      <c r="I427" s="7" t="s">
        <v>92</v>
      </c>
      <c r="J427" s="7" t="s">
        <v>992</v>
      </c>
      <c r="K427" s="7" t="s">
        <v>36</v>
      </c>
      <c r="L427" s="7" t="s">
        <v>37</v>
      </c>
      <c r="M427" s="7" t="s">
        <v>38</v>
      </c>
      <c r="N427" s="5">
        <v>43146.0</v>
      </c>
      <c r="O427" s="8">
        <v>781050.0</v>
      </c>
      <c r="P427" s="8">
        <v>1259700.0</v>
      </c>
      <c r="Q427" s="8">
        <f t="shared" si="2"/>
        <v>478650</v>
      </c>
      <c r="R427" s="8">
        <v>24.0</v>
      </c>
      <c r="S427" s="8">
        <f t="shared" si="3"/>
        <v>30232800</v>
      </c>
      <c r="T427" s="9">
        <v>0.05</v>
      </c>
      <c r="U427" s="8">
        <f t="shared" si="4"/>
        <v>1511640</v>
      </c>
      <c r="V427" s="8">
        <f t="shared" si="5"/>
        <v>28721160</v>
      </c>
      <c r="W427" s="10">
        <f t="shared" si="6"/>
        <v>18745200</v>
      </c>
      <c r="X427" s="10">
        <f t="shared" si="7"/>
        <v>9975960</v>
      </c>
      <c r="Y427" s="10"/>
      <c r="Z427" s="10"/>
      <c r="AA427" s="10"/>
      <c r="AB427" s="4" t="s">
        <v>1494</v>
      </c>
      <c r="AC427" s="4" t="s">
        <v>1492</v>
      </c>
      <c r="AD427" s="4">
        <v>43144.0</v>
      </c>
      <c r="AE427" s="4">
        <v>2018.0</v>
      </c>
      <c r="AF427" s="4" t="s">
        <v>1493</v>
      </c>
      <c r="AG427" s="4" t="s">
        <v>85</v>
      </c>
      <c r="AH427" s="4" t="s">
        <v>50</v>
      </c>
      <c r="AI427" s="4" t="s">
        <v>91</v>
      </c>
      <c r="AJ427" s="4" t="s">
        <v>80</v>
      </c>
      <c r="AK427" s="4" t="s">
        <v>92</v>
      </c>
      <c r="AL427" s="4" t="s">
        <v>992</v>
      </c>
      <c r="AM427" s="4" t="s">
        <v>36</v>
      </c>
      <c r="AN427" s="4" t="s">
        <v>37</v>
      </c>
      <c r="AO427" s="4" t="s">
        <v>38</v>
      </c>
      <c r="AP427" s="4">
        <v>43146.0</v>
      </c>
      <c r="AQ427" s="4">
        <v>781050.0</v>
      </c>
      <c r="AR427" s="4">
        <v>1259700.0</v>
      </c>
      <c r="AS427" s="4">
        <v>478650.0</v>
      </c>
      <c r="AT427" s="4">
        <v>24.0</v>
      </c>
      <c r="AU427" s="4">
        <v>3.02328E7</v>
      </c>
      <c r="AV427" s="4">
        <v>0.05</v>
      </c>
      <c r="AW427" s="4">
        <v>1511640.0</v>
      </c>
      <c r="AX427" s="4">
        <v>2.872116E7</v>
      </c>
      <c r="AY427" s="4">
        <v>1.87452E7</v>
      </c>
      <c r="AZ427" s="4">
        <v>9975960.0</v>
      </c>
    </row>
    <row r="428" ht="15.75" customHeight="1">
      <c r="A428" s="3" t="s">
        <v>1495</v>
      </c>
      <c r="B428" s="5">
        <v>43145.0</v>
      </c>
      <c r="C428" s="6">
        <f t="shared" si="1"/>
        <v>2018</v>
      </c>
      <c r="D428" s="7" t="s">
        <v>1496</v>
      </c>
      <c r="E428" s="7" t="s">
        <v>1497</v>
      </c>
      <c r="F428" s="7" t="s">
        <v>50</v>
      </c>
      <c r="G428" s="5" t="s">
        <v>32</v>
      </c>
      <c r="H428" s="7" t="s">
        <v>69</v>
      </c>
      <c r="I428" s="7" t="s">
        <v>34</v>
      </c>
      <c r="J428" s="7" t="s">
        <v>105</v>
      </c>
      <c r="K428" s="7" t="s">
        <v>36</v>
      </c>
      <c r="L428" s="7" t="s">
        <v>37</v>
      </c>
      <c r="M428" s="7" t="s">
        <v>38</v>
      </c>
      <c r="N428" s="5">
        <v>43147.0</v>
      </c>
      <c r="O428" s="8">
        <v>73350.0</v>
      </c>
      <c r="P428" s="8">
        <v>114600.0</v>
      </c>
      <c r="Q428" s="8">
        <f t="shared" si="2"/>
        <v>41250</v>
      </c>
      <c r="R428" s="8">
        <v>12.0</v>
      </c>
      <c r="S428" s="8">
        <f t="shared" si="3"/>
        <v>1375200</v>
      </c>
      <c r="T428" s="9">
        <v>0.02</v>
      </c>
      <c r="U428" s="8">
        <f t="shared" si="4"/>
        <v>27504</v>
      </c>
      <c r="V428" s="8">
        <f t="shared" si="5"/>
        <v>1347696</v>
      </c>
      <c r="W428" s="10">
        <f t="shared" si="6"/>
        <v>880200</v>
      </c>
      <c r="X428" s="10">
        <f t="shared" si="7"/>
        <v>467496</v>
      </c>
      <c r="Y428" s="10"/>
      <c r="Z428" s="10"/>
      <c r="AA428" s="10"/>
      <c r="AB428" s="4" t="s">
        <v>1498</v>
      </c>
      <c r="AC428" s="4" t="s">
        <v>1495</v>
      </c>
      <c r="AD428" s="4">
        <v>43145.0</v>
      </c>
      <c r="AE428" s="4">
        <v>2018.0</v>
      </c>
      <c r="AF428" s="4" t="s">
        <v>1496</v>
      </c>
      <c r="AG428" s="4" t="s">
        <v>1497</v>
      </c>
      <c r="AH428" s="4" t="s">
        <v>50</v>
      </c>
      <c r="AI428" s="4" t="s">
        <v>32</v>
      </c>
      <c r="AJ428" s="4" t="s">
        <v>69</v>
      </c>
      <c r="AK428" s="4" t="s">
        <v>34</v>
      </c>
      <c r="AL428" s="4" t="s">
        <v>105</v>
      </c>
      <c r="AM428" s="4" t="s">
        <v>36</v>
      </c>
      <c r="AN428" s="4" t="s">
        <v>37</v>
      </c>
      <c r="AO428" s="4" t="s">
        <v>38</v>
      </c>
      <c r="AP428" s="4">
        <v>43147.0</v>
      </c>
      <c r="AQ428" s="4">
        <v>73350.0</v>
      </c>
      <c r="AR428" s="4">
        <v>114600.0</v>
      </c>
      <c r="AS428" s="4">
        <v>41250.0</v>
      </c>
      <c r="AT428" s="4">
        <v>12.0</v>
      </c>
      <c r="AU428" s="4">
        <v>1375200.0</v>
      </c>
      <c r="AV428" s="4">
        <v>0.02</v>
      </c>
      <c r="AW428" s="4">
        <v>27504.0</v>
      </c>
      <c r="AX428" s="4">
        <v>1347696.0</v>
      </c>
      <c r="AY428" s="4">
        <v>880200.0</v>
      </c>
      <c r="AZ428" s="4">
        <v>467496.0</v>
      </c>
    </row>
    <row r="429" ht="15.75" customHeight="1">
      <c r="A429" s="3" t="s">
        <v>1499</v>
      </c>
      <c r="B429" s="5">
        <v>43146.0</v>
      </c>
      <c r="C429" s="6">
        <f t="shared" si="1"/>
        <v>2018</v>
      </c>
      <c r="D429" s="7" t="s">
        <v>1500</v>
      </c>
      <c r="E429" s="7" t="s">
        <v>1069</v>
      </c>
      <c r="F429" s="7" t="s">
        <v>31</v>
      </c>
      <c r="G429" s="5" t="s">
        <v>68</v>
      </c>
      <c r="H429" s="7" t="s">
        <v>43</v>
      </c>
      <c r="I429" s="7" t="s">
        <v>74</v>
      </c>
      <c r="J429" s="7" t="s">
        <v>174</v>
      </c>
      <c r="K429" s="7" t="s">
        <v>36</v>
      </c>
      <c r="L429" s="7" t="s">
        <v>45</v>
      </c>
      <c r="M429" s="7" t="s">
        <v>38</v>
      </c>
      <c r="N429" s="5">
        <v>43150.0</v>
      </c>
      <c r="O429" s="8">
        <v>37800.0</v>
      </c>
      <c r="P429" s="8">
        <v>60000.0</v>
      </c>
      <c r="Q429" s="8">
        <f t="shared" si="2"/>
        <v>22200</v>
      </c>
      <c r="R429" s="8">
        <v>32.0</v>
      </c>
      <c r="S429" s="8">
        <f t="shared" si="3"/>
        <v>1920000</v>
      </c>
      <c r="T429" s="9">
        <v>0.09</v>
      </c>
      <c r="U429" s="8">
        <f t="shared" si="4"/>
        <v>172800</v>
      </c>
      <c r="V429" s="8">
        <f t="shared" si="5"/>
        <v>1747200</v>
      </c>
      <c r="W429" s="10">
        <f t="shared" si="6"/>
        <v>1209600</v>
      </c>
      <c r="X429" s="10">
        <f t="shared" si="7"/>
        <v>537600</v>
      </c>
      <c r="Y429" s="10"/>
      <c r="Z429" s="10"/>
      <c r="AA429" s="10"/>
      <c r="AB429" s="4" t="s">
        <v>1501</v>
      </c>
      <c r="AC429" s="4" t="s">
        <v>1499</v>
      </c>
      <c r="AD429" s="4">
        <v>43146.0</v>
      </c>
      <c r="AE429" s="4">
        <v>2018.0</v>
      </c>
      <c r="AF429" s="4" t="s">
        <v>1500</v>
      </c>
      <c r="AG429" s="4" t="s">
        <v>1069</v>
      </c>
      <c r="AH429" s="4" t="s">
        <v>31</v>
      </c>
      <c r="AI429" s="4" t="s">
        <v>68</v>
      </c>
      <c r="AJ429" s="4" t="s">
        <v>43</v>
      </c>
      <c r="AK429" s="4" t="s">
        <v>74</v>
      </c>
      <c r="AL429" s="4" t="s">
        <v>174</v>
      </c>
      <c r="AM429" s="4" t="s">
        <v>36</v>
      </c>
      <c r="AN429" s="4" t="s">
        <v>45</v>
      </c>
      <c r="AO429" s="4" t="s">
        <v>38</v>
      </c>
      <c r="AP429" s="4">
        <v>43150.0</v>
      </c>
      <c r="AQ429" s="4">
        <v>37800.0</v>
      </c>
      <c r="AR429" s="4">
        <v>60000.0</v>
      </c>
      <c r="AS429" s="4">
        <v>22200.0</v>
      </c>
      <c r="AT429" s="4">
        <v>32.0</v>
      </c>
      <c r="AU429" s="4">
        <v>1920000.0</v>
      </c>
      <c r="AV429" s="4">
        <v>0.09</v>
      </c>
      <c r="AW429" s="4">
        <v>172800.0</v>
      </c>
      <c r="AX429" s="4">
        <v>1747200.0</v>
      </c>
      <c r="AY429" s="4">
        <v>1209600.0</v>
      </c>
      <c r="AZ429" s="4">
        <v>537600.0</v>
      </c>
    </row>
    <row r="430" ht="15.75" customHeight="1">
      <c r="A430" s="3" t="s">
        <v>1502</v>
      </c>
      <c r="B430" s="5">
        <v>43146.0</v>
      </c>
      <c r="C430" s="6">
        <f t="shared" si="1"/>
        <v>2018</v>
      </c>
      <c r="D430" s="7" t="s">
        <v>1503</v>
      </c>
      <c r="E430" s="7" t="s">
        <v>1399</v>
      </c>
      <c r="F430" s="7" t="s">
        <v>50</v>
      </c>
      <c r="G430" s="5" t="s">
        <v>68</v>
      </c>
      <c r="H430" s="7" t="s">
        <v>344</v>
      </c>
      <c r="I430" s="7" t="s">
        <v>104</v>
      </c>
      <c r="J430" s="7" t="s">
        <v>490</v>
      </c>
      <c r="K430" s="7" t="s">
        <v>61</v>
      </c>
      <c r="L430" s="7" t="s">
        <v>37</v>
      </c>
      <c r="M430" s="7" t="s">
        <v>38</v>
      </c>
      <c r="N430" s="5">
        <v>43147.0</v>
      </c>
      <c r="O430" s="8">
        <v>97650.0</v>
      </c>
      <c r="P430" s="8">
        <v>464700.0</v>
      </c>
      <c r="Q430" s="8">
        <f t="shared" si="2"/>
        <v>367050</v>
      </c>
      <c r="R430" s="8">
        <v>12.0</v>
      </c>
      <c r="S430" s="8">
        <f t="shared" si="3"/>
        <v>5576400</v>
      </c>
      <c r="T430" s="9">
        <v>0.0</v>
      </c>
      <c r="U430" s="8">
        <f t="shared" si="4"/>
        <v>0</v>
      </c>
      <c r="V430" s="8">
        <f t="shared" si="5"/>
        <v>5576400</v>
      </c>
      <c r="W430" s="10">
        <f t="shared" si="6"/>
        <v>1171800</v>
      </c>
      <c r="X430" s="10">
        <f t="shared" si="7"/>
        <v>4404600</v>
      </c>
      <c r="Y430" s="10"/>
      <c r="Z430" s="10"/>
      <c r="AA430" s="10"/>
      <c r="AB430" s="4" t="s">
        <v>1504</v>
      </c>
      <c r="AC430" s="4" t="s">
        <v>1502</v>
      </c>
      <c r="AD430" s="4">
        <v>43146.0</v>
      </c>
      <c r="AE430" s="4">
        <v>2018.0</v>
      </c>
      <c r="AF430" s="4" t="s">
        <v>1503</v>
      </c>
      <c r="AG430" s="4" t="s">
        <v>1399</v>
      </c>
      <c r="AH430" s="4" t="s">
        <v>50</v>
      </c>
      <c r="AI430" s="4" t="s">
        <v>68</v>
      </c>
      <c r="AJ430" s="4" t="s">
        <v>344</v>
      </c>
      <c r="AK430" s="4" t="s">
        <v>104</v>
      </c>
      <c r="AL430" s="4" t="s">
        <v>490</v>
      </c>
      <c r="AM430" s="4" t="s">
        <v>61</v>
      </c>
      <c r="AN430" s="4" t="s">
        <v>37</v>
      </c>
      <c r="AO430" s="4" t="s">
        <v>38</v>
      </c>
      <c r="AP430" s="4">
        <v>43147.0</v>
      </c>
      <c r="AQ430" s="4">
        <v>97650.0</v>
      </c>
      <c r="AR430" s="4">
        <v>464700.0</v>
      </c>
      <c r="AS430" s="4">
        <v>367050.0</v>
      </c>
      <c r="AT430" s="4">
        <v>12.0</v>
      </c>
      <c r="AU430" s="4">
        <v>5576400.0</v>
      </c>
      <c r="AV430" s="4">
        <v>0.0</v>
      </c>
      <c r="AW430" s="4">
        <v>0.0</v>
      </c>
      <c r="AX430" s="4">
        <v>5576400.0</v>
      </c>
      <c r="AY430" s="4">
        <v>1171800.0</v>
      </c>
      <c r="AZ430" s="4">
        <v>4404600.0</v>
      </c>
    </row>
    <row r="431" ht="15.75" customHeight="1">
      <c r="A431" s="3" t="s">
        <v>1505</v>
      </c>
      <c r="B431" s="5">
        <v>43150.0</v>
      </c>
      <c r="C431" s="6">
        <f t="shared" si="1"/>
        <v>2018</v>
      </c>
      <c r="D431" s="7" t="s">
        <v>1146</v>
      </c>
      <c r="E431" s="7" t="s">
        <v>1147</v>
      </c>
      <c r="F431" s="7" t="s">
        <v>289</v>
      </c>
      <c r="G431" s="5" t="s">
        <v>51</v>
      </c>
      <c r="H431" s="7" t="s">
        <v>98</v>
      </c>
      <c r="I431" s="7" t="s">
        <v>104</v>
      </c>
      <c r="J431" s="7" t="s">
        <v>978</v>
      </c>
      <c r="K431" s="7" t="s">
        <v>61</v>
      </c>
      <c r="L431" s="7" t="s">
        <v>555</v>
      </c>
      <c r="M431" s="7" t="s">
        <v>55</v>
      </c>
      <c r="N431" s="5">
        <v>43152.0</v>
      </c>
      <c r="O431" s="8">
        <v>5669850.0</v>
      </c>
      <c r="P431" s="8">
        <v>8999850.0</v>
      </c>
      <c r="Q431" s="8">
        <f t="shared" si="2"/>
        <v>3330000</v>
      </c>
      <c r="R431" s="8">
        <v>41.0</v>
      </c>
      <c r="S431" s="8">
        <f t="shared" si="3"/>
        <v>368993850</v>
      </c>
      <c r="T431" s="9">
        <v>0.07</v>
      </c>
      <c r="U431" s="8">
        <f t="shared" si="4"/>
        <v>25829569.5</v>
      </c>
      <c r="V431" s="8">
        <f t="shared" si="5"/>
        <v>343164280.5</v>
      </c>
      <c r="W431" s="10">
        <f t="shared" si="6"/>
        <v>232463850</v>
      </c>
      <c r="X431" s="10">
        <f t="shared" si="7"/>
        <v>110700430.5</v>
      </c>
      <c r="Y431" s="10"/>
      <c r="Z431" s="10"/>
      <c r="AA431" s="10"/>
      <c r="AB431" s="4" t="s">
        <v>1506</v>
      </c>
      <c r="AC431" s="4" t="s">
        <v>1505</v>
      </c>
      <c r="AD431" s="4">
        <v>43150.0</v>
      </c>
      <c r="AE431" s="4">
        <v>2018.0</v>
      </c>
      <c r="AF431" s="4" t="s">
        <v>1146</v>
      </c>
      <c r="AG431" s="4" t="s">
        <v>1147</v>
      </c>
      <c r="AH431" s="4" t="s">
        <v>289</v>
      </c>
      <c r="AI431" s="4" t="s">
        <v>51</v>
      </c>
      <c r="AJ431" s="4" t="s">
        <v>98</v>
      </c>
      <c r="AK431" s="4" t="s">
        <v>104</v>
      </c>
      <c r="AL431" s="4" t="s">
        <v>978</v>
      </c>
      <c r="AM431" s="4" t="s">
        <v>61</v>
      </c>
      <c r="AN431" s="4" t="s">
        <v>555</v>
      </c>
      <c r="AO431" s="4" t="s">
        <v>55</v>
      </c>
      <c r="AP431" s="4">
        <v>43152.0</v>
      </c>
      <c r="AQ431" s="4">
        <v>5669850.0</v>
      </c>
      <c r="AR431" s="4">
        <v>8999850.0</v>
      </c>
      <c r="AS431" s="4">
        <v>3330000.0</v>
      </c>
      <c r="AT431" s="4">
        <v>41.0</v>
      </c>
      <c r="AU431" s="4">
        <v>3.6899385E8</v>
      </c>
      <c r="AV431" s="4">
        <v>0.07</v>
      </c>
      <c r="AW431" s="4">
        <v>2.58295695E7</v>
      </c>
      <c r="AX431" s="4">
        <v>3.431642805E8</v>
      </c>
      <c r="AY431" s="4">
        <v>2.3246385E8</v>
      </c>
      <c r="AZ431" s="4">
        <v>1.107004305E8</v>
      </c>
    </row>
    <row r="432" ht="15.75" customHeight="1">
      <c r="A432" s="3" t="s">
        <v>1507</v>
      </c>
      <c r="B432" s="5">
        <v>43153.0</v>
      </c>
      <c r="C432" s="6">
        <f t="shared" si="1"/>
        <v>2018</v>
      </c>
      <c r="D432" s="7" t="s">
        <v>1508</v>
      </c>
      <c r="E432" s="7" t="s">
        <v>1509</v>
      </c>
      <c r="F432" s="7" t="s">
        <v>50</v>
      </c>
      <c r="G432" s="5" t="s">
        <v>32</v>
      </c>
      <c r="H432" s="7" t="s">
        <v>52</v>
      </c>
      <c r="I432" s="7" t="s">
        <v>34</v>
      </c>
      <c r="J432" s="7" t="s">
        <v>978</v>
      </c>
      <c r="K432" s="7" t="s">
        <v>61</v>
      </c>
      <c r="L432" s="7" t="s">
        <v>555</v>
      </c>
      <c r="M432" s="7" t="s">
        <v>38</v>
      </c>
      <c r="N432" s="5">
        <v>43155.0</v>
      </c>
      <c r="O432" s="8">
        <v>5669850.0</v>
      </c>
      <c r="P432" s="8">
        <v>8999850.0</v>
      </c>
      <c r="Q432" s="8">
        <f t="shared" si="2"/>
        <v>3330000</v>
      </c>
      <c r="R432" s="8">
        <v>20.0</v>
      </c>
      <c r="S432" s="8">
        <f t="shared" si="3"/>
        <v>179997000</v>
      </c>
      <c r="T432" s="9">
        <v>0.07</v>
      </c>
      <c r="U432" s="8">
        <f t="shared" si="4"/>
        <v>12599790</v>
      </c>
      <c r="V432" s="8">
        <f t="shared" si="5"/>
        <v>167397210</v>
      </c>
      <c r="W432" s="10">
        <f t="shared" si="6"/>
        <v>113397000</v>
      </c>
      <c r="X432" s="10">
        <f t="shared" si="7"/>
        <v>54000210</v>
      </c>
      <c r="Y432" s="10"/>
      <c r="Z432" s="10"/>
      <c r="AA432" s="10"/>
      <c r="AB432" s="4" t="s">
        <v>1510</v>
      </c>
      <c r="AC432" s="4" t="s">
        <v>1507</v>
      </c>
      <c r="AD432" s="4">
        <v>43153.0</v>
      </c>
      <c r="AE432" s="4">
        <v>2018.0</v>
      </c>
      <c r="AF432" s="4" t="s">
        <v>1508</v>
      </c>
      <c r="AG432" s="4" t="s">
        <v>1509</v>
      </c>
      <c r="AH432" s="4" t="s">
        <v>50</v>
      </c>
      <c r="AI432" s="4" t="s">
        <v>32</v>
      </c>
      <c r="AJ432" s="4" t="s">
        <v>52</v>
      </c>
      <c r="AK432" s="4" t="s">
        <v>34</v>
      </c>
      <c r="AL432" s="4" t="s">
        <v>978</v>
      </c>
      <c r="AM432" s="4" t="s">
        <v>61</v>
      </c>
      <c r="AN432" s="4" t="s">
        <v>555</v>
      </c>
      <c r="AO432" s="4" t="s">
        <v>38</v>
      </c>
      <c r="AP432" s="4">
        <v>43155.0</v>
      </c>
      <c r="AQ432" s="4">
        <v>5669850.0</v>
      </c>
      <c r="AR432" s="4">
        <v>8999850.0</v>
      </c>
      <c r="AS432" s="4">
        <v>3330000.0</v>
      </c>
      <c r="AT432" s="4">
        <v>20.0</v>
      </c>
      <c r="AU432" s="4">
        <v>1.79997E8</v>
      </c>
      <c r="AV432" s="4">
        <v>0.07</v>
      </c>
      <c r="AW432" s="4">
        <v>1.259979E7</v>
      </c>
      <c r="AX432" s="4">
        <v>1.6739721E8</v>
      </c>
      <c r="AY432" s="4">
        <v>1.13397E8</v>
      </c>
      <c r="AZ432" s="4">
        <v>5.400021E7</v>
      </c>
    </row>
    <row r="433" ht="15.75" customHeight="1">
      <c r="A433" s="3" t="s">
        <v>1511</v>
      </c>
      <c r="B433" s="5">
        <v>43154.0</v>
      </c>
      <c r="C433" s="6">
        <f t="shared" si="1"/>
        <v>2018</v>
      </c>
      <c r="D433" s="7" t="s">
        <v>1512</v>
      </c>
      <c r="E433" s="7" t="s">
        <v>30</v>
      </c>
      <c r="F433" s="7" t="s">
        <v>31</v>
      </c>
      <c r="G433" s="5" t="s">
        <v>32</v>
      </c>
      <c r="H433" s="7" t="s">
        <v>33</v>
      </c>
      <c r="I433" s="7" t="s">
        <v>53</v>
      </c>
      <c r="J433" s="7" t="s">
        <v>1513</v>
      </c>
      <c r="K433" s="7" t="s">
        <v>36</v>
      </c>
      <c r="L433" s="7" t="s">
        <v>45</v>
      </c>
      <c r="M433" s="7" t="s">
        <v>38</v>
      </c>
      <c r="N433" s="5">
        <v>43155.0</v>
      </c>
      <c r="O433" s="8">
        <v>14100.0</v>
      </c>
      <c r="P433" s="8">
        <v>28200.0</v>
      </c>
      <c r="Q433" s="8">
        <f t="shared" si="2"/>
        <v>14100</v>
      </c>
      <c r="R433" s="8">
        <v>36.0</v>
      </c>
      <c r="S433" s="8">
        <f t="shared" si="3"/>
        <v>1015200</v>
      </c>
      <c r="T433" s="9">
        <v>0.1</v>
      </c>
      <c r="U433" s="8">
        <f t="shared" si="4"/>
        <v>101520</v>
      </c>
      <c r="V433" s="8">
        <f t="shared" si="5"/>
        <v>913680</v>
      </c>
      <c r="W433" s="10">
        <f t="shared" si="6"/>
        <v>507600</v>
      </c>
      <c r="X433" s="10">
        <f t="shared" si="7"/>
        <v>406080</v>
      </c>
      <c r="Y433" s="10"/>
      <c r="Z433" s="10"/>
      <c r="AA433" s="10"/>
      <c r="AB433" s="4" t="s">
        <v>1514</v>
      </c>
      <c r="AC433" s="4" t="s">
        <v>1511</v>
      </c>
      <c r="AD433" s="4">
        <v>43154.0</v>
      </c>
      <c r="AE433" s="4">
        <v>2018.0</v>
      </c>
      <c r="AF433" s="4" t="s">
        <v>1512</v>
      </c>
      <c r="AG433" s="4" t="s">
        <v>30</v>
      </c>
      <c r="AH433" s="4" t="s">
        <v>31</v>
      </c>
      <c r="AI433" s="4" t="s">
        <v>32</v>
      </c>
      <c r="AJ433" s="4" t="s">
        <v>33</v>
      </c>
      <c r="AK433" s="4" t="s">
        <v>53</v>
      </c>
      <c r="AL433" s="4" t="s">
        <v>1513</v>
      </c>
      <c r="AM433" s="4" t="s">
        <v>36</v>
      </c>
      <c r="AN433" s="4" t="s">
        <v>45</v>
      </c>
      <c r="AO433" s="4" t="s">
        <v>38</v>
      </c>
      <c r="AP433" s="4">
        <v>43155.0</v>
      </c>
      <c r="AQ433" s="4">
        <v>14100.0</v>
      </c>
      <c r="AR433" s="4">
        <v>28200.0</v>
      </c>
      <c r="AS433" s="4">
        <v>14100.0</v>
      </c>
      <c r="AT433" s="4">
        <v>36.0</v>
      </c>
      <c r="AU433" s="4">
        <v>1015200.0</v>
      </c>
      <c r="AV433" s="4">
        <v>0.1</v>
      </c>
      <c r="AW433" s="4">
        <v>101520.0</v>
      </c>
      <c r="AX433" s="4">
        <v>913680.0</v>
      </c>
      <c r="AY433" s="4">
        <v>507600.0</v>
      </c>
      <c r="AZ433" s="4">
        <v>406080.0</v>
      </c>
    </row>
    <row r="434" ht="15.75" customHeight="1">
      <c r="A434" s="3" t="s">
        <v>1515</v>
      </c>
      <c r="B434" s="5">
        <v>43159.0</v>
      </c>
      <c r="C434" s="6">
        <f t="shared" si="1"/>
        <v>2018</v>
      </c>
      <c r="D434" s="7" t="s">
        <v>1289</v>
      </c>
      <c r="E434" s="7" t="s">
        <v>1290</v>
      </c>
      <c r="F434" s="7" t="s">
        <v>289</v>
      </c>
      <c r="G434" s="5" t="s">
        <v>68</v>
      </c>
      <c r="H434" s="7" t="s">
        <v>80</v>
      </c>
      <c r="I434" s="7" t="s">
        <v>92</v>
      </c>
      <c r="J434" s="7" t="s">
        <v>717</v>
      </c>
      <c r="K434" s="7" t="s">
        <v>61</v>
      </c>
      <c r="L434" s="7" t="s">
        <v>37</v>
      </c>
      <c r="M434" s="7" t="s">
        <v>38</v>
      </c>
      <c r="N434" s="5">
        <v>43161.0</v>
      </c>
      <c r="O434" s="8">
        <v>936000.0</v>
      </c>
      <c r="P434" s="8">
        <v>2339850.0</v>
      </c>
      <c r="Q434" s="8">
        <f t="shared" si="2"/>
        <v>1403850</v>
      </c>
      <c r="R434" s="8">
        <v>6.0</v>
      </c>
      <c r="S434" s="8">
        <f t="shared" si="3"/>
        <v>14039100</v>
      </c>
      <c r="T434" s="9">
        <v>0.02</v>
      </c>
      <c r="U434" s="8">
        <f t="shared" si="4"/>
        <v>280782</v>
      </c>
      <c r="V434" s="8">
        <f t="shared" si="5"/>
        <v>13758318</v>
      </c>
      <c r="W434" s="10">
        <f t="shared" si="6"/>
        <v>5616000</v>
      </c>
      <c r="X434" s="10">
        <f t="shared" si="7"/>
        <v>8142318</v>
      </c>
      <c r="Y434" s="10"/>
      <c r="Z434" s="10"/>
      <c r="AA434" s="10"/>
      <c r="AB434" s="4" t="s">
        <v>1516</v>
      </c>
      <c r="AC434" s="4" t="s">
        <v>1515</v>
      </c>
      <c r="AD434" s="4">
        <v>43159.0</v>
      </c>
      <c r="AE434" s="4">
        <v>2018.0</v>
      </c>
      <c r="AF434" s="4" t="s">
        <v>1289</v>
      </c>
      <c r="AG434" s="4" t="s">
        <v>1290</v>
      </c>
      <c r="AH434" s="4" t="s">
        <v>289</v>
      </c>
      <c r="AI434" s="4" t="s">
        <v>68</v>
      </c>
      <c r="AJ434" s="4" t="s">
        <v>80</v>
      </c>
      <c r="AK434" s="4" t="s">
        <v>92</v>
      </c>
      <c r="AL434" s="4" t="s">
        <v>717</v>
      </c>
      <c r="AM434" s="4" t="s">
        <v>61</v>
      </c>
      <c r="AN434" s="4" t="s">
        <v>37</v>
      </c>
      <c r="AO434" s="4" t="s">
        <v>38</v>
      </c>
      <c r="AP434" s="4">
        <v>43161.0</v>
      </c>
      <c r="AQ434" s="4">
        <v>936000.0</v>
      </c>
      <c r="AR434" s="4">
        <v>2339850.0</v>
      </c>
      <c r="AS434" s="4">
        <v>1403850.0</v>
      </c>
      <c r="AT434" s="4">
        <v>6.0</v>
      </c>
      <c r="AU434" s="4">
        <v>1.40391E7</v>
      </c>
      <c r="AV434" s="4">
        <v>0.02</v>
      </c>
      <c r="AW434" s="4">
        <v>280782.0</v>
      </c>
      <c r="AX434" s="4">
        <v>1.3758318E7</v>
      </c>
      <c r="AY434" s="4">
        <v>5616000.0</v>
      </c>
      <c r="AZ434" s="4">
        <v>8142318.0</v>
      </c>
    </row>
    <row r="435" ht="15.75" customHeight="1">
      <c r="A435" s="3" t="s">
        <v>1517</v>
      </c>
      <c r="B435" s="5">
        <v>43159.0</v>
      </c>
      <c r="C435" s="6">
        <f t="shared" si="1"/>
        <v>2018</v>
      </c>
      <c r="D435" s="7" t="s">
        <v>1518</v>
      </c>
      <c r="E435" s="7" t="s">
        <v>1331</v>
      </c>
      <c r="F435" s="7" t="s">
        <v>50</v>
      </c>
      <c r="G435" s="5" t="s">
        <v>68</v>
      </c>
      <c r="H435" s="7" t="s">
        <v>360</v>
      </c>
      <c r="I435" s="7" t="s">
        <v>74</v>
      </c>
      <c r="J435" s="7" t="s">
        <v>502</v>
      </c>
      <c r="K435" s="7" t="s">
        <v>36</v>
      </c>
      <c r="L435" s="7" t="s">
        <v>37</v>
      </c>
      <c r="M435" s="7" t="s">
        <v>38</v>
      </c>
      <c r="N435" s="5">
        <v>43164.0</v>
      </c>
      <c r="O435" s="8">
        <v>66900.0</v>
      </c>
      <c r="P435" s="8">
        <v>163350.0</v>
      </c>
      <c r="Q435" s="8">
        <f t="shared" si="2"/>
        <v>96450</v>
      </c>
      <c r="R435" s="8">
        <v>8.0</v>
      </c>
      <c r="S435" s="8">
        <f t="shared" si="3"/>
        <v>1306800</v>
      </c>
      <c r="T435" s="9">
        <v>0.09</v>
      </c>
      <c r="U435" s="8">
        <f t="shared" si="4"/>
        <v>117612</v>
      </c>
      <c r="V435" s="8">
        <f t="shared" si="5"/>
        <v>1189188</v>
      </c>
      <c r="W435" s="10">
        <f t="shared" si="6"/>
        <v>535200</v>
      </c>
      <c r="X435" s="10">
        <f t="shared" si="7"/>
        <v>653988</v>
      </c>
      <c r="Y435" s="10"/>
      <c r="Z435" s="10"/>
      <c r="AA435" s="10"/>
      <c r="AB435" s="4" t="s">
        <v>1519</v>
      </c>
      <c r="AC435" s="4" t="s">
        <v>1517</v>
      </c>
      <c r="AD435" s="4">
        <v>43159.0</v>
      </c>
      <c r="AE435" s="4">
        <v>2018.0</v>
      </c>
      <c r="AF435" s="4" t="s">
        <v>1518</v>
      </c>
      <c r="AG435" s="4" t="s">
        <v>1331</v>
      </c>
      <c r="AH435" s="4" t="s">
        <v>50</v>
      </c>
      <c r="AI435" s="4" t="s">
        <v>68</v>
      </c>
      <c r="AJ435" s="4" t="s">
        <v>360</v>
      </c>
      <c r="AK435" s="4" t="s">
        <v>74</v>
      </c>
      <c r="AL435" s="4" t="s">
        <v>502</v>
      </c>
      <c r="AM435" s="4" t="s">
        <v>36</v>
      </c>
      <c r="AN435" s="4" t="s">
        <v>37</v>
      </c>
      <c r="AO435" s="4" t="s">
        <v>38</v>
      </c>
      <c r="AP435" s="4">
        <v>43164.0</v>
      </c>
      <c r="AQ435" s="4">
        <v>66900.0</v>
      </c>
      <c r="AR435" s="4">
        <v>163350.0</v>
      </c>
      <c r="AS435" s="4">
        <v>96450.0</v>
      </c>
      <c r="AT435" s="4">
        <v>8.0</v>
      </c>
      <c r="AU435" s="4">
        <v>1306800.0</v>
      </c>
      <c r="AV435" s="4">
        <v>0.09</v>
      </c>
      <c r="AW435" s="4">
        <v>117612.0</v>
      </c>
      <c r="AX435" s="4">
        <v>1189188.0</v>
      </c>
      <c r="AY435" s="4">
        <v>535200.0</v>
      </c>
      <c r="AZ435" s="4">
        <v>653988.0</v>
      </c>
    </row>
    <row r="436" ht="15.75" customHeight="1">
      <c r="A436" s="3" t="s">
        <v>1520</v>
      </c>
      <c r="B436" s="5">
        <v>43160.0</v>
      </c>
      <c r="C436" s="6">
        <f t="shared" si="1"/>
        <v>2018</v>
      </c>
      <c r="D436" s="7" t="s">
        <v>96</v>
      </c>
      <c r="E436" s="7" t="s">
        <v>97</v>
      </c>
      <c r="F436" s="7" t="s">
        <v>50</v>
      </c>
      <c r="G436" s="5" t="s">
        <v>51</v>
      </c>
      <c r="H436" s="7" t="s">
        <v>98</v>
      </c>
      <c r="I436" s="7" t="s">
        <v>34</v>
      </c>
      <c r="J436" s="7" t="s">
        <v>567</v>
      </c>
      <c r="K436" s="7" t="s">
        <v>36</v>
      </c>
      <c r="L436" s="7" t="s">
        <v>45</v>
      </c>
      <c r="M436" s="7" t="s">
        <v>38</v>
      </c>
      <c r="N436" s="5">
        <v>43162.0</v>
      </c>
      <c r="O436" s="8">
        <v>13950.0</v>
      </c>
      <c r="P436" s="8">
        <v>22200.0</v>
      </c>
      <c r="Q436" s="8">
        <f t="shared" si="2"/>
        <v>8250</v>
      </c>
      <c r="R436" s="8">
        <v>28.0</v>
      </c>
      <c r="S436" s="8">
        <f t="shared" si="3"/>
        <v>621600</v>
      </c>
      <c r="T436" s="9">
        <v>0.04</v>
      </c>
      <c r="U436" s="8">
        <f t="shared" si="4"/>
        <v>24864</v>
      </c>
      <c r="V436" s="8">
        <f t="shared" si="5"/>
        <v>596736</v>
      </c>
      <c r="W436" s="10">
        <f t="shared" si="6"/>
        <v>390600</v>
      </c>
      <c r="X436" s="10">
        <f t="shared" si="7"/>
        <v>206136</v>
      </c>
      <c r="Y436" s="10"/>
      <c r="Z436" s="10"/>
      <c r="AA436" s="10"/>
      <c r="AB436" s="4" t="s">
        <v>1521</v>
      </c>
      <c r="AC436" s="4" t="s">
        <v>1520</v>
      </c>
      <c r="AD436" s="4">
        <v>43160.0</v>
      </c>
      <c r="AE436" s="4">
        <v>2018.0</v>
      </c>
      <c r="AF436" s="4" t="s">
        <v>96</v>
      </c>
      <c r="AG436" s="4" t="s">
        <v>97</v>
      </c>
      <c r="AH436" s="4" t="s">
        <v>50</v>
      </c>
      <c r="AI436" s="4" t="s">
        <v>51</v>
      </c>
      <c r="AJ436" s="4" t="s">
        <v>98</v>
      </c>
      <c r="AK436" s="4" t="s">
        <v>34</v>
      </c>
      <c r="AL436" s="4" t="s">
        <v>567</v>
      </c>
      <c r="AM436" s="4" t="s">
        <v>36</v>
      </c>
      <c r="AN436" s="4" t="s">
        <v>45</v>
      </c>
      <c r="AO436" s="4" t="s">
        <v>38</v>
      </c>
      <c r="AP436" s="4">
        <v>43162.0</v>
      </c>
      <c r="AQ436" s="4">
        <v>13950.0</v>
      </c>
      <c r="AR436" s="4">
        <v>22200.0</v>
      </c>
      <c r="AS436" s="4">
        <v>8250.0</v>
      </c>
      <c r="AT436" s="4">
        <v>28.0</v>
      </c>
      <c r="AU436" s="4">
        <v>621600.0</v>
      </c>
      <c r="AV436" s="4">
        <v>0.04</v>
      </c>
      <c r="AW436" s="4">
        <v>24864.0</v>
      </c>
      <c r="AX436" s="4">
        <v>596736.0</v>
      </c>
      <c r="AY436" s="4">
        <v>390600.0</v>
      </c>
      <c r="AZ436" s="4">
        <v>206136.0</v>
      </c>
    </row>
    <row r="437" ht="15.75" customHeight="1">
      <c r="A437" s="3" t="s">
        <v>1522</v>
      </c>
      <c r="B437" s="5">
        <v>43161.0</v>
      </c>
      <c r="C437" s="6">
        <f t="shared" si="1"/>
        <v>2018</v>
      </c>
      <c r="D437" s="7" t="s">
        <v>1424</v>
      </c>
      <c r="E437" s="7" t="s">
        <v>85</v>
      </c>
      <c r="F437" s="7" t="s">
        <v>50</v>
      </c>
      <c r="G437" s="5" t="s">
        <v>51</v>
      </c>
      <c r="H437" s="7" t="s">
        <v>80</v>
      </c>
      <c r="I437" s="7" t="s">
        <v>53</v>
      </c>
      <c r="J437" s="7" t="s">
        <v>462</v>
      </c>
      <c r="K437" s="7" t="s">
        <v>36</v>
      </c>
      <c r="L437" s="7" t="s">
        <v>45</v>
      </c>
      <c r="M437" s="7" t="s">
        <v>38</v>
      </c>
      <c r="N437" s="5">
        <v>43163.0</v>
      </c>
      <c r="O437" s="8">
        <v>19650.0</v>
      </c>
      <c r="P437" s="8">
        <v>42600.0</v>
      </c>
      <c r="Q437" s="8">
        <f t="shared" si="2"/>
        <v>22950</v>
      </c>
      <c r="R437" s="8">
        <v>12.0</v>
      </c>
      <c r="S437" s="8">
        <f t="shared" si="3"/>
        <v>511200</v>
      </c>
      <c r="T437" s="9">
        <v>0.1</v>
      </c>
      <c r="U437" s="8">
        <f t="shared" si="4"/>
        <v>51120</v>
      </c>
      <c r="V437" s="8">
        <f t="shared" si="5"/>
        <v>460080</v>
      </c>
      <c r="W437" s="10">
        <f t="shared" si="6"/>
        <v>235800</v>
      </c>
      <c r="X437" s="10">
        <f t="shared" si="7"/>
        <v>224280</v>
      </c>
      <c r="Y437" s="10"/>
      <c r="Z437" s="10"/>
      <c r="AA437" s="10"/>
      <c r="AB437" s="4" t="s">
        <v>1523</v>
      </c>
      <c r="AC437" s="4" t="s">
        <v>1522</v>
      </c>
      <c r="AD437" s="4">
        <v>43161.0</v>
      </c>
      <c r="AE437" s="4">
        <v>2018.0</v>
      </c>
      <c r="AF437" s="4" t="s">
        <v>1424</v>
      </c>
      <c r="AG437" s="4" t="s">
        <v>85</v>
      </c>
      <c r="AH437" s="4" t="s">
        <v>50</v>
      </c>
      <c r="AI437" s="4" t="s">
        <v>51</v>
      </c>
      <c r="AJ437" s="4" t="s">
        <v>80</v>
      </c>
      <c r="AK437" s="4" t="s">
        <v>53</v>
      </c>
      <c r="AL437" s="4" t="s">
        <v>462</v>
      </c>
      <c r="AM437" s="4" t="s">
        <v>36</v>
      </c>
      <c r="AN437" s="4" t="s">
        <v>45</v>
      </c>
      <c r="AO437" s="4" t="s">
        <v>38</v>
      </c>
      <c r="AP437" s="4">
        <v>43163.0</v>
      </c>
      <c r="AQ437" s="4">
        <v>19650.0</v>
      </c>
      <c r="AR437" s="4">
        <v>42600.0</v>
      </c>
      <c r="AS437" s="4">
        <v>22950.0</v>
      </c>
      <c r="AT437" s="4">
        <v>12.0</v>
      </c>
      <c r="AU437" s="4">
        <v>511200.0</v>
      </c>
      <c r="AV437" s="4">
        <v>0.1</v>
      </c>
      <c r="AW437" s="4">
        <v>51120.0</v>
      </c>
      <c r="AX437" s="4">
        <v>460080.0</v>
      </c>
      <c r="AY437" s="4">
        <v>235800.0</v>
      </c>
      <c r="AZ437" s="4">
        <v>224280.0</v>
      </c>
    </row>
    <row r="438" ht="15.75" customHeight="1">
      <c r="A438" s="3" t="s">
        <v>1524</v>
      </c>
      <c r="B438" s="5">
        <v>43162.0</v>
      </c>
      <c r="C438" s="6">
        <f t="shared" si="1"/>
        <v>2018</v>
      </c>
      <c r="D438" s="7" t="s">
        <v>1490</v>
      </c>
      <c r="E438" s="7" t="s">
        <v>276</v>
      </c>
      <c r="F438" s="7" t="s">
        <v>50</v>
      </c>
      <c r="G438" s="5" t="s">
        <v>51</v>
      </c>
      <c r="H438" s="7" t="s">
        <v>110</v>
      </c>
      <c r="I438" s="7" t="s">
        <v>104</v>
      </c>
      <c r="J438" s="7" t="s">
        <v>571</v>
      </c>
      <c r="K438" s="7" t="s">
        <v>36</v>
      </c>
      <c r="L438" s="7" t="s">
        <v>37</v>
      </c>
      <c r="M438" s="7" t="s">
        <v>55</v>
      </c>
      <c r="N438" s="5">
        <v>43164.0</v>
      </c>
      <c r="O438" s="8">
        <v>1015950.0000000001</v>
      </c>
      <c r="P438" s="8">
        <v>2478000.0</v>
      </c>
      <c r="Q438" s="8">
        <f t="shared" si="2"/>
        <v>1462050</v>
      </c>
      <c r="R438" s="8">
        <v>46.0</v>
      </c>
      <c r="S438" s="8">
        <f t="shared" si="3"/>
        <v>113988000</v>
      </c>
      <c r="T438" s="9">
        <v>0.02</v>
      </c>
      <c r="U438" s="8">
        <f t="shared" si="4"/>
        <v>2279760</v>
      </c>
      <c r="V438" s="8">
        <f t="shared" si="5"/>
        <v>111708240</v>
      </c>
      <c r="W438" s="10">
        <f t="shared" si="6"/>
        <v>46733700</v>
      </c>
      <c r="X438" s="10">
        <f t="shared" si="7"/>
        <v>64974540</v>
      </c>
      <c r="Y438" s="10"/>
      <c r="Z438" s="10"/>
      <c r="AA438" s="10"/>
      <c r="AB438" s="4" t="s">
        <v>1525</v>
      </c>
      <c r="AC438" s="4" t="s">
        <v>1524</v>
      </c>
      <c r="AD438" s="4">
        <v>43162.0</v>
      </c>
      <c r="AE438" s="4">
        <v>2018.0</v>
      </c>
      <c r="AF438" s="4" t="s">
        <v>1490</v>
      </c>
      <c r="AG438" s="4" t="s">
        <v>276</v>
      </c>
      <c r="AH438" s="4" t="s">
        <v>50</v>
      </c>
      <c r="AI438" s="4" t="s">
        <v>51</v>
      </c>
      <c r="AJ438" s="4" t="s">
        <v>110</v>
      </c>
      <c r="AK438" s="4" t="s">
        <v>104</v>
      </c>
      <c r="AL438" s="4" t="s">
        <v>571</v>
      </c>
      <c r="AM438" s="4" t="s">
        <v>36</v>
      </c>
      <c r="AN438" s="4" t="s">
        <v>37</v>
      </c>
      <c r="AO438" s="4" t="s">
        <v>55</v>
      </c>
      <c r="AP438" s="4">
        <v>43164.0</v>
      </c>
      <c r="AQ438" s="4">
        <v>1015950.0</v>
      </c>
      <c r="AR438" s="4">
        <v>2478000.0</v>
      </c>
      <c r="AS438" s="4">
        <v>1462050.0</v>
      </c>
      <c r="AT438" s="4">
        <v>46.0</v>
      </c>
      <c r="AU438" s="4">
        <v>1.13988E8</v>
      </c>
      <c r="AV438" s="4">
        <v>0.02</v>
      </c>
      <c r="AW438" s="4">
        <v>2279760.0</v>
      </c>
      <c r="AX438" s="4">
        <v>1.1170824E8</v>
      </c>
      <c r="AY438" s="4">
        <v>4.67337E7</v>
      </c>
      <c r="AZ438" s="4">
        <v>6.497454E7</v>
      </c>
    </row>
    <row r="439" ht="15.75" customHeight="1">
      <c r="A439" s="3" t="s">
        <v>1526</v>
      </c>
      <c r="B439" s="5">
        <v>43164.0</v>
      </c>
      <c r="C439" s="6">
        <f t="shared" si="1"/>
        <v>2018</v>
      </c>
      <c r="D439" s="7" t="s">
        <v>546</v>
      </c>
      <c r="E439" s="7" t="s">
        <v>228</v>
      </c>
      <c r="F439" s="7" t="s">
        <v>50</v>
      </c>
      <c r="G439" s="5" t="s">
        <v>32</v>
      </c>
      <c r="H439" s="7" t="s">
        <v>140</v>
      </c>
      <c r="I439" s="7" t="s">
        <v>104</v>
      </c>
      <c r="J439" s="7" t="s">
        <v>195</v>
      </c>
      <c r="K439" s="7" t="s">
        <v>61</v>
      </c>
      <c r="L439" s="7" t="s">
        <v>37</v>
      </c>
      <c r="M439" s="7" t="s">
        <v>38</v>
      </c>
      <c r="N439" s="5">
        <v>43166.0</v>
      </c>
      <c r="O439" s="8">
        <v>480300.00000000006</v>
      </c>
      <c r="P439" s="8">
        <v>2287200.0</v>
      </c>
      <c r="Q439" s="8">
        <f t="shared" si="2"/>
        <v>1806900</v>
      </c>
      <c r="R439" s="8">
        <v>29.0</v>
      </c>
      <c r="S439" s="8">
        <f t="shared" si="3"/>
        <v>66328800</v>
      </c>
      <c r="T439" s="9">
        <v>0.09</v>
      </c>
      <c r="U439" s="8">
        <f t="shared" si="4"/>
        <v>5969592</v>
      </c>
      <c r="V439" s="8">
        <f t="shared" si="5"/>
        <v>60359208</v>
      </c>
      <c r="W439" s="10">
        <f t="shared" si="6"/>
        <v>13928700</v>
      </c>
      <c r="X439" s="10">
        <f t="shared" si="7"/>
        <v>46430508</v>
      </c>
      <c r="Y439" s="10"/>
      <c r="Z439" s="10"/>
      <c r="AA439" s="10"/>
      <c r="AB439" s="4" t="s">
        <v>1527</v>
      </c>
      <c r="AC439" s="4" t="s">
        <v>1526</v>
      </c>
      <c r="AD439" s="4">
        <v>43164.0</v>
      </c>
      <c r="AE439" s="4">
        <v>2018.0</v>
      </c>
      <c r="AF439" s="4" t="s">
        <v>546</v>
      </c>
      <c r="AG439" s="4" t="s">
        <v>228</v>
      </c>
      <c r="AH439" s="4" t="s">
        <v>50</v>
      </c>
      <c r="AI439" s="4" t="s">
        <v>32</v>
      </c>
      <c r="AJ439" s="4" t="s">
        <v>140</v>
      </c>
      <c r="AK439" s="4" t="s">
        <v>104</v>
      </c>
      <c r="AL439" s="4" t="s">
        <v>195</v>
      </c>
      <c r="AM439" s="4" t="s">
        <v>61</v>
      </c>
      <c r="AN439" s="4" t="s">
        <v>37</v>
      </c>
      <c r="AO439" s="4" t="s">
        <v>38</v>
      </c>
      <c r="AP439" s="4">
        <v>43166.0</v>
      </c>
      <c r="AQ439" s="4">
        <v>480300.0</v>
      </c>
      <c r="AR439" s="4">
        <v>2287200.0</v>
      </c>
      <c r="AS439" s="4">
        <v>1806900.0</v>
      </c>
      <c r="AT439" s="4">
        <v>29.0</v>
      </c>
      <c r="AU439" s="4">
        <v>6.63288E7</v>
      </c>
      <c r="AV439" s="4">
        <v>0.09</v>
      </c>
      <c r="AW439" s="4">
        <v>5969592.0</v>
      </c>
      <c r="AX439" s="4">
        <v>6.0359208E7</v>
      </c>
      <c r="AY439" s="4">
        <v>1.39287E7</v>
      </c>
      <c r="AZ439" s="4">
        <v>4.6430508E7</v>
      </c>
    </row>
    <row r="440" ht="15.75" customHeight="1">
      <c r="A440" s="3" t="s">
        <v>1528</v>
      </c>
      <c r="B440" s="5">
        <v>43165.0</v>
      </c>
      <c r="C440" s="6">
        <f t="shared" si="1"/>
        <v>2018</v>
      </c>
      <c r="D440" s="7" t="s">
        <v>1529</v>
      </c>
      <c r="E440" s="7" t="s">
        <v>1530</v>
      </c>
      <c r="F440" s="7" t="s">
        <v>50</v>
      </c>
      <c r="G440" s="5" t="s">
        <v>32</v>
      </c>
      <c r="H440" s="7" t="s">
        <v>52</v>
      </c>
      <c r="I440" s="7" t="s">
        <v>34</v>
      </c>
      <c r="J440" s="7" t="s">
        <v>254</v>
      </c>
      <c r="K440" s="7" t="s">
        <v>36</v>
      </c>
      <c r="L440" s="7" t="s">
        <v>37</v>
      </c>
      <c r="M440" s="7" t="s">
        <v>38</v>
      </c>
      <c r="N440" s="5">
        <v>43165.0</v>
      </c>
      <c r="O440" s="8">
        <v>208200.0</v>
      </c>
      <c r="P440" s="8">
        <v>335700.0</v>
      </c>
      <c r="Q440" s="8">
        <f t="shared" si="2"/>
        <v>127500</v>
      </c>
      <c r="R440" s="8">
        <v>10.0</v>
      </c>
      <c r="S440" s="8">
        <f t="shared" si="3"/>
        <v>3357000</v>
      </c>
      <c r="T440" s="9">
        <v>0.01</v>
      </c>
      <c r="U440" s="8">
        <f t="shared" si="4"/>
        <v>33570</v>
      </c>
      <c r="V440" s="8">
        <f t="shared" si="5"/>
        <v>3323430</v>
      </c>
      <c r="W440" s="10">
        <f t="shared" si="6"/>
        <v>2082000</v>
      </c>
      <c r="X440" s="10">
        <f t="shared" si="7"/>
        <v>1241430</v>
      </c>
      <c r="Y440" s="10"/>
      <c r="Z440" s="10"/>
      <c r="AA440" s="10"/>
      <c r="AB440" s="4" t="s">
        <v>1531</v>
      </c>
      <c r="AC440" s="4" t="s">
        <v>1528</v>
      </c>
      <c r="AD440" s="4">
        <v>43165.0</v>
      </c>
      <c r="AE440" s="4">
        <v>2018.0</v>
      </c>
      <c r="AF440" s="4" t="s">
        <v>1529</v>
      </c>
      <c r="AG440" s="4" t="s">
        <v>1530</v>
      </c>
      <c r="AH440" s="4" t="s">
        <v>50</v>
      </c>
      <c r="AI440" s="4" t="s">
        <v>32</v>
      </c>
      <c r="AJ440" s="4" t="s">
        <v>52</v>
      </c>
      <c r="AK440" s="4" t="s">
        <v>34</v>
      </c>
      <c r="AL440" s="4" t="s">
        <v>254</v>
      </c>
      <c r="AM440" s="4" t="s">
        <v>36</v>
      </c>
      <c r="AN440" s="4" t="s">
        <v>37</v>
      </c>
      <c r="AO440" s="4" t="s">
        <v>38</v>
      </c>
      <c r="AP440" s="4">
        <v>43165.0</v>
      </c>
      <c r="AQ440" s="4">
        <v>208200.0</v>
      </c>
      <c r="AR440" s="4">
        <v>335700.0</v>
      </c>
      <c r="AS440" s="4">
        <v>127500.0</v>
      </c>
      <c r="AT440" s="4">
        <v>10.0</v>
      </c>
      <c r="AU440" s="4">
        <v>3357000.0</v>
      </c>
      <c r="AV440" s="4">
        <v>0.01</v>
      </c>
      <c r="AW440" s="4">
        <v>33570.0</v>
      </c>
      <c r="AX440" s="4">
        <v>3323430.0</v>
      </c>
      <c r="AY440" s="4">
        <v>2082000.0</v>
      </c>
      <c r="AZ440" s="4">
        <v>1241430.0</v>
      </c>
    </row>
    <row r="441" ht="15.75" customHeight="1">
      <c r="A441" s="3" t="s">
        <v>1532</v>
      </c>
      <c r="B441" s="5">
        <v>43165.0</v>
      </c>
      <c r="C441" s="6">
        <f t="shared" si="1"/>
        <v>2018</v>
      </c>
      <c r="D441" s="7" t="s">
        <v>858</v>
      </c>
      <c r="E441" s="7" t="s">
        <v>559</v>
      </c>
      <c r="F441" s="7" t="s">
        <v>50</v>
      </c>
      <c r="G441" s="5" t="s">
        <v>68</v>
      </c>
      <c r="H441" s="7" t="s">
        <v>98</v>
      </c>
      <c r="I441" s="7" t="s">
        <v>53</v>
      </c>
      <c r="J441" s="7" t="s">
        <v>462</v>
      </c>
      <c r="K441" s="7" t="s">
        <v>36</v>
      </c>
      <c r="L441" s="7" t="s">
        <v>45</v>
      </c>
      <c r="M441" s="7" t="s">
        <v>38</v>
      </c>
      <c r="N441" s="5">
        <v>43167.0</v>
      </c>
      <c r="O441" s="8">
        <v>19650.0</v>
      </c>
      <c r="P441" s="8">
        <v>42600.0</v>
      </c>
      <c r="Q441" s="8">
        <f t="shared" si="2"/>
        <v>22950</v>
      </c>
      <c r="R441" s="8">
        <v>39.0</v>
      </c>
      <c r="S441" s="8">
        <f t="shared" si="3"/>
        <v>1661400</v>
      </c>
      <c r="T441" s="9">
        <v>0.05</v>
      </c>
      <c r="U441" s="8">
        <f t="shared" si="4"/>
        <v>83070</v>
      </c>
      <c r="V441" s="8">
        <f t="shared" si="5"/>
        <v>1578330</v>
      </c>
      <c r="W441" s="10">
        <f t="shared" si="6"/>
        <v>766350</v>
      </c>
      <c r="X441" s="10">
        <f t="shared" si="7"/>
        <v>811980</v>
      </c>
      <c r="Y441" s="10"/>
      <c r="Z441" s="10"/>
      <c r="AA441" s="10"/>
      <c r="AB441" s="4" t="s">
        <v>1533</v>
      </c>
      <c r="AC441" s="4" t="s">
        <v>1532</v>
      </c>
      <c r="AD441" s="4">
        <v>43165.0</v>
      </c>
      <c r="AE441" s="4">
        <v>2018.0</v>
      </c>
      <c r="AF441" s="4" t="s">
        <v>858</v>
      </c>
      <c r="AG441" s="4" t="s">
        <v>559</v>
      </c>
      <c r="AH441" s="4" t="s">
        <v>50</v>
      </c>
      <c r="AI441" s="4" t="s">
        <v>68</v>
      </c>
      <c r="AJ441" s="4" t="s">
        <v>98</v>
      </c>
      <c r="AK441" s="4" t="s">
        <v>53</v>
      </c>
      <c r="AL441" s="4" t="s">
        <v>462</v>
      </c>
      <c r="AM441" s="4" t="s">
        <v>36</v>
      </c>
      <c r="AN441" s="4" t="s">
        <v>45</v>
      </c>
      <c r="AO441" s="4" t="s">
        <v>38</v>
      </c>
      <c r="AP441" s="4">
        <v>43167.0</v>
      </c>
      <c r="AQ441" s="4">
        <v>19650.0</v>
      </c>
      <c r="AR441" s="4">
        <v>42600.0</v>
      </c>
      <c r="AS441" s="4">
        <v>22950.0</v>
      </c>
      <c r="AT441" s="4">
        <v>39.0</v>
      </c>
      <c r="AU441" s="4">
        <v>1661400.0</v>
      </c>
      <c r="AV441" s="4">
        <v>0.05</v>
      </c>
      <c r="AW441" s="4">
        <v>83070.0</v>
      </c>
      <c r="AX441" s="4">
        <v>1578330.0</v>
      </c>
      <c r="AY441" s="4">
        <v>766350.0</v>
      </c>
      <c r="AZ441" s="4">
        <v>811980.0</v>
      </c>
    </row>
    <row r="442" ht="15.75" customHeight="1">
      <c r="A442" s="3" t="s">
        <v>1534</v>
      </c>
      <c r="B442" s="5">
        <v>43166.0</v>
      </c>
      <c r="C442" s="6">
        <f t="shared" si="1"/>
        <v>2018</v>
      </c>
      <c r="D442" s="7" t="s">
        <v>1535</v>
      </c>
      <c r="E442" s="7" t="s">
        <v>1536</v>
      </c>
      <c r="F442" s="7" t="s">
        <v>50</v>
      </c>
      <c r="G442" s="5" t="s">
        <v>91</v>
      </c>
      <c r="H442" s="7" t="s">
        <v>189</v>
      </c>
      <c r="I442" s="7" t="s">
        <v>53</v>
      </c>
      <c r="J442" s="7" t="s">
        <v>327</v>
      </c>
      <c r="K442" s="7" t="s">
        <v>36</v>
      </c>
      <c r="L442" s="7" t="s">
        <v>37</v>
      </c>
      <c r="M442" s="7" t="s">
        <v>55</v>
      </c>
      <c r="N442" s="5">
        <v>43169.0</v>
      </c>
      <c r="O442" s="8">
        <v>133800.0</v>
      </c>
      <c r="P442" s="8">
        <v>446100.0</v>
      </c>
      <c r="Q442" s="8">
        <f t="shared" si="2"/>
        <v>312300</v>
      </c>
      <c r="R442" s="8">
        <v>34.0</v>
      </c>
      <c r="S442" s="8">
        <f t="shared" si="3"/>
        <v>15167400</v>
      </c>
      <c r="T442" s="9">
        <v>0.09</v>
      </c>
      <c r="U442" s="8">
        <f t="shared" si="4"/>
        <v>1365066</v>
      </c>
      <c r="V442" s="8">
        <f t="shared" si="5"/>
        <v>13802334</v>
      </c>
      <c r="W442" s="10">
        <f t="shared" si="6"/>
        <v>4549200</v>
      </c>
      <c r="X442" s="10">
        <f t="shared" si="7"/>
        <v>9253134</v>
      </c>
      <c r="Y442" s="10"/>
      <c r="Z442" s="10"/>
      <c r="AA442" s="10"/>
      <c r="AB442" s="4" t="s">
        <v>1537</v>
      </c>
      <c r="AC442" s="4" t="s">
        <v>1534</v>
      </c>
      <c r="AD442" s="4">
        <v>43166.0</v>
      </c>
      <c r="AE442" s="4">
        <v>2018.0</v>
      </c>
      <c r="AF442" s="4" t="s">
        <v>1535</v>
      </c>
      <c r="AG442" s="4" t="s">
        <v>1536</v>
      </c>
      <c r="AH442" s="4" t="s">
        <v>50</v>
      </c>
      <c r="AI442" s="4" t="s">
        <v>91</v>
      </c>
      <c r="AJ442" s="4" t="s">
        <v>189</v>
      </c>
      <c r="AK442" s="4" t="s">
        <v>53</v>
      </c>
      <c r="AL442" s="4" t="s">
        <v>327</v>
      </c>
      <c r="AM442" s="4" t="s">
        <v>36</v>
      </c>
      <c r="AN442" s="4" t="s">
        <v>37</v>
      </c>
      <c r="AO442" s="4" t="s">
        <v>55</v>
      </c>
      <c r="AP442" s="4">
        <v>43169.0</v>
      </c>
      <c r="AQ442" s="4">
        <v>133800.0</v>
      </c>
      <c r="AR442" s="4">
        <v>446100.0</v>
      </c>
      <c r="AS442" s="4">
        <v>312300.0</v>
      </c>
      <c r="AT442" s="4">
        <v>34.0</v>
      </c>
      <c r="AU442" s="4">
        <v>1.51674E7</v>
      </c>
      <c r="AV442" s="4">
        <v>0.09</v>
      </c>
      <c r="AW442" s="4">
        <v>1365066.0</v>
      </c>
      <c r="AX442" s="4">
        <v>1.3802334E7</v>
      </c>
      <c r="AY442" s="4">
        <v>4549200.0</v>
      </c>
      <c r="AZ442" s="4">
        <v>9253134.0</v>
      </c>
    </row>
    <row r="443" ht="15.75" customHeight="1">
      <c r="A443" s="3" t="s">
        <v>1538</v>
      </c>
      <c r="B443" s="5">
        <v>43166.0</v>
      </c>
      <c r="C443" s="6">
        <f t="shared" si="1"/>
        <v>2018</v>
      </c>
      <c r="D443" s="7" t="s">
        <v>392</v>
      </c>
      <c r="E443" s="7" t="s">
        <v>393</v>
      </c>
      <c r="F443" s="7" t="s">
        <v>31</v>
      </c>
      <c r="G443" s="5" t="s">
        <v>68</v>
      </c>
      <c r="H443" s="7" t="s">
        <v>43</v>
      </c>
      <c r="I443" s="7" t="s">
        <v>74</v>
      </c>
      <c r="J443" s="7" t="s">
        <v>484</v>
      </c>
      <c r="K443" s="7" t="s">
        <v>61</v>
      </c>
      <c r="L443" s="7" t="s">
        <v>62</v>
      </c>
      <c r="M443" s="7" t="s">
        <v>63</v>
      </c>
      <c r="N443" s="5">
        <v>43170.0</v>
      </c>
      <c r="O443" s="8">
        <v>4184850.0</v>
      </c>
      <c r="P443" s="8">
        <v>6749850.0</v>
      </c>
      <c r="Q443" s="8">
        <f t="shared" si="2"/>
        <v>2565000</v>
      </c>
      <c r="R443" s="8">
        <v>34.0</v>
      </c>
      <c r="S443" s="8">
        <f t="shared" si="3"/>
        <v>229494900</v>
      </c>
      <c r="T443" s="9">
        <v>0.02</v>
      </c>
      <c r="U443" s="8">
        <f t="shared" si="4"/>
        <v>4589898</v>
      </c>
      <c r="V443" s="8">
        <f t="shared" si="5"/>
        <v>224905002</v>
      </c>
      <c r="W443" s="10">
        <f t="shared" si="6"/>
        <v>142284900</v>
      </c>
      <c r="X443" s="10">
        <f t="shared" si="7"/>
        <v>82620102</v>
      </c>
      <c r="Y443" s="10"/>
      <c r="Z443" s="10"/>
      <c r="AA443" s="10"/>
      <c r="AB443" s="4" t="s">
        <v>1539</v>
      </c>
      <c r="AC443" s="4" t="s">
        <v>1538</v>
      </c>
      <c r="AD443" s="4">
        <v>43166.0</v>
      </c>
      <c r="AE443" s="4">
        <v>2018.0</v>
      </c>
      <c r="AF443" s="4" t="s">
        <v>392</v>
      </c>
      <c r="AG443" s="4" t="s">
        <v>393</v>
      </c>
      <c r="AH443" s="4" t="s">
        <v>31</v>
      </c>
      <c r="AI443" s="4" t="s">
        <v>68</v>
      </c>
      <c r="AJ443" s="4" t="s">
        <v>43</v>
      </c>
      <c r="AK443" s="4" t="s">
        <v>74</v>
      </c>
      <c r="AL443" s="4" t="s">
        <v>484</v>
      </c>
      <c r="AM443" s="4" t="s">
        <v>61</v>
      </c>
      <c r="AN443" s="4" t="s">
        <v>62</v>
      </c>
      <c r="AO443" s="4" t="s">
        <v>63</v>
      </c>
      <c r="AP443" s="4">
        <v>43170.0</v>
      </c>
      <c r="AQ443" s="4">
        <v>4184850.0</v>
      </c>
      <c r="AR443" s="4">
        <v>6749850.0</v>
      </c>
      <c r="AS443" s="4">
        <v>2565000.0</v>
      </c>
      <c r="AT443" s="4">
        <v>34.0</v>
      </c>
      <c r="AU443" s="4">
        <v>2.294949E8</v>
      </c>
      <c r="AV443" s="4">
        <v>0.02</v>
      </c>
      <c r="AW443" s="4">
        <v>4589898.0</v>
      </c>
      <c r="AX443" s="4">
        <v>2.24905002E8</v>
      </c>
      <c r="AY443" s="4">
        <v>1.422849E8</v>
      </c>
      <c r="AZ443" s="4">
        <v>8.2620102E7</v>
      </c>
    </row>
    <row r="444" ht="15.75" customHeight="1">
      <c r="A444" s="3" t="s">
        <v>1540</v>
      </c>
      <c r="B444" s="5">
        <v>43169.0</v>
      </c>
      <c r="C444" s="6">
        <f t="shared" si="1"/>
        <v>2018</v>
      </c>
      <c r="D444" s="7" t="s">
        <v>1541</v>
      </c>
      <c r="E444" s="7" t="s">
        <v>139</v>
      </c>
      <c r="F444" s="7" t="s">
        <v>50</v>
      </c>
      <c r="G444" s="5" t="s">
        <v>51</v>
      </c>
      <c r="H444" s="7" t="s">
        <v>140</v>
      </c>
      <c r="I444" s="7" t="s">
        <v>34</v>
      </c>
      <c r="J444" s="7" t="s">
        <v>204</v>
      </c>
      <c r="K444" s="7" t="s">
        <v>61</v>
      </c>
      <c r="L444" s="7" t="s">
        <v>37</v>
      </c>
      <c r="M444" s="7" t="s">
        <v>38</v>
      </c>
      <c r="N444" s="5">
        <v>43171.0</v>
      </c>
      <c r="O444" s="8">
        <v>124650.00000000001</v>
      </c>
      <c r="P444" s="8">
        <v>239700.0</v>
      </c>
      <c r="Q444" s="8">
        <f t="shared" si="2"/>
        <v>115050</v>
      </c>
      <c r="R444" s="8">
        <v>5.0</v>
      </c>
      <c r="S444" s="8">
        <f t="shared" si="3"/>
        <v>1198500</v>
      </c>
      <c r="T444" s="9">
        <v>0.08</v>
      </c>
      <c r="U444" s="8">
        <f t="shared" si="4"/>
        <v>95880</v>
      </c>
      <c r="V444" s="8">
        <f t="shared" si="5"/>
        <v>1102620</v>
      </c>
      <c r="W444" s="10">
        <f t="shared" si="6"/>
        <v>623250</v>
      </c>
      <c r="X444" s="10">
        <f t="shared" si="7"/>
        <v>479370</v>
      </c>
      <c r="Y444" s="10"/>
      <c r="Z444" s="10"/>
      <c r="AA444" s="10"/>
      <c r="AB444" s="4" t="s">
        <v>1542</v>
      </c>
      <c r="AC444" s="4" t="s">
        <v>1540</v>
      </c>
      <c r="AD444" s="4">
        <v>43169.0</v>
      </c>
      <c r="AE444" s="4">
        <v>2018.0</v>
      </c>
      <c r="AF444" s="4" t="s">
        <v>1541</v>
      </c>
      <c r="AG444" s="4" t="s">
        <v>139</v>
      </c>
      <c r="AH444" s="4" t="s">
        <v>50</v>
      </c>
      <c r="AI444" s="4" t="s">
        <v>51</v>
      </c>
      <c r="AJ444" s="4" t="s">
        <v>140</v>
      </c>
      <c r="AK444" s="4" t="s">
        <v>34</v>
      </c>
      <c r="AL444" s="4" t="s">
        <v>204</v>
      </c>
      <c r="AM444" s="4" t="s">
        <v>61</v>
      </c>
      <c r="AN444" s="4" t="s">
        <v>37</v>
      </c>
      <c r="AO444" s="4" t="s">
        <v>38</v>
      </c>
      <c r="AP444" s="4">
        <v>43171.0</v>
      </c>
      <c r="AQ444" s="4">
        <v>124650.0</v>
      </c>
      <c r="AR444" s="4">
        <v>239700.0</v>
      </c>
      <c r="AS444" s="4">
        <v>115050.0</v>
      </c>
      <c r="AT444" s="4">
        <v>5.0</v>
      </c>
      <c r="AU444" s="4">
        <v>1198500.0</v>
      </c>
      <c r="AV444" s="4">
        <v>0.08</v>
      </c>
      <c r="AW444" s="4">
        <v>95880.0</v>
      </c>
      <c r="AX444" s="4">
        <v>1102620.0</v>
      </c>
      <c r="AY444" s="4">
        <v>623250.0</v>
      </c>
      <c r="AZ444" s="4">
        <v>479370.0</v>
      </c>
    </row>
    <row r="445" ht="15.75" customHeight="1">
      <c r="A445" s="3" t="s">
        <v>1543</v>
      </c>
      <c r="B445" s="5">
        <v>43173.0</v>
      </c>
      <c r="C445" s="6">
        <f t="shared" si="1"/>
        <v>2018</v>
      </c>
      <c r="D445" s="7" t="s">
        <v>1544</v>
      </c>
      <c r="E445" s="7" t="s">
        <v>757</v>
      </c>
      <c r="F445" s="7" t="s">
        <v>50</v>
      </c>
      <c r="G445" s="5" t="s">
        <v>32</v>
      </c>
      <c r="H445" s="7" t="s">
        <v>110</v>
      </c>
      <c r="I445" s="7" t="s">
        <v>34</v>
      </c>
      <c r="J445" s="7" t="s">
        <v>627</v>
      </c>
      <c r="K445" s="7" t="s">
        <v>36</v>
      </c>
      <c r="L445" s="7" t="s">
        <v>45</v>
      </c>
      <c r="M445" s="7" t="s">
        <v>55</v>
      </c>
      <c r="N445" s="5">
        <v>43175.0</v>
      </c>
      <c r="O445" s="8">
        <v>49800.0</v>
      </c>
      <c r="P445" s="8">
        <v>77700.0</v>
      </c>
      <c r="Q445" s="8">
        <f t="shared" si="2"/>
        <v>27900</v>
      </c>
      <c r="R445" s="8">
        <v>9.0</v>
      </c>
      <c r="S445" s="8">
        <f t="shared" si="3"/>
        <v>699300</v>
      </c>
      <c r="T445" s="9">
        <v>0.09</v>
      </c>
      <c r="U445" s="8">
        <f t="shared" si="4"/>
        <v>62937</v>
      </c>
      <c r="V445" s="8">
        <f t="shared" si="5"/>
        <v>636363</v>
      </c>
      <c r="W445" s="10">
        <f t="shared" si="6"/>
        <v>448200</v>
      </c>
      <c r="X445" s="10">
        <f t="shared" si="7"/>
        <v>188163</v>
      </c>
      <c r="Y445" s="10"/>
      <c r="Z445" s="10"/>
      <c r="AA445" s="10"/>
      <c r="AB445" s="4" t="s">
        <v>1545</v>
      </c>
      <c r="AC445" s="4" t="s">
        <v>1543</v>
      </c>
      <c r="AD445" s="4">
        <v>43173.0</v>
      </c>
      <c r="AE445" s="4">
        <v>2018.0</v>
      </c>
      <c r="AF445" s="4" t="s">
        <v>1544</v>
      </c>
      <c r="AG445" s="4" t="s">
        <v>757</v>
      </c>
      <c r="AH445" s="4" t="s">
        <v>50</v>
      </c>
      <c r="AI445" s="4" t="s">
        <v>32</v>
      </c>
      <c r="AJ445" s="4" t="s">
        <v>110</v>
      </c>
      <c r="AK445" s="4" t="s">
        <v>34</v>
      </c>
      <c r="AL445" s="4" t="s">
        <v>627</v>
      </c>
      <c r="AM445" s="4" t="s">
        <v>36</v>
      </c>
      <c r="AN445" s="4" t="s">
        <v>45</v>
      </c>
      <c r="AO445" s="4" t="s">
        <v>55</v>
      </c>
      <c r="AP445" s="4">
        <v>43175.0</v>
      </c>
      <c r="AQ445" s="4">
        <v>49800.0</v>
      </c>
      <c r="AR445" s="4">
        <v>77700.0</v>
      </c>
      <c r="AS445" s="4">
        <v>27900.0</v>
      </c>
      <c r="AT445" s="4">
        <v>9.0</v>
      </c>
      <c r="AU445" s="4">
        <v>699300.0</v>
      </c>
      <c r="AV445" s="4">
        <v>0.09</v>
      </c>
      <c r="AW445" s="4">
        <v>62937.0</v>
      </c>
      <c r="AX445" s="4">
        <v>636363.0</v>
      </c>
      <c r="AY445" s="4">
        <v>448200.0</v>
      </c>
      <c r="AZ445" s="4">
        <v>188163.0</v>
      </c>
    </row>
    <row r="446" ht="15.75" customHeight="1">
      <c r="A446" s="3" t="s">
        <v>1546</v>
      </c>
      <c r="B446" s="5">
        <v>43174.0</v>
      </c>
      <c r="C446" s="6">
        <f t="shared" si="1"/>
        <v>2018</v>
      </c>
      <c r="D446" s="7" t="s">
        <v>1146</v>
      </c>
      <c r="E446" s="7" t="s">
        <v>1147</v>
      </c>
      <c r="F446" s="7" t="s">
        <v>289</v>
      </c>
      <c r="G446" s="5" t="s">
        <v>51</v>
      </c>
      <c r="H446" s="7" t="s">
        <v>98</v>
      </c>
      <c r="I446" s="7" t="s">
        <v>74</v>
      </c>
      <c r="J446" s="7" t="s">
        <v>512</v>
      </c>
      <c r="K446" s="7" t="s">
        <v>36</v>
      </c>
      <c r="L446" s="7" t="s">
        <v>45</v>
      </c>
      <c r="M446" s="7" t="s">
        <v>55</v>
      </c>
      <c r="N446" s="5">
        <v>43178.0</v>
      </c>
      <c r="O446" s="8">
        <v>29250.0</v>
      </c>
      <c r="P446" s="8">
        <v>59700.0</v>
      </c>
      <c r="Q446" s="8">
        <f t="shared" si="2"/>
        <v>30450</v>
      </c>
      <c r="R446" s="8">
        <v>4.0</v>
      </c>
      <c r="S446" s="8">
        <f t="shared" si="3"/>
        <v>238800</v>
      </c>
      <c r="T446" s="9">
        <v>0.02</v>
      </c>
      <c r="U446" s="8">
        <f t="shared" si="4"/>
        <v>4776</v>
      </c>
      <c r="V446" s="8">
        <f t="shared" si="5"/>
        <v>234024</v>
      </c>
      <c r="W446" s="10">
        <f t="shared" si="6"/>
        <v>117000</v>
      </c>
      <c r="X446" s="10">
        <f t="shared" si="7"/>
        <v>117024</v>
      </c>
      <c r="Y446" s="10"/>
      <c r="Z446" s="10"/>
      <c r="AA446" s="10"/>
      <c r="AB446" s="4" t="s">
        <v>1547</v>
      </c>
      <c r="AC446" s="4" t="s">
        <v>1546</v>
      </c>
      <c r="AD446" s="4">
        <v>43174.0</v>
      </c>
      <c r="AE446" s="4">
        <v>2018.0</v>
      </c>
      <c r="AF446" s="4" t="s">
        <v>1146</v>
      </c>
      <c r="AG446" s="4" t="s">
        <v>1147</v>
      </c>
      <c r="AH446" s="4" t="s">
        <v>289</v>
      </c>
      <c r="AI446" s="4" t="s">
        <v>51</v>
      </c>
      <c r="AJ446" s="4" t="s">
        <v>98</v>
      </c>
      <c r="AK446" s="4" t="s">
        <v>74</v>
      </c>
      <c r="AL446" s="4" t="s">
        <v>512</v>
      </c>
      <c r="AM446" s="4" t="s">
        <v>36</v>
      </c>
      <c r="AN446" s="4" t="s">
        <v>45</v>
      </c>
      <c r="AO446" s="4" t="s">
        <v>55</v>
      </c>
      <c r="AP446" s="4">
        <v>43178.0</v>
      </c>
      <c r="AQ446" s="4">
        <v>29250.0</v>
      </c>
      <c r="AR446" s="4">
        <v>59700.0</v>
      </c>
      <c r="AS446" s="4">
        <v>30450.0</v>
      </c>
      <c r="AT446" s="4">
        <v>4.0</v>
      </c>
      <c r="AU446" s="4">
        <v>238800.0</v>
      </c>
      <c r="AV446" s="4">
        <v>0.02</v>
      </c>
      <c r="AW446" s="4">
        <v>4776.0</v>
      </c>
      <c r="AX446" s="4">
        <v>234024.0</v>
      </c>
      <c r="AY446" s="4">
        <v>117000.0</v>
      </c>
      <c r="AZ446" s="4">
        <v>117024.0</v>
      </c>
    </row>
    <row r="447" ht="15.75" customHeight="1">
      <c r="A447" s="3" t="s">
        <v>1548</v>
      </c>
      <c r="B447" s="5">
        <v>43174.0</v>
      </c>
      <c r="C447" s="6">
        <f t="shared" si="1"/>
        <v>2018</v>
      </c>
      <c r="D447" s="7" t="s">
        <v>508</v>
      </c>
      <c r="E447" s="7" t="s">
        <v>509</v>
      </c>
      <c r="F447" s="7" t="s">
        <v>31</v>
      </c>
      <c r="G447" s="5" t="s">
        <v>91</v>
      </c>
      <c r="H447" s="7" t="s">
        <v>33</v>
      </c>
      <c r="I447" s="7" t="s">
        <v>74</v>
      </c>
      <c r="J447" s="7" t="s">
        <v>753</v>
      </c>
      <c r="K447" s="7" t="s">
        <v>36</v>
      </c>
      <c r="L447" s="7" t="s">
        <v>127</v>
      </c>
      <c r="M447" s="7" t="s">
        <v>38</v>
      </c>
      <c r="N447" s="5">
        <v>43181.0</v>
      </c>
      <c r="O447" s="8">
        <v>252000.0</v>
      </c>
      <c r="P447" s="8">
        <v>614550.0</v>
      </c>
      <c r="Q447" s="8">
        <f t="shared" si="2"/>
        <v>362550</v>
      </c>
      <c r="R447" s="8">
        <v>47.0</v>
      </c>
      <c r="S447" s="8">
        <f t="shared" si="3"/>
        <v>28883850</v>
      </c>
      <c r="T447" s="9">
        <v>0.04</v>
      </c>
      <c r="U447" s="8">
        <f t="shared" si="4"/>
        <v>1155354</v>
      </c>
      <c r="V447" s="8">
        <f t="shared" si="5"/>
        <v>27728496</v>
      </c>
      <c r="W447" s="10">
        <f t="shared" si="6"/>
        <v>11844000</v>
      </c>
      <c r="X447" s="10">
        <f t="shared" si="7"/>
        <v>15884496</v>
      </c>
      <c r="Y447" s="10"/>
      <c r="Z447" s="10"/>
      <c r="AA447" s="10"/>
      <c r="AB447" s="4" t="s">
        <v>1549</v>
      </c>
      <c r="AC447" s="4" t="s">
        <v>1548</v>
      </c>
      <c r="AD447" s="4">
        <v>43174.0</v>
      </c>
      <c r="AE447" s="4">
        <v>2018.0</v>
      </c>
      <c r="AF447" s="4" t="s">
        <v>508</v>
      </c>
      <c r="AG447" s="4" t="s">
        <v>509</v>
      </c>
      <c r="AH447" s="4" t="s">
        <v>31</v>
      </c>
      <c r="AI447" s="4" t="s">
        <v>91</v>
      </c>
      <c r="AJ447" s="4" t="s">
        <v>33</v>
      </c>
      <c r="AK447" s="4" t="s">
        <v>74</v>
      </c>
      <c r="AL447" s="4" t="s">
        <v>753</v>
      </c>
      <c r="AM447" s="4" t="s">
        <v>36</v>
      </c>
      <c r="AN447" s="4" t="s">
        <v>127</v>
      </c>
      <c r="AO447" s="4" t="s">
        <v>38</v>
      </c>
      <c r="AP447" s="4">
        <v>43181.0</v>
      </c>
      <c r="AQ447" s="4">
        <v>252000.0</v>
      </c>
      <c r="AR447" s="4">
        <v>614550.0</v>
      </c>
      <c r="AS447" s="4">
        <v>362550.0</v>
      </c>
      <c r="AT447" s="4">
        <v>47.0</v>
      </c>
      <c r="AU447" s="4">
        <v>2.888385E7</v>
      </c>
      <c r="AV447" s="4">
        <v>0.04</v>
      </c>
      <c r="AW447" s="4">
        <v>1155354.0</v>
      </c>
      <c r="AX447" s="4">
        <v>2.7728496E7</v>
      </c>
      <c r="AY447" s="4">
        <v>1.1844E7</v>
      </c>
      <c r="AZ447" s="4">
        <v>1.5884496E7</v>
      </c>
    </row>
    <row r="448" ht="15.75" customHeight="1">
      <c r="A448" s="3" t="s">
        <v>1550</v>
      </c>
      <c r="B448" s="5">
        <v>43177.0</v>
      </c>
      <c r="C448" s="6">
        <f t="shared" si="1"/>
        <v>2018</v>
      </c>
      <c r="D448" s="7" t="s">
        <v>1551</v>
      </c>
      <c r="E448" s="7" t="s">
        <v>194</v>
      </c>
      <c r="F448" s="7" t="s">
        <v>31</v>
      </c>
      <c r="G448" s="5" t="s">
        <v>32</v>
      </c>
      <c r="H448" s="7" t="s">
        <v>33</v>
      </c>
      <c r="I448" s="7" t="s">
        <v>104</v>
      </c>
      <c r="J448" s="7" t="s">
        <v>677</v>
      </c>
      <c r="K448" s="7" t="s">
        <v>36</v>
      </c>
      <c r="L448" s="7" t="s">
        <v>37</v>
      </c>
      <c r="M448" s="7" t="s">
        <v>38</v>
      </c>
      <c r="N448" s="5">
        <v>43178.0</v>
      </c>
      <c r="O448" s="8">
        <v>224250.0</v>
      </c>
      <c r="P448" s="8">
        <v>521399.99999999994</v>
      </c>
      <c r="Q448" s="8">
        <f t="shared" si="2"/>
        <v>297150</v>
      </c>
      <c r="R448" s="8">
        <v>8.0</v>
      </c>
      <c r="S448" s="8">
        <f t="shared" si="3"/>
        <v>4171200</v>
      </c>
      <c r="T448" s="9">
        <v>0.07</v>
      </c>
      <c r="U448" s="8">
        <f t="shared" si="4"/>
        <v>291984</v>
      </c>
      <c r="V448" s="8">
        <f t="shared" si="5"/>
        <v>3879216</v>
      </c>
      <c r="W448" s="10">
        <f t="shared" si="6"/>
        <v>1794000</v>
      </c>
      <c r="X448" s="10">
        <f t="shared" si="7"/>
        <v>2085216</v>
      </c>
      <c r="Y448" s="10"/>
      <c r="Z448" s="10"/>
      <c r="AA448" s="10"/>
      <c r="AB448" s="4" t="s">
        <v>1552</v>
      </c>
      <c r="AC448" s="4" t="s">
        <v>1550</v>
      </c>
      <c r="AD448" s="4">
        <v>43177.0</v>
      </c>
      <c r="AE448" s="4">
        <v>2018.0</v>
      </c>
      <c r="AF448" s="4" t="s">
        <v>1551</v>
      </c>
      <c r="AG448" s="4" t="s">
        <v>194</v>
      </c>
      <c r="AH448" s="4" t="s">
        <v>31</v>
      </c>
      <c r="AI448" s="4" t="s">
        <v>32</v>
      </c>
      <c r="AJ448" s="4" t="s">
        <v>33</v>
      </c>
      <c r="AK448" s="4" t="s">
        <v>104</v>
      </c>
      <c r="AL448" s="4" t="s">
        <v>677</v>
      </c>
      <c r="AM448" s="4" t="s">
        <v>36</v>
      </c>
      <c r="AN448" s="4" t="s">
        <v>37</v>
      </c>
      <c r="AO448" s="4" t="s">
        <v>38</v>
      </c>
      <c r="AP448" s="4">
        <v>43178.0</v>
      </c>
      <c r="AQ448" s="4">
        <v>224250.0</v>
      </c>
      <c r="AR448" s="4">
        <v>521400.0</v>
      </c>
      <c r="AS448" s="4">
        <v>297150.0</v>
      </c>
      <c r="AT448" s="4">
        <v>8.0</v>
      </c>
      <c r="AU448" s="4">
        <v>4171200.0</v>
      </c>
      <c r="AV448" s="4">
        <v>0.07</v>
      </c>
      <c r="AW448" s="4">
        <v>291984.0</v>
      </c>
      <c r="AX448" s="4">
        <v>3879216.0</v>
      </c>
      <c r="AY448" s="4">
        <v>1794000.0</v>
      </c>
      <c r="AZ448" s="4">
        <v>2085216.0</v>
      </c>
    </row>
    <row r="449" ht="15.75" customHeight="1">
      <c r="A449" s="3" t="s">
        <v>1553</v>
      </c>
      <c r="B449" s="5">
        <v>43178.0</v>
      </c>
      <c r="C449" s="6">
        <f t="shared" si="1"/>
        <v>2018</v>
      </c>
      <c r="D449" s="7" t="s">
        <v>358</v>
      </c>
      <c r="E449" s="7" t="s">
        <v>359</v>
      </c>
      <c r="F449" s="7" t="s">
        <v>50</v>
      </c>
      <c r="G449" s="5" t="s">
        <v>51</v>
      </c>
      <c r="H449" s="7" t="s">
        <v>360</v>
      </c>
      <c r="I449" s="7" t="s">
        <v>104</v>
      </c>
      <c r="J449" s="7" t="s">
        <v>318</v>
      </c>
      <c r="K449" s="7" t="s">
        <v>36</v>
      </c>
      <c r="L449" s="7" t="s">
        <v>37</v>
      </c>
      <c r="M449" s="7" t="s">
        <v>55</v>
      </c>
      <c r="N449" s="5">
        <v>43179.0</v>
      </c>
      <c r="O449" s="8">
        <v>33750.0</v>
      </c>
      <c r="P449" s="8">
        <v>55350.0</v>
      </c>
      <c r="Q449" s="8">
        <f t="shared" si="2"/>
        <v>21600</v>
      </c>
      <c r="R449" s="8">
        <v>41.0</v>
      </c>
      <c r="S449" s="8">
        <f t="shared" si="3"/>
        <v>2269350</v>
      </c>
      <c r="T449" s="9">
        <v>0.08</v>
      </c>
      <c r="U449" s="8">
        <f t="shared" si="4"/>
        <v>181548</v>
      </c>
      <c r="V449" s="8">
        <f t="shared" si="5"/>
        <v>2087802</v>
      </c>
      <c r="W449" s="10">
        <f t="shared" si="6"/>
        <v>1383750</v>
      </c>
      <c r="X449" s="10">
        <f t="shared" si="7"/>
        <v>704052</v>
      </c>
      <c r="Y449" s="10"/>
      <c r="Z449" s="10"/>
      <c r="AA449" s="10"/>
      <c r="AB449" s="4" t="s">
        <v>1554</v>
      </c>
      <c r="AC449" s="4" t="s">
        <v>1553</v>
      </c>
      <c r="AD449" s="4">
        <v>43178.0</v>
      </c>
      <c r="AE449" s="4">
        <v>2018.0</v>
      </c>
      <c r="AF449" s="4" t="s">
        <v>358</v>
      </c>
      <c r="AG449" s="4" t="s">
        <v>359</v>
      </c>
      <c r="AH449" s="4" t="s">
        <v>50</v>
      </c>
      <c r="AI449" s="4" t="s">
        <v>51</v>
      </c>
      <c r="AJ449" s="4" t="s">
        <v>360</v>
      </c>
      <c r="AK449" s="4" t="s">
        <v>104</v>
      </c>
      <c r="AL449" s="4" t="s">
        <v>318</v>
      </c>
      <c r="AM449" s="4" t="s">
        <v>36</v>
      </c>
      <c r="AN449" s="4" t="s">
        <v>37</v>
      </c>
      <c r="AO449" s="4" t="s">
        <v>55</v>
      </c>
      <c r="AP449" s="4">
        <v>43179.0</v>
      </c>
      <c r="AQ449" s="4">
        <v>33750.0</v>
      </c>
      <c r="AR449" s="4">
        <v>55350.0</v>
      </c>
      <c r="AS449" s="4">
        <v>21600.0</v>
      </c>
      <c r="AT449" s="4">
        <v>41.0</v>
      </c>
      <c r="AU449" s="4">
        <v>2269350.0</v>
      </c>
      <c r="AV449" s="4">
        <v>0.08</v>
      </c>
      <c r="AW449" s="4">
        <v>181548.0</v>
      </c>
      <c r="AX449" s="4">
        <v>2087802.0</v>
      </c>
      <c r="AY449" s="4">
        <v>1383750.0</v>
      </c>
      <c r="AZ449" s="4">
        <v>704052.0</v>
      </c>
    </row>
    <row r="450" ht="15.75" customHeight="1">
      <c r="A450" s="3" t="s">
        <v>1555</v>
      </c>
      <c r="B450" s="5">
        <v>43179.0</v>
      </c>
      <c r="C450" s="6">
        <f t="shared" si="1"/>
        <v>2018</v>
      </c>
      <c r="D450" s="7" t="s">
        <v>1556</v>
      </c>
      <c r="E450" s="7" t="s">
        <v>985</v>
      </c>
      <c r="F450" s="7" t="s">
        <v>50</v>
      </c>
      <c r="G450" s="5" t="s">
        <v>68</v>
      </c>
      <c r="H450" s="7" t="s">
        <v>140</v>
      </c>
      <c r="I450" s="7" t="s">
        <v>92</v>
      </c>
      <c r="J450" s="7" t="s">
        <v>1278</v>
      </c>
      <c r="K450" s="7" t="s">
        <v>36</v>
      </c>
      <c r="L450" s="7" t="s">
        <v>37</v>
      </c>
      <c r="M450" s="7" t="s">
        <v>55</v>
      </c>
      <c r="N450" s="5">
        <v>43181.0</v>
      </c>
      <c r="O450" s="8">
        <v>27300.0</v>
      </c>
      <c r="P450" s="8">
        <v>42600.0</v>
      </c>
      <c r="Q450" s="8">
        <f t="shared" si="2"/>
        <v>15300</v>
      </c>
      <c r="R450" s="8">
        <v>21.0</v>
      </c>
      <c r="S450" s="8">
        <f t="shared" si="3"/>
        <v>894600</v>
      </c>
      <c r="T450" s="9">
        <v>0.01</v>
      </c>
      <c r="U450" s="8">
        <f t="shared" si="4"/>
        <v>8946</v>
      </c>
      <c r="V450" s="8">
        <f t="shared" si="5"/>
        <v>885654</v>
      </c>
      <c r="W450" s="10">
        <f t="shared" si="6"/>
        <v>573300</v>
      </c>
      <c r="X450" s="10">
        <f t="shared" si="7"/>
        <v>312354</v>
      </c>
      <c r="Y450" s="10"/>
      <c r="Z450" s="10"/>
      <c r="AA450" s="10"/>
      <c r="AB450" s="4" t="s">
        <v>1557</v>
      </c>
      <c r="AC450" s="4" t="s">
        <v>1555</v>
      </c>
      <c r="AD450" s="4">
        <v>43179.0</v>
      </c>
      <c r="AE450" s="4">
        <v>2018.0</v>
      </c>
      <c r="AF450" s="4" t="s">
        <v>1556</v>
      </c>
      <c r="AG450" s="4" t="s">
        <v>985</v>
      </c>
      <c r="AH450" s="4" t="s">
        <v>50</v>
      </c>
      <c r="AI450" s="4" t="s">
        <v>68</v>
      </c>
      <c r="AJ450" s="4" t="s">
        <v>140</v>
      </c>
      <c r="AK450" s="4" t="s">
        <v>92</v>
      </c>
      <c r="AL450" s="4" t="s">
        <v>1278</v>
      </c>
      <c r="AM450" s="4" t="s">
        <v>36</v>
      </c>
      <c r="AN450" s="4" t="s">
        <v>37</v>
      </c>
      <c r="AO450" s="4" t="s">
        <v>55</v>
      </c>
      <c r="AP450" s="4">
        <v>43181.0</v>
      </c>
      <c r="AQ450" s="4">
        <v>27300.0</v>
      </c>
      <c r="AR450" s="4">
        <v>42600.0</v>
      </c>
      <c r="AS450" s="4">
        <v>15300.0</v>
      </c>
      <c r="AT450" s="4">
        <v>21.0</v>
      </c>
      <c r="AU450" s="4">
        <v>894600.0</v>
      </c>
      <c r="AV450" s="4">
        <v>0.01</v>
      </c>
      <c r="AW450" s="4">
        <v>8946.0</v>
      </c>
      <c r="AX450" s="4">
        <v>885654.0</v>
      </c>
      <c r="AY450" s="4">
        <v>573300.0</v>
      </c>
      <c r="AZ450" s="4">
        <v>312354.0</v>
      </c>
    </row>
    <row r="451" ht="15.75" customHeight="1">
      <c r="A451" s="3" t="s">
        <v>1558</v>
      </c>
      <c r="B451" s="5">
        <v>43181.0</v>
      </c>
      <c r="C451" s="6">
        <f t="shared" si="1"/>
        <v>2018</v>
      </c>
      <c r="D451" s="7" t="s">
        <v>1559</v>
      </c>
      <c r="E451" s="7" t="s">
        <v>766</v>
      </c>
      <c r="F451" s="7" t="s">
        <v>50</v>
      </c>
      <c r="G451" s="5" t="s">
        <v>91</v>
      </c>
      <c r="H451" s="7" t="s">
        <v>189</v>
      </c>
      <c r="I451" s="7" t="s">
        <v>34</v>
      </c>
      <c r="J451" s="7" t="s">
        <v>365</v>
      </c>
      <c r="K451" s="7" t="s">
        <v>36</v>
      </c>
      <c r="L451" s="7" t="s">
        <v>37</v>
      </c>
      <c r="M451" s="7" t="s">
        <v>38</v>
      </c>
      <c r="N451" s="5">
        <v>43183.0</v>
      </c>
      <c r="O451" s="8">
        <v>2682450.0</v>
      </c>
      <c r="P451" s="8">
        <v>6238200.0</v>
      </c>
      <c r="Q451" s="8">
        <f t="shared" si="2"/>
        <v>3555750</v>
      </c>
      <c r="R451" s="8">
        <v>4.0</v>
      </c>
      <c r="S451" s="8">
        <f t="shared" si="3"/>
        <v>24952800</v>
      </c>
      <c r="T451" s="9">
        <v>0.03</v>
      </c>
      <c r="U451" s="8">
        <f t="shared" si="4"/>
        <v>748584</v>
      </c>
      <c r="V451" s="8">
        <f t="shared" si="5"/>
        <v>24204216</v>
      </c>
      <c r="W451" s="10">
        <f t="shared" si="6"/>
        <v>10729800</v>
      </c>
      <c r="X451" s="10">
        <f t="shared" si="7"/>
        <v>13474416</v>
      </c>
      <c r="Y451" s="10"/>
      <c r="Z451" s="10"/>
      <c r="AA451" s="10"/>
      <c r="AB451" s="4" t="s">
        <v>1560</v>
      </c>
      <c r="AC451" s="4" t="s">
        <v>1558</v>
      </c>
      <c r="AD451" s="4">
        <v>43181.0</v>
      </c>
      <c r="AE451" s="4">
        <v>2018.0</v>
      </c>
      <c r="AF451" s="4" t="s">
        <v>1559</v>
      </c>
      <c r="AG451" s="4" t="s">
        <v>766</v>
      </c>
      <c r="AH451" s="4" t="s">
        <v>50</v>
      </c>
      <c r="AI451" s="4" t="s">
        <v>91</v>
      </c>
      <c r="AJ451" s="4" t="s">
        <v>189</v>
      </c>
      <c r="AK451" s="4" t="s">
        <v>34</v>
      </c>
      <c r="AL451" s="4" t="s">
        <v>365</v>
      </c>
      <c r="AM451" s="4" t="s">
        <v>36</v>
      </c>
      <c r="AN451" s="4" t="s">
        <v>37</v>
      </c>
      <c r="AO451" s="4" t="s">
        <v>38</v>
      </c>
      <c r="AP451" s="4">
        <v>43183.0</v>
      </c>
      <c r="AQ451" s="4">
        <v>2682450.0</v>
      </c>
      <c r="AR451" s="4">
        <v>6238200.0</v>
      </c>
      <c r="AS451" s="4">
        <v>3555750.0</v>
      </c>
      <c r="AT451" s="4">
        <v>4.0</v>
      </c>
      <c r="AU451" s="4">
        <v>2.49528E7</v>
      </c>
      <c r="AV451" s="4">
        <v>0.03</v>
      </c>
      <c r="AW451" s="4">
        <v>748584.0</v>
      </c>
      <c r="AX451" s="4">
        <v>2.4204216E7</v>
      </c>
      <c r="AY451" s="4">
        <v>1.07298E7</v>
      </c>
      <c r="AZ451" s="4">
        <v>1.3474416E7</v>
      </c>
    </row>
    <row r="452" ht="15.75" customHeight="1">
      <c r="A452" s="3" t="s">
        <v>1561</v>
      </c>
      <c r="B452" s="5">
        <v>43182.0</v>
      </c>
      <c r="C452" s="6">
        <f t="shared" si="1"/>
        <v>2018</v>
      </c>
      <c r="D452" s="7" t="s">
        <v>1562</v>
      </c>
      <c r="E452" s="7" t="s">
        <v>424</v>
      </c>
      <c r="F452" s="7" t="s">
        <v>50</v>
      </c>
      <c r="G452" s="5" t="s">
        <v>68</v>
      </c>
      <c r="H452" s="7" t="s">
        <v>80</v>
      </c>
      <c r="I452" s="7" t="s">
        <v>104</v>
      </c>
      <c r="J452" s="7" t="s">
        <v>322</v>
      </c>
      <c r="K452" s="7" t="s">
        <v>36</v>
      </c>
      <c r="L452" s="7" t="s">
        <v>37</v>
      </c>
      <c r="M452" s="7" t="s">
        <v>38</v>
      </c>
      <c r="N452" s="5">
        <v>43184.0</v>
      </c>
      <c r="O452" s="8">
        <v>185850.0</v>
      </c>
      <c r="P452" s="8">
        <v>299700.0</v>
      </c>
      <c r="Q452" s="8">
        <f t="shared" si="2"/>
        <v>113850</v>
      </c>
      <c r="R452" s="8">
        <v>48.0</v>
      </c>
      <c r="S452" s="8">
        <f t="shared" si="3"/>
        <v>14385600</v>
      </c>
      <c r="T452" s="9">
        <v>0.01</v>
      </c>
      <c r="U452" s="8">
        <f t="shared" si="4"/>
        <v>143856</v>
      </c>
      <c r="V452" s="8">
        <f t="shared" si="5"/>
        <v>14241744</v>
      </c>
      <c r="W452" s="10">
        <f t="shared" si="6"/>
        <v>8920800</v>
      </c>
      <c r="X452" s="10">
        <f t="shared" si="7"/>
        <v>5320944</v>
      </c>
      <c r="Y452" s="10"/>
      <c r="Z452" s="10"/>
      <c r="AA452" s="10"/>
      <c r="AB452" s="4" t="s">
        <v>1563</v>
      </c>
      <c r="AC452" s="4" t="s">
        <v>1561</v>
      </c>
      <c r="AD452" s="4">
        <v>43182.0</v>
      </c>
      <c r="AE452" s="4">
        <v>2018.0</v>
      </c>
      <c r="AF452" s="4" t="s">
        <v>1562</v>
      </c>
      <c r="AG452" s="4" t="s">
        <v>424</v>
      </c>
      <c r="AH452" s="4" t="s">
        <v>50</v>
      </c>
      <c r="AI452" s="4" t="s">
        <v>68</v>
      </c>
      <c r="AJ452" s="4" t="s">
        <v>80</v>
      </c>
      <c r="AK452" s="4" t="s">
        <v>104</v>
      </c>
      <c r="AL452" s="4" t="s">
        <v>322</v>
      </c>
      <c r="AM452" s="4" t="s">
        <v>36</v>
      </c>
      <c r="AN452" s="4" t="s">
        <v>37</v>
      </c>
      <c r="AO452" s="4" t="s">
        <v>38</v>
      </c>
      <c r="AP452" s="4">
        <v>43184.0</v>
      </c>
      <c r="AQ452" s="4">
        <v>185850.0</v>
      </c>
      <c r="AR452" s="4">
        <v>299700.0</v>
      </c>
      <c r="AS452" s="4">
        <v>113850.0</v>
      </c>
      <c r="AT452" s="4">
        <v>48.0</v>
      </c>
      <c r="AU452" s="4">
        <v>1.43856E7</v>
      </c>
      <c r="AV452" s="4">
        <v>0.01</v>
      </c>
      <c r="AW452" s="4">
        <v>143856.0</v>
      </c>
      <c r="AX452" s="4">
        <v>1.4241744E7</v>
      </c>
      <c r="AY452" s="4">
        <v>8920800.0</v>
      </c>
      <c r="AZ452" s="4">
        <v>5320944.0</v>
      </c>
    </row>
    <row r="453" ht="15.75" customHeight="1">
      <c r="A453" s="3" t="s">
        <v>1564</v>
      </c>
      <c r="B453" s="5">
        <v>43183.0</v>
      </c>
      <c r="C453" s="6">
        <f t="shared" si="1"/>
        <v>2018</v>
      </c>
      <c r="D453" s="7" t="s">
        <v>1398</v>
      </c>
      <c r="E453" s="7" t="s">
        <v>1399</v>
      </c>
      <c r="F453" s="7" t="s">
        <v>50</v>
      </c>
      <c r="G453" s="5" t="s">
        <v>51</v>
      </c>
      <c r="H453" s="7" t="s">
        <v>69</v>
      </c>
      <c r="I453" s="7" t="s">
        <v>92</v>
      </c>
      <c r="J453" s="7" t="s">
        <v>1012</v>
      </c>
      <c r="K453" s="7" t="s">
        <v>36</v>
      </c>
      <c r="L453" s="7" t="s">
        <v>127</v>
      </c>
      <c r="M453" s="7" t="s">
        <v>38</v>
      </c>
      <c r="N453" s="5">
        <v>43184.0</v>
      </c>
      <c r="O453" s="8">
        <v>62850.00000000001</v>
      </c>
      <c r="P453" s="8">
        <v>153450.0</v>
      </c>
      <c r="Q453" s="8">
        <f t="shared" si="2"/>
        <v>90600</v>
      </c>
      <c r="R453" s="8">
        <v>46.0</v>
      </c>
      <c r="S453" s="8">
        <f t="shared" si="3"/>
        <v>7058700</v>
      </c>
      <c r="T453" s="9">
        <v>0.01</v>
      </c>
      <c r="U453" s="8">
        <f t="shared" si="4"/>
        <v>70587</v>
      </c>
      <c r="V453" s="8">
        <f t="shared" si="5"/>
        <v>6988113</v>
      </c>
      <c r="W453" s="10">
        <f t="shared" si="6"/>
        <v>2891100</v>
      </c>
      <c r="X453" s="10">
        <f t="shared" si="7"/>
        <v>4097013</v>
      </c>
      <c r="Y453" s="10"/>
      <c r="Z453" s="10"/>
      <c r="AA453" s="10"/>
      <c r="AB453" s="4" t="s">
        <v>1565</v>
      </c>
      <c r="AC453" s="4" t="s">
        <v>1564</v>
      </c>
      <c r="AD453" s="4">
        <v>43183.0</v>
      </c>
      <c r="AE453" s="4">
        <v>2018.0</v>
      </c>
      <c r="AF453" s="4" t="s">
        <v>1398</v>
      </c>
      <c r="AG453" s="4" t="s">
        <v>1399</v>
      </c>
      <c r="AH453" s="4" t="s">
        <v>50</v>
      </c>
      <c r="AI453" s="4" t="s">
        <v>51</v>
      </c>
      <c r="AJ453" s="4" t="s">
        <v>69</v>
      </c>
      <c r="AK453" s="4" t="s">
        <v>92</v>
      </c>
      <c r="AL453" s="4" t="s">
        <v>1012</v>
      </c>
      <c r="AM453" s="4" t="s">
        <v>36</v>
      </c>
      <c r="AN453" s="4" t="s">
        <v>127</v>
      </c>
      <c r="AO453" s="4" t="s">
        <v>38</v>
      </c>
      <c r="AP453" s="4">
        <v>43184.0</v>
      </c>
      <c r="AQ453" s="4">
        <v>62850.0</v>
      </c>
      <c r="AR453" s="4">
        <v>153450.0</v>
      </c>
      <c r="AS453" s="4">
        <v>90600.0</v>
      </c>
      <c r="AT453" s="4">
        <v>46.0</v>
      </c>
      <c r="AU453" s="4">
        <v>7058700.0</v>
      </c>
      <c r="AV453" s="4">
        <v>0.01</v>
      </c>
      <c r="AW453" s="4">
        <v>70587.0</v>
      </c>
      <c r="AX453" s="4">
        <v>6988113.0</v>
      </c>
      <c r="AY453" s="4">
        <v>2891100.0</v>
      </c>
      <c r="AZ453" s="4">
        <v>4097013.0</v>
      </c>
    </row>
    <row r="454" ht="15.75" customHeight="1">
      <c r="A454" s="3" t="s">
        <v>1566</v>
      </c>
      <c r="B454" s="5">
        <v>43183.0</v>
      </c>
      <c r="C454" s="6">
        <f t="shared" si="1"/>
        <v>2018</v>
      </c>
      <c r="D454" s="7" t="s">
        <v>1567</v>
      </c>
      <c r="E454" s="7" t="s">
        <v>559</v>
      </c>
      <c r="F454" s="7" t="s">
        <v>50</v>
      </c>
      <c r="G454" s="5" t="s">
        <v>51</v>
      </c>
      <c r="H454" s="7" t="s">
        <v>98</v>
      </c>
      <c r="I454" s="7" t="s">
        <v>74</v>
      </c>
      <c r="J454" s="7" t="s">
        <v>229</v>
      </c>
      <c r="K454" s="7" t="s">
        <v>61</v>
      </c>
      <c r="L454" s="7" t="s">
        <v>127</v>
      </c>
      <c r="M454" s="7" t="s">
        <v>38</v>
      </c>
      <c r="N454" s="5">
        <v>43185.0</v>
      </c>
      <c r="O454" s="8">
        <v>28050.0</v>
      </c>
      <c r="P454" s="8">
        <v>121799.99999999999</v>
      </c>
      <c r="Q454" s="8">
        <f t="shared" si="2"/>
        <v>93750</v>
      </c>
      <c r="R454" s="8">
        <v>11.0</v>
      </c>
      <c r="S454" s="8">
        <f t="shared" si="3"/>
        <v>1339800</v>
      </c>
      <c r="T454" s="9">
        <v>0.06</v>
      </c>
      <c r="U454" s="8">
        <f t="shared" si="4"/>
        <v>80388</v>
      </c>
      <c r="V454" s="8">
        <f t="shared" si="5"/>
        <v>1259412</v>
      </c>
      <c r="W454" s="10">
        <f t="shared" si="6"/>
        <v>308550</v>
      </c>
      <c r="X454" s="10">
        <f t="shared" si="7"/>
        <v>950862</v>
      </c>
      <c r="Y454" s="10"/>
      <c r="Z454" s="10"/>
      <c r="AA454" s="10"/>
      <c r="AB454" s="4" t="s">
        <v>1568</v>
      </c>
      <c r="AC454" s="4" t="s">
        <v>1566</v>
      </c>
      <c r="AD454" s="4">
        <v>43183.0</v>
      </c>
      <c r="AE454" s="4">
        <v>2018.0</v>
      </c>
      <c r="AF454" s="4" t="s">
        <v>1567</v>
      </c>
      <c r="AG454" s="4" t="s">
        <v>559</v>
      </c>
      <c r="AH454" s="4" t="s">
        <v>50</v>
      </c>
      <c r="AI454" s="4" t="s">
        <v>51</v>
      </c>
      <c r="AJ454" s="4" t="s">
        <v>98</v>
      </c>
      <c r="AK454" s="4" t="s">
        <v>74</v>
      </c>
      <c r="AL454" s="4" t="s">
        <v>229</v>
      </c>
      <c r="AM454" s="4" t="s">
        <v>61</v>
      </c>
      <c r="AN454" s="4" t="s">
        <v>127</v>
      </c>
      <c r="AO454" s="4" t="s">
        <v>38</v>
      </c>
      <c r="AP454" s="4">
        <v>43185.0</v>
      </c>
      <c r="AQ454" s="4">
        <v>28050.0</v>
      </c>
      <c r="AR454" s="4">
        <v>121800.0</v>
      </c>
      <c r="AS454" s="4">
        <v>93750.0</v>
      </c>
      <c r="AT454" s="4">
        <v>11.0</v>
      </c>
      <c r="AU454" s="4">
        <v>1339800.0</v>
      </c>
      <c r="AV454" s="4">
        <v>0.06</v>
      </c>
      <c r="AW454" s="4">
        <v>80388.0</v>
      </c>
      <c r="AX454" s="4">
        <v>1259412.0</v>
      </c>
      <c r="AY454" s="4">
        <v>308550.0</v>
      </c>
      <c r="AZ454" s="4">
        <v>950862.0</v>
      </c>
    </row>
    <row r="455" ht="15.75" customHeight="1">
      <c r="A455" s="3" t="s">
        <v>1569</v>
      </c>
      <c r="B455" s="5">
        <v>43186.0</v>
      </c>
      <c r="C455" s="6">
        <f t="shared" si="1"/>
        <v>2018</v>
      </c>
      <c r="D455" s="7" t="s">
        <v>1102</v>
      </c>
      <c r="E455" s="7" t="s">
        <v>169</v>
      </c>
      <c r="F455" s="7" t="s">
        <v>31</v>
      </c>
      <c r="G455" s="5" t="s">
        <v>51</v>
      </c>
      <c r="H455" s="7" t="s">
        <v>43</v>
      </c>
      <c r="I455" s="7" t="s">
        <v>34</v>
      </c>
      <c r="J455" s="7" t="s">
        <v>135</v>
      </c>
      <c r="K455" s="7" t="s">
        <v>36</v>
      </c>
      <c r="L455" s="7" t="s">
        <v>37</v>
      </c>
      <c r="M455" s="7" t="s">
        <v>38</v>
      </c>
      <c r="N455" s="5">
        <v>43188.0</v>
      </c>
      <c r="O455" s="8">
        <v>68850.0</v>
      </c>
      <c r="P455" s="8">
        <v>109200.0</v>
      </c>
      <c r="Q455" s="8">
        <f t="shared" si="2"/>
        <v>40350</v>
      </c>
      <c r="R455" s="8">
        <v>36.0</v>
      </c>
      <c r="S455" s="8">
        <f t="shared" si="3"/>
        <v>3931200</v>
      </c>
      <c r="T455" s="9">
        <v>0.05</v>
      </c>
      <c r="U455" s="8">
        <f t="shared" si="4"/>
        <v>196560</v>
      </c>
      <c r="V455" s="8">
        <f t="shared" si="5"/>
        <v>3734640</v>
      </c>
      <c r="W455" s="10">
        <f t="shared" si="6"/>
        <v>2478600</v>
      </c>
      <c r="X455" s="10">
        <f t="shared" si="7"/>
        <v>1256040</v>
      </c>
      <c r="Y455" s="10"/>
      <c r="Z455" s="10"/>
      <c r="AA455" s="10"/>
      <c r="AB455" s="4" t="s">
        <v>1570</v>
      </c>
      <c r="AC455" s="4" t="s">
        <v>1569</v>
      </c>
      <c r="AD455" s="4">
        <v>43186.0</v>
      </c>
      <c r="AE455" s="4">
        <v>2018.0</v>
      </c>
      <c r="AF455" s="4" t="s">
        <v>1102</v>
      </c>
      <c r="AG455" s="4" t="s">
        <v>169</v>
      </c>
      <c r="AH455" s="4" t="s">
        <v>31</v>
      </c>
      <c r="AI455" s="4" t="s">
        <v>51</v>
      </c>
      <c r="AJ455" s="4" t="s">
        <v>43</v>
      </c>
      <c r="AK455" s="4" t="s">
        <v>34</v>
      </c>
      <c r="AL455" s="4" t="s">
        <v>135</v>
      </c>
      <c r="AM455" s="4" t="s">
        <v>36</v>
      </c>
      <c r="AN455" s="4" t="s">
        <v>37</v>
      </c>
      <c r="AO455" s="4" t="s">
        <v>38</v>
      </c>
      <c r="AP455" s="4">
        <v>43188.0</v>
      </c>
      <c r="AQ455" s="4">
        <v>68850.0</v>
      </c>
      <c r="AR455" s="4">
        <v>109200.0</v>
      </c>
      <c r="AS455" s="4">
        <v>40350.0</v>
      </c>
      <c r="AT455" s="4">
        <v>36.0</v>
      </c>
      <c r="AU455" s="4">
        <v>3931200.0</v>
      </c>
      <c r="AV455" s="4">
        <v>0.05</v>
      </c>
      <c r="AW455" s="4">
        <v>196560.0</v>
      </c>
      <c r="AX455" s="4">
        <v>3734640.0</v>
      </c>
      <c r="AY455" s="4">
        <v>2478600.0</v>
      </c>
      <c r="AZ455" s="4">
        <v>1256040.0</v>
      </c>
    </row>
    <row r="456" ht="15.75" customHeight="1">
      <c r="A456" s="3" t="s">
        <v>1571</v>
      </c>
      <c r="B456" s="5">
        <v>43189.0</v>
      </c>
      <c r="C456" s="6">
        <f t="shared" si="1"/>
        <v>2018</v>
      </c>
      <c r="D456" s="7" t="s">
        <v>1572</v>
      </c>
      <c r="E456" s="7" t="s">
        <v>263</v>
      </c>
      <c r="F456" s="7" t="s">
        <v>50</v>
      </c>
      <c r="G456" s="5" t="s">
        <v>51</v>
      </c>
      <c r="H456" s="7" t="s">
        <v>140</v>
      </c>
      <c r="I456" s="7" t="s">
        <v>104</v>
      </c>
      <c r="J456" s="7" t="s">
        <v>574</v>
      </c>
      <c r="K456" s="7" t="s">
        <v>36</v>
      </c>
      <c r="L456" s="7" t="s">
        <v>37</v>
      </c>
      <c r="M456" s="7" t="s">
        <v>38</v>
      </c>
      <c r="N456" s="5">
        <v>43191.0</v>
      </c>
      <c r="O456" s="8">
        <v>32700.000000000004</v>
      </c>
      <c r="P456" s="8">
        <v>52800.0</v>
      </c>
      <c r="Q456" s="8">
        <f t="shared" si="2"/>
        <v>20100</v>
      </c>
      <c r="R456" s="8">
        <v>23.0</v>
      </c>
      <c r="S456" s="8">
        <f t="shared" si="3"/>
        <v>1214400</v>
      </c>
      <c r="T456" s="9">
        <v>0.07</v>
      </c>
      <c r="U456" s="8">
        <f t="shared" si="4"/>
        <v>85008</v>
      </c>
      <c r="V456" s="8">
        <f t="shared" si="5"/>
        <v>1129392</v>
      </c>
      <c r="W456" s="10">
        <f t="shared" si="6"/>
        <v>752100</v>
      </c>
      <c r="X456" s="10">
        <f t="shared" si="7"/>
        <v>377292</v>
      </c>
      <c r="Y456" s="10"/>
      <c r="Z456" s="10"/>
      <c r="AA456" s="10"/>
      <c r="AB456" s="4" t="s">
        <v>1573</v>
      </c>
      <c r="AC456" s="4" t="s">
        <v>1571</v>
      </c>
      <c r="AD456" s="4">
        <v>43189.0</v>
      </c>
      <c r="AE456" s="4">
        <v>2018.0</v>
      </c>
      <c r="AF456" s="4" t="s">
        <v>1572</v>
      </c>
      <c r="AG456" s="4" t="s">
        <v>263</v>
      </c>
      <c r="AH456" s="4" t="s">
        <v>50</v>
      </c>
      <c r="AI456" s="4" t="s">
        <v>51</v>
      </c>
      <c r="AJ456" s="4" t="s">
        <v>140</v>
      </c>
      <c r="AK456" s="4" t="s">
        <v>104</v>
      </c>
      <c r="AL456" s="4" t="s">
        <v>574</v>
      </c>
      <c r="AM456" s="4" t="s">
        <v>36</v>
      </c>
      <c r="AN456" s="4" t="s">
        <v>37</v>
      </c>
      <c r="AO456" s="4" t="s">
        <v>38</v>
      </c>
      <c r="AP456" s="4">
        <v>43191.0</v>
      </c>
      <c r="AQ456" s="4">
        <v>32700.0</v>
      </c>
      <c r="AR456" s="4">
        <v>52800.0</v>
      </c>
      <c r="AS456" s="4">
        <v>20100.0</v>
      </c>
      <c r="AT456" s="4">
        <v>23.0</v>
      </c>
      <c r="AU456" s="4">
        <v>1214400.0</v>
      </c>
      <c r="AV456" s="4">
        <v>0.07</v>
      </c>
      <c r="AW456" s="4">
        <v>85008.0</v>
      </c>
      <c r="AX456" s="4">
        <v>1129392.0</v>
      </c>
      <c r="AY456" s="4">
        <v>752100.0</v>
      </c>
      <c r="AZ456" s="4">
        <v>377292.0</v>
      </c>
    </row>
    <row r="457" ht="15.75" customHeight="1">
      <c r="A457" s="3" t="s">
        <v>1574</v>
      </c>
      <c r="B457" s="5">
        <v>43195.0</v>
      </c>
      <c r="C457" s="6">
        <f t="shared" si="1"/>
        <v>2018</v>
      </c>
      <c r="D457" s="7" t="s">
        <v>1575</v>
      </c>
      <c r="E457" s="7" t="s">
        <v>139</v>
      </c>
      <c r="F457" s="7" t="s">
        <v>50</v>
      </c>
      <c r="G457" s="5" t="s">
        <v>51</v>
      </c>
      <c r="H457" s="7" t="s">
        <v>140</v>
      </c>
      <c r="I457" s="7" t="s">
        <v>104</v>
      </c>
      <c r="J457" s="7" t="s">
        <v>1291</v>
      </c>
      <c r="K457" s="7" t="s">
        <v>36</v>
      </c>
      <c r="L457" s="7" t="s">
        <v>45</v>
      </c>
      <c r="M457" s="7" t="s">
        <v>38</v>
      </c>
      <c r="N457" s="5">
        <v>43196.0</v>
      </c>
      <c r="O457" s="8">
        <v>13800.0</v>
      </c>
      <c r="P457" s="8">
        <v>27150.0</v>
      </c>
      <c r="Q457" s="8">
        <f t="shared" si="2"/>
        <v>13350</v>
      </c>
      <c r="R457" s="8">
        <v>48.0</v>
      </c>
      <c r="S457" s="8">
        <f t="shared" si="3"/>
        <v>1303200</v>
      </c>
      <c r="T457" s="9">
        <v>0.1</v>
      </c>
      <c r="U457" s="8">
        <f t="shared" si="4"/>
        <v>130320</v>
      </c>
      <c r="V457" s="8">
        <f t="shared" si="5"/>
        <v>1172880</v>
      </c>
      <c r="W457" s="10">
        <f t="shared" si="6"/>
        <v>662400</v>
      </c>
      <c r="X457" s="10">
        <f t="shared" si="7"/>
        <v>510480</v>
      </c>
      <c r="Y457" s="10"/>
      <c r="Z457" s="10"/>
      <c r="AA457" s="10"/>
      <c r="AB457" s="4" t="s">
        <v>1576</v>
      </c>
      <c r="AC457" s="4" t="s">
        <v>1574</v>
      </c>
      <c r="AD457" s="4">
        <v>43195.0</v>
      </c>
      <c r="AE457" s="4">
        <v>2018.0</v>
      </c>
      <c r="AF457" s="4" t="s">
        <v>1575</v>
      </c>
      <c r="AG457" s="4" t="s">
        <v>139</v>
      </c>
      <c r="AH457" s="4" t="s">
        <v>50</v>
      </c>
      <c r="AI457" s="4" t="s">
        <v>51</v>
      </c>
      <c r="AJ457" s="4" t="s">
        <v>140</v>
      </c>
      <c r="AK457" s="4" t="s">
        <v>104</v>
      </c>
      <c r="AL457" s="4" t="s">
        <v>1291</v>
      </c>
      <c r="AM457" s="4" t="s">
        <v>36</v>
      </c>
      <c r="AN457" s="4" t="s">
        <v>45</v>
      </c>
      <c r="AO457" s="4" t="s">
        <v>38</v>
      </c>
      <c r="AP457" s="4">
        <v>43196.0</v>
      </c>
      <c r="AQ457" s="4">
        <v>13800.0</v>
      </c>
      <c r="AR457" s="4">
        <v>27150.0</v>
      </c>
      <c r="AS457" s="4">
        <v>13350.0</v>
      </c>
      <c r="AT457" s="4">
        <v>48.0</v>
      </c>
      <c r="AU457" s="4">
        <v>1303200.0</v>
      </c>
      <c r="AV457" s="4">
        <v>0.1</v>
      </c>
      <c r="AW457" s="4">
        <v>130320.0</v>
      </c>
      <c r="AX457" s="4">
        <v>1172880.0</v>
      </c>
      <c r="AY457" s="4">
        <v>662400.0</v>
      </c>
      <c r="AZ457" s="4">
        <v>510480.0</v>
      </c>
    </row>
    <row r="458" ht="15.75" customHeight="1">
      <c r="A458" s="3" t="s">
        <v>1577</v>
      </c>
      <c r="B458" s="5">
        <v>43198.0</v>
      </c>
      <c r="C458" s="6">
        <f t="shared" si="1"/>
        <v>2018</v>
      </c>
      <c r="D458" s="7" t="s">
        <v>1127</v>
      </c>
      <c r="E458" s="7" t="s">
        <v>1128</v>
      </c>
      <c r="F458" s="7" t="s">
        <v>50</v>
      </c>
      <c r="G458" s="5" t="s">
        <v>68</v>
      </c>
      <c r="H458" s="7" t="s">
        <v>189</v>
      </c>
      <c r="I458" s="7" t="s">
        <v>104</v>
      </c>
      <c r="J458" s="7" t="s">
        <v>484</v>
      </c>
      <c r="K458" s="7" t="s">
        <v>61</v>
      </c>
      <c r="L458" s="7" t="s">
        <v>555</v>
      </c>
      <c r="M458" s="7" t="s">
        <v>38</v>
      </c>
      <c r="N458" s="5">
        <v>43200.0</v>
      </c>
      <c r="O458" s="8">
        <v>3240000.0</v>
      </c>
      <c r="P458" s="8">
        <v>6749850.0</v>
      </c>
      <c r="Q458" s="8">
        <f t="shared" si="2"/>
        <v>3509850</v>
      </c>
      <c r="R458" s="8">
        <v>10.0</v>
      </c>
      <c r="S458" s="8">
        <f t="shared" si="3"/>
        <v>67498500</v>
      </c>
      <c r="T458" s="9">
        <v>0.01</v>
      </c>
      <c r="U458" s="8">
        <f t="shared" si="4"/>
        <v>674985</v>
      </c>
      <c r="V458" s="8">
        <f t="shared" si="5"/>
        <v>66823515</v>
      </c>
      <c r="W458" s="10">
        <f t="shared" si="6"/>
        <v>32400000</v>
      </c>
      <c r="X458" s="10">
        <f t="shared" si="7"/>
        <v>34423515</v>
      </c>
      <c r="Y458" s="10"/>
      <c r="Z458" s="10"/>
      <c r="AA458" s="10"/>
      <c r="AB458" s="4" t="s">
        <v>1578</v>
      </c>
      <c r="AC458" s="4" t="s">
        <v>1577</v>
      </c>
      <c r="AD458" s="4">
        <v>43198.0</v>
      </c>
      <c r="AE458" s="4">
        <v>2018.0</v>
      </c>
      <c r="AF458" s="4" t="s">
        <v>1127</v>
      </c>
      <c r="AG458" s="4" t="s">
        <v>1128</v>
      </c>
      <c r="AH458" s="4" t="s">
        <v>50</v>
      </c>
      <c r="AI458" s="4" t="s">
        <v>68</v>
      </c>
      <c r="AJ458" s="4" t="s">
        <v>189</v>
      </c>
      <c r="AK458" s="4" t="s">
        <v>104</v>
      </c>
      <c r="AL458" s="4" t="s">
        <v>484</v>
      </c>
      <c r="AM458" s="4" t="s">
        <v>61</v>
      </c>
      <c r="AN458" s="4" t="s">
        <v>555</v>
      </c>
      <c r="AO458" s="4" t="s">
        <v>38</v>
      </c>
      <c r="AP458" s="4">
        <v>43200.0</v>
      </c>
      <c r="AQ458" s="4">
        <v>3240000.0</v>
      </c>
      <c r="AR458" s="4">
        <v>6749850.0</v>
      </c>
      <c r="AS458" s="4">
        <v>3509850.0</v>
      </c>
      <c r="AT458" s="4">
        <v>10.0</v>
      </c>
      <c r="AU458" s="4">
        <v>6.74985E7</v>
      </c>
      <c r="AV458" s="4">
        <v>0.01</v>
      </c>
      <c r="AW458" s="4">
        <v>674985.0</v>
      </c>
      <c r="AX458" s="4">
        <v>6.6823515E7</v>
      </c>
      <c r="AY458" s="4">
        <v>3.24E7</v>
      </c>
      <c r="AZ458" s="4">
        <v>3.4423515E7</v>
      </c>
    </row>
    <row r="459" ht="15.75" customHeight="1">
      <c r="A459" s="3" t="s">
        <v>1579</v>
      </c>
      <c r="B459" s="5">
        <v>43199.0</v>
      </c>
      <c r="C459" s="6">
        <f t="shared" si="1"/>
        <v>2018</v>
      </c>
      <c r="D459" s="7" t="s">
        <v>1185</v>
      </c>
      <c r="E459" s="7" t="s">
        <v>1186</v>
      </c>
      <c r="F459" s="7" t="s">
        <v>31</v>
      </c>
      <c r="G459" s="5" t="s">
        <v>68</v>
      </c>
      <c r="H459" s="7" t="s">
        <v>43</v>
      </c>
      <c r="I459" s="7" t="s">
        <v>34</v>
      </c>
      <c r="J459" s="7" t="s">
        <v>394</v>
      </c>
      <c r="K459" s="7" t="s">
        <v>36</v>
      </c>
      <c r="L459" s="7" t="s">
        <v>45</v>
      </c>
      <c r="M459" s="7" t="s">
        <v>38</v>
      </c>
      <c r="N459" s="5">
        <v>43202.0</v>
      </c>
      <c r="O459" s="8">
        <v>24000.0</v>
      </c>
      <c r="P459" s="8">
        <v>39300.0</v>
      </c>
      <c r="Q459" s="8">
        <f t="shared" si="2"/>
        <v>15300</v>
      </c>
      <c r="R459" s="8">
        <v>37.0</v>
      </c>
      <c r="S459" s="8">
        <f t="shared" si="3"/>
        <v>1454100</v>
      </c>
      <c r="T459" s="9">
        <v>0.01</v>
      </c>
      <c r="U459" s="8">
        <f t="shared" si="4"/>
        <v>14541</v>
      </c>
      <c r="V459" s="8">
        <f t="shared" si="5"/>
        <v>1439559</v>
      </c>
      <c r="W459" s="10">
        <f t="shared" si="6"/>
        <v>888000</v>
      </c>
      <c r="X459" s="10">
        <f t="shared" si="7"/>
        <v>551559</v>
      </c>
      <c r="Y459" s="10"/>
      <c r="Z459" s="10"/>
      <c r="AA459" s="10"/>
      <c r="AB459" s="4" t="s">
        <v>1580</v>
      </c>
      <c r="AC459" s="4" t="s">
        <v>1579</v>
      </c>
      <c r="AD459" s="4">
        <v>43199.0</v>
      </c>
      <c r="AE459" s="4">
        <v>2018.0</v>
      </c>
      <c r="AF459" s="4" t="s">
        <v>1185</v>
      </c>
      <c r="AG459" s="4" t="s">
        <v>1186</v>
      </c>
      <c r="AH459" s="4" t="s">
        <v>31</v>
      </c>
      <c r="AI459" s="4" t="s">
        <v>68</v>
      </c>
      <c r="AJ459" s="4" t="s">
        <v>43</v>
      </c>
      <c r="AK459" s="4" t="s">
        <v>34</v>
      </c>
      <c r="AL459" s="4" t="s">
        <v>394</v>
      </c>
      <c r="AM459" s="4" t="s">
        <v>36</v>
      </c>
      <c r="AN459" s="4" t="s">
        <v>45</v>
      </c>
      <c r="AO459" s="4" t="s">
        <v>38</v>
      </c>
      <c r="AP459" s="4">
        <v>43202.0</v>
      </c>
      <c r="AQ459" s="4">
        <v>24000.0</v>
      </c>
      <c r="AR459" s="4">
        <v>39300.0</v>
      </c>
      <c r="AS459" s="4">
        <v>15300.0</v>
      </c>
      <c r="AT459" s="4">
        <v>37.0</v>
      </c>
      <c r="AU459" s="4">
        <v>1454100.0</v>
      </c>
      <c r="AV459" s="4">
        <v>0.01</v>
      </c>
      <c r="AW459" s="4">
        <v>14541.0</v>
      </c>
      <c r="AX459" s="4">
        <v>1439559.0</v>
      </c>
      <c r="AY459" s="4">
        <v>888000.0</v>
      </c>
      <c r="AZ459" s="4">
        <v>551559.0</v>
      </c>
    </row>
    <row r="460" ht="15.75" customHeight="1">
      <c r="A460" s="3" t="s">
        <v>1581</v>
      </c>
      <c r="B460" s="5">
        <v>43199.0</v>
      </c>
      <c r="C460" s="6">
        <f t="shared" si="1"/>
        <v>2018</v>
      </c>
      <c r="D460" s="7" t="s">
        <v>1582</v>
      </c>
      <c r="E460" s="7" t="s">
        <v>150</v>
      </c>
      <c r="F460" s="7" t="s">
        <v>50</v>
      </c>
      <c r="G460" s="5" t="s">
        <v>91</v>
      </c>
      <c r="H460" s="7" t="s">
        <v>151</v>
      </c>
      <c r="I460" s="7" t="s">
        <v>34</v>
      </c>
      <c r="J460" s="7" t="s">
        <v>160</v>
      </c>
      <c r="K460" s="7" t="s">
        <v>36</v>
      </c>
      <c r="L460" s="7" t="s">
        <v>37</v>
      </c>
      <c r="M460" s="7" t="s">
        <v>38</v>
      </c>
      <c r="N460" s="5">
        <v>43202.0</v>
      </c>
      <c r="O460" s="8">
        <v>52800.0</v>
      </c>
      <c r="P460" s="8">
        <v>85200.0</v>
      </c>
      <c r="Q460" s="8">
        <f t="shared" si="2"/>
        <v>32400</v>
      </c>
      <c r="R460" s="8">
        <v>42.0</v>
      </c>
      <c r="S460" s="8">
        <f t="shared" si="3"/>
        <v>3578400</v>
      </c>
      <c r="T460" s="9">
        <v>0.05</v>
      </c>
      <c r="U460" s="8">
        <f t="shared" si="4"/>
        <v>178920</v>
      </c>
      <c r="V460" s="8">
        <f t="shared" si="5"/>
        <v>3399480</v>
      </c>
      <c r="W460" s="10">
        <f t="shared" si="6"/>
        <v>2217600</v>
      </c>
      <c r="X460" s="10">
        <f t="shared" si="7"/>
        <v>1181880</v>
      </c>
      <c r="Y460" s="10"/>
      <c r="Z460" s="10"/>
      <c r="AA460" s="10"/>
      <c r="AB460" s="4" t="s">
        <v>1583</v>
      </c>
      <c r="AC460" s="4" t="s">
        <v>1581</v>
      </c>
      <c r="AD460" s="4">
        <v>43199.0</v>
      </c>
      <c r="AE460" s="4">
        <v>2018.0</v>
      </c>
      <c r="AF460" s="4" t="s">
        <v>1582</v>
      </c>
      <c r="AG460" s="4" t="s">
        <v>150</v>
      </c>
      <c r="AH460" s="4" t="s">
        <v>50</v>
      </c>
      <c r="AI460" s="4" t="s">
        <v>91</v>
      </c>
      <c r="AJ460" s="4" t="s">
        <v>151</v>
      </c>
      <c r="AK460" s="4" t="s">
        <v>34</v>
      </c>
      <c r="AL460" s="4" t="s">
        <v>160</v>
      </c>
      <c r="AM460" s="4" t="s">
        <v>36</v>
      </c>
      <c r="AN460" s="4" t="s">
        <v>37</v>
      </c>
      <c r="AO460" s="4" t="s">
        <v>38</v>
      </c>
      <c r="AP460" s="4">
        <v>43202.0</v>
      </c>
      <c r="AQ460" s="4">
        <v>52800.0</v>
      </c>
      <c r="AR460" s="4">
        <v>85200.0</v>
      </c>
      <c r="AS460" s="4">
        <v>32400.0</v>
      </c>
      <c r="AT460" s="4">
        <v>42.0</v>
      </c>
      <c r="AU460" s="4">
        <v>3578400.0</v>
      </c>
      <c r="AV460" s="4">
        <v>0.05</v>
      </c>
      <c r="AW460" s="4">
        <v>178920.0</v>
      </c>
      <c r="AX460" s="4">
        <v>3399480.0</v>
      </c>
      <c r="AY460" s="4">
        <v>2217600.0</v>
      </c>
      <c r="AZ460" s="4">
        <v>1181880.0</v>
      </c>
    </row>
    <row r="461" ht="15.75" customHeight="1">
      <c r="A461" s="3" t="s">
        <v>1584</v>
      </c>
      <c r="B461" s="5">
        <v>43200.0</v>
      </c>
      <c r="C461" s="6">
        <f t="shared" si="1"/>
        <v>2018</v>
      </c>
      <c r="D461" s="7" t="s">
        <v>1585</v>
      </c>
      <c r="E461" s="7" t="s">
        <v>1586</v>
      </c>
      <c r="F461" s="7" t="s">
        <v>50</v>
      </c>
      <c r="G461" s="5" t="s">
        <v>91</v>
      </c>
      <c r="H461" s="7" t="s">
        <v>189</v>
      </c>
      <c r="I461" s="7" t="s">
        <v>53</v>
      </c>
      <c r="J461" s="7" t="s">
        <v>184</v>
      </c>
      <c r="K461" s="7" t="s">
        <v>36</v>
      </c>
      <c r="L461" s="7" t="s">
        <v>37</v>
      </c>
      <c r="M461" s="7" t="s">
        <v>55</v>
      </c>
      <c r="N461" s="5">
        <v>43201.0</v>
      </c>
      <c r="O461" s="8">
        <v>23850.0</v>
      </c>
      <c r="P461" s="8">
        <v>39150.0</v>
      </c>
      <c r="Q461" s="8">
        <f t="shared" si="2"/>
        <v>15300</v>
      </c>
      <c r="R461" s="8">
        <v>37.0</v>
      </c>
      <c r="S461" s="8">
        <f t="shared" si="3"/>
        <v>1448550</v>
      </c>
      <c r="T461" s="9">
        <v>0.09</v>
      </c>
      <c r="U461" s="8">
        <f t="shared" si="4"/>
        <v>130369.5</v>
      </c>
      <c r="V461" s="8">
        <f t="shared" si="5"/>
        <v>1318180.5</v>
      </c>
      <c r="W461" s="10">
        <f t="shared" si="6"/>
        <v>882450</v>
      </c>
      <c r="X461" s="10">
        <f t="shared" si="7"/>
        <v>435730.5</v>
      </c>
      <c r="Y461" s="10"/>
      <c r="Z461" s="10"/>
      <c r="AA461" s="10"/>
      <c r="AB461" s="4" t="s">
        <v>1587</v>
      </c>
      <c r="AC461" s="4" t="s">
        <v>1584</v>
      </c>
      <c r="AD461" s="4">
        <v>43200.0</v>
      </c>
      <c r="AE461" s="4">
        <v>2018.0</v>
      </c>
      <c r="AF461" s="4" t="s">
        <v>1585</v>
      </c>
      <c r="AG461" s="4" t="s">
        <v>1586</v>
      </c>
      <c r="AH461" s="4" t="s">
        <v>50</v>
      </c>
      <c r="AI461" s="4" t="s">
        <v>91</v>
      </c>
      <c r="AJ461" s="4" t="s">
        <v>189</v>
      </c>
      <c r="AK461" s="4" t="s">
        <v>53</v>
      </c>
      <c r="AL461" s="4" t="s">
        <v>184</v>
      </c>
      <c r="AM461" s="4" t="s">
        <v>36</v>
      </c>
      <c r="AN461" s="4" t="s">
        <v>37</v>
      </c>
      <c r="AO461" s="4" t="s">
        <v>55</v>
      </c>
      <c r="AP461" s="4">
        <v>43201.0</v>
      </c>
      <c r="AQ461" s="4">
        <v>23850.0</v>
      </c>
      <c r="AR461" s="4">
        <v>39150.0</v>
      </c>
      <c r="AS461" s="4">
        <v>15300.0</v>
      </c>
      <c r="AT461" s="4">
        <v>37.0</v>
      </c>
      <c r="AU461" s="4">
        <v>1448550.0</v>
      </c>
      <c r="AV461" s="4">
        <v>0.09</v>
      </c>
      <c r="AW461" s="4">
        <v>130369.5</v>
      </c>
      <c r="AX461" s="4">
        <v>1318180.5</v>
      </c>
      <c r="AY461" s="4">
        <v>882450.0</v>
      </c>
      <c r="AZ461" s="4">
        <v>435730.5</v>
      </c>
    </row>
    <row r="462" ht="15.75" customHeight="1">
      <c r="A462" s="3" t="s">
        <v>1588</v>
      </c>
      <c r="B462" s="5">
        <v>43200.0</v>
      </c>
      <c r="C462" s="6">
        <f t="shared" si="1"/>
        <v>2018</v>
      </c>
      <c r="D462" s="7" t="s">
        <v>1589</v>
      </c>
      <c r="E462" s="7" t="s">
        <v>795</v>
      </c>
      <c r="F462" s="7" t="s">
        <v>50</v>
      </c>
      <c r="G462" s="5" t="s">
        <v>91</v>
      </c>
      <c r="H462" s="7" t="s">
        <v>344</v>
      </c>
      <c r="I462" s="7" t="s">
        <v>34</v>
      </c>
      <c r="J462" s="7" t="s">
        <v>677</v>
      </c>
      <c r="K462" s="7" t="s">
        <v>36</v>
      </c>
      <c r="L462" s="7" t="s">
        <v>37</v>
      </c>
      <c r="M462" s="7" t="s">
        <v>38</v>
      </c>
      <c r="N462" s="5">
        <v>43200.0</v>
      </c>
      <c r="O462" s="8">
        <v>224250.0</v>
      </c>
      <c r="P462" s="8">
        <v>521399.99999999994</v>
      </c>
      <c r="Q462" s="8">
        <f t="shared" si="2"/>
        <v>297150</v>
      </c>
      <c r="R462" s="8">
        <v>10.0</v>
      </c>
      <c r="S462" s="8">
        <f t="shared" si="3"/>
        <v>5214000</v>
      </c>
      <c r="T462" s="9">
        <v>0.03</v>
      </c>
      <c r="U462" s="8">
        <f t="shared" si="4"/>
        <v>156420</v>
      </c>
      <c r="V462" s="8">
        <f t="shared" si="5"/>
        <v>5057580</v>
      </c>
      <c r="W462" s="10">
        <f t="shared" si="6"/>
        <v>2242500</v>
      </c>
      <c r="X462" s="10">
        <f t="shared" si="7"/>
        <v>2815080</v>
      </c>
      <c r="Y462" s="10"/>
      <c r="Z462" s="10"/>
      <c r="AA462" s="10"/>
      <c r="AB462" s="4" t="s">
        <v>1590</v>
      </c>
      <c r="AC462" s="4" t="s">
        <v>1588</v>
      </c>
      <c r="AD462" s="4">
        <v>43200.0</v>
      </c>
      <c r="AE462" s="4">
        <v>2018.0</v>
      </c>
      <c r="AF462" s="4" t="s">
        <v>1589</v>
      </c>
      <c r="AG462" s="4" t="s">
        <v>795</v>
      </c>
      <c r="AH462" s="4" t="s">
        <v>50</v>
      </c>
      <c r="AI462" s="4" t="s">
        <v>91</v>
      </c>
      <c r="AJ462" s="4" t="s">
        <v>344</v>
      </c>
      <c r="AK462" s="4" t="s">
        <v>34</v>
      </c>
      <c r="AL462" s="4" t="s">
        <v>677</v>
      </c>
      <c r="AM462" s="4" t="s">
        <v>36</v>
      </c>
      <c r="AN462" s="4" t="s">
        <v>37</v>
      </c>
      <c r="AO462" s="4" t="s">
        <v>38</v>
      </c>
      <c r="AP462" s="4">
        <v>43200.0</v>
      </c>
      <c r="AQ462" s="4">
        <v>224250.0</v>
      </c>
      <c r="AR462" s="4">
        <v>521400.0</v>
      </c>
      <c r="AS462" s="4">
        <v>297150.0</v>
      </c>
      <c r="AT462" s="4">
        <v>10.0</v>
      </c>
      <c r="AU462" s="4">
        <v>5214000.0</v>
      </c>
      <c r="AV462" s="4">
        <v>0.03</v>
      </c>
      <c r="AW462" s="4">
        <v>156420.0</v>
      </c>
      <c r="AX462" s="4">
        <v>5057580.0</v>
      </c>
      <c r="AY462" s="4">
        <v>2242500.0</v>
      </c>
      <c r="AZ462" s="4">
        <v>2815080.0</v>
      </c>
    </row>
    <row r="463" ht="15.75" customHeight="1">
      <c r="A463" s="3" t="s">
        <v>1591</v>
      </c>
      <c r="B463" s="5">
        <v>43200.0</v>
      </c>
      <c r="C463" s="6">
        <f t="shared" si="1"/>
        <v>2018</v>
      </c>
      <c r="D463" s="7" t="s">
        <v>1589</v>
      </c>
      <c r="E463" s="7" t="s">
        <v>795</v>
      </c>
      <c r="F463" s="7" t="s">
        <v>50</v>
      </c>
      <c r="G463" s="5" t="s">
        <v>91</v>
      </c>
      <c r="H463" s="7" t="s">
        <v>344</v>
      </c>
      <c r="I463" s="7" t="s">
        <v>34</v>
      </c>
      <c r="J463" s="7" t="s">
        <v>903</v>
      </c>
      <c r="K463" s="7" t="s">
        <v>36</v>
      </c>
      <c r="L463" s="7" t="s">
        <v>45</v>
      </c>
      <c r="M463" s="7" t="s">
        <v>38</v>
      </c>
      <c r="N463" s="5">
        <v>43202.0</v>
      </c>
      <c r="O463" s="8">
        <v>34650.0</v>
      </c>
      <c r="P463" s="8">
        <v>56700.0</v>
      </c>
      <c r="Q463" s="8">
        <f t="shared" si="2"/>
        <v>22050</v>
      </c>
      <c r="R463" s="8">
        <v>41.0</v>
      </c>
      <c r="S463" s="8">
        <f t="shared" si="3"/>
        <v>2324700</v>
      </c>
      <c r="T463" s="9">
        <v>0.02</v>
      </c>
      <c r="U463" s="8">
        <f t="shared" si="4"/>
        <v>46494</v>
      </c>
      <c r="V463" s="8">
        <f t="shared" si="5"/>
        <v>2278206</v>
      </c>
      <c r="W463" s="10">
        <f t="shared" si="6"/>
        <v>1420650</v>
      </c>
      <c r="X463" s="10">
        <f t="shared" si="7"/>
        <v>857556</v>
      </c>
      <c r="Y463" s="10"/>
      <c r="Z463" s="10"/>
      <c r="AA463" s="10"/>
      <c r="AB463" s="4" t="s">
        <v>1592</v>
      </c>
      <c r="AC463" s="4" t="s">
        <v>1591</v>
      </c>
      <c r="AD463" s="4">
        <v>43200.0</v>
      </c>
      <c r="AE463" s="4">
        <v>2018.0</v>
      </c>
      <c r="AF463" s="4" t="s">
        <v>1589</v>
      </c>
      <c r="AG463" s="4" t="s">
        <v>795</v>
      </c>
      <c r="AH463" s="4" t="s">
        <v>50</v>
      </c>
      <c r="AI463" s="4" t="s">
        <v>91</v>
      </c>
      <c r="AJ463" s="4" t="s">
        <v>344</v>
      </c>
      <c r="AK463" s="4" t="s">
        <v>34</v>
      </c>
      <c r="AL463" s="4" t="s">
        <v>903</v>
      </c>
      <c r="AM463" s="4" t="s">
        <v>36</v>
      </c>
      <c r="AN463" s="4" t="s">
        <v>45</v>
      </c>
      <c r="AO463" s="4" t="s">
        <v>38</v>
      </c>
      <c r="AP463" s="4">
        <v>43202.0</v>
      </c>
      <c r="AQ463" s="4">
        <v>34650.0</v>
      </c>
      <c r="AR463" s="4">
        <v>56700.0</v>
      </c>
      <c r="AS463" s="4">
        <v>22050.0</v>
      </c>
      <c r="AT463" s="4">
        <v>41.0</v>
      </c>
      <c r="AU463" s="4">
        <v>2324700.0</v>
      </c>
      <c r="AV463" s="4">
        <v>0.02</v>
      </c>
      <c r="AW463" s="4">
        <v>46494.0</v>
      </c>
      <c r="AX463" s="4">
        <v>2278206.0</v>
      </c>
      <c r="AY463" s="4">
        <v>1420650.0</v>
      </c>
      <c r="AZ463" s="4">
        <v>857556.0</v>
      </c>
    </row>
    <row r="464" ht="15.75" customHeight="1">
      <c r="A464" s="3" t="s">
        <v>1593</v>
      </c>
      <c r="B464" s="5">
        <v>43201.0</v>
      </c>
      <c r="C464" s="6">
        <f t="shared" si="1"/>
        <v>2018</v>
      </c>
      <c r="D464" s="7" t="s">
        <v>1594</v>
      </c>
      <c r="E464" s="7" t="s">
        <v>85</v>
      </c>
      <c r="F464" s="7" t="s">
        <v>50</v>
      </c>
      <c r="G464" s="5" t="s">
        <v>68</v>
      </c>
      <c r="H464" s="7" t="s">
        <v>80</v>
      </c>
      <c r="I464" s="7" t="s">
        <v>34</v>
      </c>
      <c r="J464" s="7" t="s">
        <v>1085</v>
      </c>
      <c r="K464" s="7" t="s">
        <v>36</v>
      </c>
      <c r="L464" s="7" t="s">
        <v>37</v>
      </c>
      <c r="M464" s="7" t="s">
        <v>38</v>
      </c>
      <c r="N464" s="5">
        <v>43203.0</v>
      </c>
      <c r="O464" s="8">
        <v>106950.0</v>
      </c>
      <c r="P464" s="8">
        <v>314700.0</v>
      </c>
      <c r="Q464" s="8">
        <f t="shared" si="2"/>
        <v>207750</v>
      </c>
      <c r="R464" s="8">
        <v>47.0</v>
      </c>
      <c r="S464" s="8">
        <f t="shared" si="3"/>
        <v>14790900</v>
      </c>
      <c r="T464" s="9">
        <v>0.01</v>
      </c>
      <c r="U464" s="8">
        <f t="shared" si="4"/>
        <v>147909</v>
      </c>
      <c r="V464" s="8">
        <f t="shared" si="5"/>
        <v>14642991</v>
      </c>
      <c r="W464" s="10">
        <f t="shared" si="6"/>
        <v>5026650</v>
      </c>
      <c r="X464" s="10">
        <f t="shared" si="7"/>
        <v>9616341</v>
      </c>
      <c r="Y464" s="10"/>
      <c r="Z464" s="10"/>
      <c r="AA464" s="10"/>
      <c r="AB464" s="4" t="s">
        <v>1595</v>
      </c>
      <c r="AC464" s="4" t="s">
        <v>1593</v>
      </c>
      <c r="AD464" s="4">
        <v>43201.0</v>
      </c>
      <c r="AE464" s="4">
        <v>2018.0</v>
      </c>
      <c r="AF464" s="4" t="s">
        <v>1594</v>
      </c>
      <c r="AG464" s="4" t="s">
        <v>85</v>
      </c>
      <c r="AH464" s="4" t="s">
        <v>50</v>
      </c>
      <c r="AI464" s="4" t="s">
        <v>68</v>
      </c>
      <c r="AJ464" s="4" t="s">
        <v>80</v>
      </c>
      <c r="AK464" s="4" t="s">
        <v>34</v>
      </c>
      <c r="AL464" s="4" t="s">
        <v>1085</v>
      </c>
      <c r="AM464" s="4" t="s">
        <v>36</v>
      </c>
      <c r="AN464" s="4" t="s">
        <v>37</v>
      </c>
      <c r="AO464" s="4" t="s">
        <v>38</v>
      </c>
      <c r="AP464" s="4">
        <v>43203.0</v>
      </c>
      <c r="AQ464" s="4">
        <v>106950.0</v>
      </c>
      <c r="AR464" s="4">
        <v>314700.0</v>
      </c>
      <c r="AS464" s="4">
        <v>207750.0</v>
      </c>
      <c r="AT464" s="4">
        <v>47.0</v>
      </c>
      <c r="AU464" s="4">
        <v>1.47909E7</v>
      </c>
      <c r="AV464" s="4">
        <v>0.01</v>
      </c>
      <c r="AW464" s="4">
        <v>147909.0</v>
      </c>
      <c r="AX464" s="4">
        <v>1.4642991E7</v>
      </c>
      <c r="AY464" s="4">
        <v>5026650.0</v>
      </c>
      <c r="AZ464" s="4">
        <v>9616341.0</v>
      </c>
    </row>
    <row r="465" ht="15.75" customHeight="1">
      <c r="A465" s="3" t="s">
        <v>1596</v>
      </c>
      <c r="B465" s="5">
        <v>43201.0</v>
      </c>
      <c r="C465" s="6">
        <f t="shared" si="1"/>
        <v>2018</v>
      </c>
      <c r="D465" s="7" t="s">
        <v>1597</v>
      </c>
      <c r="E465" s="7" t="s">
        <v>139</v>
      </c>
      <c r="F465" s="7" t="s">
        <v>50</v>
      </c>
      <c r="G465" s="5" t="s">
        <v>51</v>
      </c>
      <c r="H465" s="7" t="s">
        <v>140</v>
      </c>
      <c r="I465" s="7" t="s">
        <v>92</v>
      </c>
      <c r="J465" s="7" t="s">
        <v>680</v>
      </c>
      <c r="K465" s="7" t="s">
        <v>36</v>
      </c>
      <c r="L465" s="7" t="s">
        <v>37</v>
      </c>
      <c r="M465" s="7" t="s">
        <v>38</v>
      </c>
      <c r="N465" s="5">
        <v>43201.0</v>
      </c>
      <c r="O465" s="8">
        <v>332700.0</v>
      </c>
      <c r="P465" s="8">
        <v>811500.0</v>
      </c>
      <c r="Q465" s="8">
        <f t="shared" si="2"/>
        <v>478800</v>
      </c>
      <c r="R465" s="8">
        <v>5.0</v>
      </c>
      <c r="S465" s="8">
        <f t="shared" si="3"/>
        <v>4057500</v>
      </c>
      <c r="T465" s="9">
        <v>0.04</v>
      </c>
      <c r="U465" s="8">
        <f t="shared" si="4"/>
        <v>162300</v>
      </c>
      <c r="V465" s="8">
        <f t="shared" si="5"/>
        <v>3895200</v>
      </c>
      <c r="W465" s="10">
        <f t="shared" si="6"/>
        <v>1663500</v>
      </c>
      <c r="X465" s="10">
        <f t="shared" si="7"/>
        <v>2231700</v>
      </c>
      <c r="Y465" s="10"/>
      <c r="Z465" s="10"/>
      <c r="AA465" s="10"/>
      <c r="AB465" s="4" t="s">
        <v>1598</v>
      </c>
      <c r="AC465" s="4" t="s">
        <v>1596</v>
      </c>
      <c r="AD465" s="4">
        <v>43201.0</v>
      </c>
      <c r="AE465" s="4">
        <v>2018.0</v>
      </c>
      <c r="AF465" s="4" t="s">
        <v>1597</v>
      </c>
      <c r="AG465" s="4" t="s">
        <v>139</v>
      </c>
      <c r="AH465" s="4" t="s">
        <v>50</v>
      </c>
      <c r="AI465" s="4" t="s">
        <v>51</v>
      </c>
      <c r="AJ465" s="4" t="s">
        <v>140</v>
      </c>
      <c r="AK465" s="4" t="s">
        <v>92</v>
      </c>
      <c r="AL465" s="4" t="s">
        <v>680</v>
      </c>
      <c r="AM465" s="4" t="s">
        <v>36</v>
      </c>
      <c r="AN465" s="4" t="s">
        <v>37</v>
      </c>
      <c r="AO465" s="4" t="s">
        <v>38</v>
      </c>
      <c r="AP465" s="4">
        <v>43201.0</v>
      </c>
      <c r="AQ465" s="4">
        <v>332700.0</v>
      </c>
      <c r="AR465" s="4">
        <v>811500.0</v>
      </c>
      <c r="AS465" s="4">
        <v>478800.0</v>
      </c>
      <c r="AT465" s="4">
        <v>5.0</v>
      </c>
      <c r="AU465" s="4">
        <v>4057500.0</v>
      </c>
      <c r="AV465" s="4">
        <v>0.04</v>
      </c>
      <c r="AW465" s="4">
        <v>162300.0</v>
      </c>
      <c r="AX465" s="4">
        <v>3895200.0</v>
      </c>
      <c r="AY465" s="4">
        <v>1663500.0</v>
      </c>
      <c r="AZ465" s="4">
        <v>2231700.0</v>
      </c>
    </row>
    <row r="466" ht="15.75" customHeight="1">
      <c r="A466" s="3" t="s">
        <v>1599</v>
      </c>
      <c r="B466" s="5">
        <v>43203.0</v>
      </c>
      <c r="C466" s="6">
        <f t="shared" si="1"/>
        <v>2018</v>
      </c>
      <c r="D466" s="7" t="s">
        <v>1600</v>
      </c>
      <c r="E466" s="7" t="s">
        <v>1601</v>
      </c>
      <c r="F466" s="7" t="s">
        <v>50</v>
      </c>
      <c r="G466" s="5" t="s">
        <v>91</v>
      </c>
      <c r="H466" s="7" t="s">
        <v>344</v>
      </c>
      <c r="I466" s="7" t="s">
        <v>92</v>
      </c>
      <c r="J466" s="7" t="s">
        <v>1278</v>
      </c>
      <c r="K466" s="7" t="s">
        <v>36</v>
      </c>
      <c r="L466" s="7" t="s">
        <v>37</v>
      </c>
      <c r="M466" s="7" t="s">
        <v>38</v>
      </c>
      <c r="N466" s="5">
        <v>43204.0</v>
      </c>
      <c r="O466" s="8">
        <v>27300.0</v>
      </c>
      <c r="P466" s="8">
        <v>42600.0</v>
      </c>
      <c r="Q466" s="8">
        <f t="shared" si="2"/>
        <v>15300</v>
      </c>
      <c r="R466" s="8">
        <v>27.0</v>
      </c>
      <c r="S466" s="8">
        <f t="shared" si="3"/>
        <v>1150200</v>
      </c>
      <c r="T466" s="9">
        <v>0.03</v>
      </c>
      <c r="U466" s="8">
        <f t="shared" si="4"/>
        <v>34506</v>
      </c>
      <c r="V466" s="8">
        <f t="shared" si="5"/>
        <v>1115694</v>
      </c>
      <c r="W466" s="10">
        <f t="shared" si="6"/>
        <v>737100</v>
      </c>
      <c r="X466" s="10">
        <f t="shared" si="7"/>
        <v>378594</v>
      </c>
      <c r="Y466" s="10"/>
      <c r="Z466" s="10"/>
      <c r="AA466" s="10"/>
      <c r="AB466" s="4" t="s">
        <v>1602</v>
      </c>
      <c r="AC466" s="4" t="s">
        <v>1599</v>
      </c>
      <c r="AD466" s="4">
        <v>43203.0</v>
      </c>
      <c r="AE466" s="4">
        <v>2018.0</v>
      </c>
      <c r="AF466" s="4" t="s">
        <v>1600</v>
      </c>
      <c r="AG466" s="4" t="s">
        <v>1601</v>
      </c>
      <c r="AH466" s="4" t="s">
        <v>50</v>
      </c>
      <c r="AI466" s="4" t="s">
        <v>91</v>
      </c>
      <c r="AJ466" s="4" t="s">
        <v>344</v>
      </c>
      <c r="AK466" s="4" t="s">
        <v>92</v>
      </c>
      <c r="AL466" s="4" t="s">
        <v>1278</v>
      </c>
      <c r="AM466" s="4" t="s">
        <v>36</v>
      </c>
      <c r="AN466" s="4" t="s">
        <v>37</v>
      </c>
      <c r="AO466" s="4" t="s">
        <v>38</v>
      </c>
      <c r="AP466" s="4">
        <v>43204.0</v>
      </c>
      <c r="AQ466" s="4">
        <v>27300.0</v>
      </c>
      <c r="AR466" s="4">
        <v>42600.0</v>
      </c>
      <c r="AS466" s="4">
        <v>15300.0</v>
      </c>
      <c r="AT466" s="4">
        <v>27.0</v>
      </c>
      <c r="AU466" s="4">
        <v>1150200.0</v>
      </c>
      <c r="AV466" s="4">
        <v>0.03</v>
      </c>
      <c r="AW466" s="4">
        <v>34506.0</v>
      </c>
      <c r="AX466" s="4">
        <v>1115694.0</v>
      </c>
      <c r="AY466" s="4">
        <v>737100.0</v>
      </c>
      <c r="AZ466" s="4">
        <v>378594.0</v>
      </c>
    </row>
    <row r="467" ht="15.75" customHeight="1">
      <c r="A467" s="3" t="s">
        <v>1603</v>
      </c>
      <c r="B467" s="5">
        <v>43205.0</v>
      </c>
      <c r="C467" s="6">
        <f t="shared" si="1"/>
        <v>2018</v>
      </c>
      <c r="D467" s="7" t="s">
        <v>1604</v>
      </c>
      <c r="E467" s="7" t="s">
        <v>183</v>
      </c>
      <c r="F467" s="7" t="s">
        <v>31</v>
      </c>
      <c r="G467" s="5" t="s">
        <v>91</v>
      </c>
      <c r="H467" s="7" t="s">
        <v>43</v>
      </c>
      <c r="I467" s="7" t="s">
        <v>92</v>
      </c>
      <c r="J467" s="7" t="s">
        <v>1605</v>
      </c>
      <c r="K467" s="7" t="s">
        <v>36</v>
      </c>
      <c r="L467" s="7" t="s">
        <v>127</v>
      </c>
      <c r="M467" s="7" t="s">
        <v>38</v>
      </c>
      <c r="N467" s="5">
        <v>43207.0</v>
      </c>
      <c r="O467" s="8">
        <v>43050.0</v>
      </c>
      <c r="P467" s="8">
        <v>102600.0</v>
      </c>
      <c r="Q467" s="8">
        <f t="shared" si="2"/>
        <v>59550</v>
      </c>
      <c r="R467" s="8">
        <v>35.0</v>
      </c>
      <c r="S467" s="8">
        <f t="shared" si="3"/>
        <v>3591000</v>
      </c>
      <c r="T467" s="9">
        <v>0.01</v>
      </c>
      <c r="U467" s="8">
        <f t="shared" si="4"/>
        <v>35910</v>
      </c>
      <c r="V467" s="8">
        <f t="shared" si="5"/>
        <v>3555090</v>
      </c>
      <c r="W467" s="10">
        <f t="shared" si="6"/>
        <v>1506750</v>
      </c>
      <c r="X467" s="10">
        <f t="shared" si="7"/>
        <v>2048340</v>
      </c>
      <c r="Y467" s="10"/>
      <c r="Z467" s="10"/>
      <c r="AA467" s="10"/>
      <c r="AB467" s="4" t="s">
        <v>1606</v>
      </c>
      <c r="AC467" s="4" t="s">
        <v>1603</v>
      </c>
      <c r="AD467" s="4">
        <v>43205.0</v>
      </c>
      <c r="AE467" s="4">
        <v>2018.0</v>
      </c>
      <c r="AF467" s="4" t="s">
        <v>1604</v>
      </c>
      <c r="AG467" s="4" t="s">
        <v>183</v>
      </c>
      <c r="AH467" s="4" t="s">
        <v>31</v>
      </c>
      <c r="AI467" s="4" t="s">
        <v>91</v>
      </c>
      <c r="AJ467" s="4" t="s">
        <v>43</v>
      </c>
      <c r="AK467" s="4" t="s">
        <v>92</v>
      </c>
      <c r="AL467" s="4" t="s">
        <v>1605</v>
      </c>
      <c r="AM467" s="4" t="s">
        <v>36</v>
      </c>
      <c r="AN467" s="4" t="s">
        <v>127</v>
      </c>
      <c r="AO467" s="4" t="s">
        <v>38</v>
      </c>
      <c r="AP467" s="4">
        <v>43207.0</v>
      </c>
      <c r="AQ467" s="4">
        <v>43050.0</v>
      </c>
      <c r="AR467" s="4">
        <v>102600.0</v>
      </c>
      <c r="AS467" s="4">
        <v>59550.0</v>
      </c>
      <c r="AT467" s="4">
        <v>35.0</v>
      </c>
      <c r="AU467" s="4">
        <v>3591000.0</v>
      </c>
      <c r="AV467" s="4">
        <v>0.01</v>
      </c>
      <c r="AW467" s="4">
        <v>35910.0</v>
      </c>
      <c r="AX467" s="4">
        <v>3555090.0</v>
      </c>
      <c r="AY467" s="4">
        <v>1506750.0</v>
      </c>
      <c r="AZ467" s="4">
        <v>2048340.0</v>
      </c>
    </row>
    <row r="468" ht="15.75" customHeight="1">
      <c r="A468" s="3" t="s">
        <v>1607</v>
      </c>
      <c r="B468" s="5">
        <v>43206.0</v>
      </c>
      <c r="C468" s="6">
        <f t="shared" si="1"/>
        <v>2018</v>
      </c>
      <c r="D468" s="7" t="s">
        <v>1608</v>
      </c>
      <c r="E468" s="7" t="s">
        <v>667</v>
      </c>
      <c r="F468" s="7" t="s">
        <v>50</v>
      </c>
      <c r="G468" s="5" t="s">
        <v>51</v>
      </c>
      <c r="H468" s="7" t="s">
        <v>140</v>
      </c>
      <c r="I468" s="7" t="s">
        <v>74</v>
      </c>
      <c r="J468" s="7" t="s">
        <v>264</v>
      </c>
      <c r="K468" s="7" t="s">
        <v>61</v>
      </c>
      <c r="L468" s="7" t="s">
        <v>37</v>
      </c>
      <c r="M468" s="7" t="s">
        <v>38</v>
      </c>
      <c r="N468" s="5">
        <v>43208.0</v>
      </c>
      <c r="O468" s="8">
        <v>296700.0</v>
      </c>
      <c r="P468" s="8">
        <v>689850.0</v>
      </c>
      <c r="Q468" s="8">
        <f t="shared" si="2"/>
        <v>393150</v>
      </c>
      <c r="R468" s="8">
        <v>50.0</v>
      </c>
      <c r="S468" s="8">
        <f t="shared" si="3"/>
        <v>34492500</v>
      </c>
      <c r="T468" s="9">
        <v>0.0</v>
      </c>
      <c r="U468" s="8">
        <f t="shared" si="4"/>
        <v>0</v>
      </c>
      <c r="V468" s="8">
        <f t="shared" si="5"/>
        <v>34492500</v>
      </c>
      <c r="W468" s="10">
        <f t="shared" si="6"/>
        <v>14835000</v>
      </c>
      <c r="X468" s="10">
        <f t="shared" si="7"/>
        <v>19657500</v>
      </c>
      <c r="Y468" s="10"/>
      <c r="Z468" s="10"/>
      <c r="AA468" s="10"/>
      <c r="AB468" s="4" t="s">
        <v>1609</v>
      </c>
      <c r="AC468" s="4" t="s">
        <v>1607</v>
      </c>
      <c r="AD468" s="4">
        <v>43206.0</v>
      </c>
      <c r="AE468" s="4">
        <v>2018.0</v>
      </c>
      <c r="AF468" s="4" t="s">
        <v>1608</v>
      </c>
      <c r="AG468" s="4" t="s">
        <v>667</v>
      </c>
      <c r="AH468" s="4" t="s">
        <v>50</v>
      </c>
      <c r="AI468" s="4" t="s">
        <v>51</v>
      </c>
      <c r="AJ468" s="4" t="s">
        <v>140</v>
      </c>
      <c r="AK468" s="4" t="s">
        <v>74</v>
      </c>
      <c r="AL468" s="4" t="s">
        <v>264</v>
      </c>
      <c r="AM468" s="4" t="s">
        <v>61</v>
      </c>
      <c r="AN468" s="4" t="s">
        <v>37</v>
      </c>
      <c r="AO468" s="4" t="s">
        <v>38</v>
      </c>
      <c r="AP468" s="4">
        <v>43208.0</v>
      </c>
      <c r="AQ468" s="4">
        <v>296700.0</v>
      </c>
      <c r="AR468" s="4">
        <v>689850.0</v>
      </c>
      <c r="AS468" s="4">
        <v>393150.0</v>
      </c>
      <c r="AT468" s="4">
        <v>50.0</v>
      </c>
      <c r="AU468" s="4">
        <v>3.44925E7</v>
      </c>
      <c r="AV468" s="4">
        <v>0.0</v>
      </c>
      <c r="AW468" s="4">
        <v>0.0</v>
      </c>
      <c r="AX468" s="4">
        <v>3.44925E7</v>
      </c>
      <c r="AY468" s="4">
        <v>1.4835E7</v>
      </c>
      <c r="AZ468" s="4">
        <v>1.96575E7</v>
      </c>
    </row>
    <row r="469" ht="15.75" customHeight="1">
      <c r="A469" s="3" t="s">
        <v>1610</v>
      </c>
      <c r="B469" s="5">
        <v>43206.0</v>
      </c>
      <c r="C469" s="6">
        <f t="shared" si="1"/>
        <v>2018</v>
      </c>
      <c r="D469" s="7" t="s">
        <v>1611</v>
      </c>
      <c r="E469" s="7" t="s">
        <v>591</v>
      </c>
      <c r="F469" s="7" t="s">
        <v>50</v>
      </c>
      <c r="G469" s="5" t="s">
        <v>32</v>
      </c>
      <c r="H469" s="7" t="s">
        <v>189</v>
      </c>
      <c r="I469" s="7" t="s">
        <v>104</v>
      </c>
      <c r="J469" s="7" t="s">
        <v>1612</v>
      </c>
      <c r="K469" s="7" t="s">
        <v>36</v>
      </c>
      <c r="L469" s="7" t="s">
        <v>45</v>
      </c>
      <c r="M469" s="7" t="s">
        <v>38</v>
      </c>
      <c r="N469" s="5">
        <v>43208.0</v>
      </c>
      <c r="O469" s="8">
        <v>40200.0</v>
      </c>
      <c r="P469" s="8">
        <v>91200.0</v>
      </c>
      <c r="Q469" s="8">
        <f t="shared" si="2"/>
        <v>51000</v>
      </c>
      <c r="R469" s="8">
        <v>30.0</v>
      </c>
      <c r="S469" s="8">
        <f t="shared" si="3"/>
        <v>2736000</v>
      </c>
      <c r="T469" s="9">
        <v>0.04</v>
      </c>
      <c r="U469" s="8">
        <f t="shared" si="4"/>
        <v>109440</v>
      </c>
      <c r="V469" s="8">
        <f t="shared" si="5"/>
        <v>2626560</v>
      </c>
      <c r="W469" s="10">
        <f t="shared" si="6"/>
        <v>1206000</v>
      </c>
      <c r="X469" s="10">
        <f t="shared" si="7"/>
        <v>1420560</v>
      </c>
      <c r="Y469" s="10"/>
      <c r="Z469" s="10"/>
      <c r="AA469" s="10"/>
      <c r="AB469" s="4" t="s">
        <v>1613</v>
      </c>
      <c r="AC469" s="4" t="s">
        <v>1610</v>
      </c>
      <c r="AD469" s="4">
        <v>43206.0</v>
      </c>
      <c r="AE469" s="4">
        <v>2018.0</v>
      </c>
      <c r="AF469" s="4" t="s">
        <v>1611</v>
      </c>
      <c r="AG469" s="4" t="s">
        <v>591</v>
      </c>
      <c r="AH469" s="4" t="s">
        <v>50</v>
      </c>
      <c r="AI469" s="4" t="s">
        <v>32</v>
      </c>
      <c r="AJ469" s="4" t="s">
        <v>189</v>
      </c>
      <c r="AK469" s="4" t="s">
        <v>104</v>
      </c>
      <c r="AL469" s="4" t="s">
        <v>1612</v>
      </c>
      <c r="AM469" s="4" t="s">
        <v>36</v>
      </c>
      <c r="AN469" s="4" t="s">
        <v>45</v>
      </c>
      <c r="AO469" s="4" t="s">
        <v>38</v>
      </c>
      <c r="AP469" s="4">
        <v>43208.0</v>
      </c>
      <c r="AQ469" s="4">
        <v>40200.0</v>
      </c>
      <c r="AR469" s="4">
        <v>91200.0</v>
      </c>
      <c r="AS469" s="4">
        <v>51000.0</v>
      </c>
      <c r="AT469" s="4">
        <v>30.0</v>
      </c>
      <c r="AU469" s="4">
        <v>2736000.0</v>
      </c>
      <c r="AV469" s="4">
        <v>0.04</v>
      </c>
      <c r="AW469" s="4">
        <v>109440.0</v>
      </c>
      <c r="AX469" s="4">
        <v>2626560.0</v>
      </c>
      <c r="AY469" s="4">
        <v>1206000.0</v>
      </c>
      <c r="AZ469" s="4">
        <v>1420560.0</v>
      </c>
    </row>
    <row r="470" ht="15.75" customHeight="1">
      <c r="A470" s="3" t="s">
        <v>1614</v>
      </c>
      <c r="B470" s="5">
        <v>43211.0</v>
      </c>
      <c r="C470" s="6">
        <f t="shared" si="1"/>
        <v>2018</v>
      </c>
      <c r="D470" s="7" t="s">
        <v>1464</v>
      </c>
      <c r="E470" s="7" t="s">
        <v>1465</v>
      </c>
      <c r="F470" s="7" t="s">
        <v>31</v>
      </c>
      <c r="G470" s="5" t="s">
        <v>51</v>
      </c>
      <c r="H470" s="7" t="s">
        <v>33</v>
      </c>
      <c r="I470" s="7" t="s">
        <v>104</v>
      </c>
      <c r="J470" s="7" t="s">
        <v>99</v>
      </c>
      <c r="K470" s="7" t="s">
        <v>36</v>
      </c>
      <c r="L470" s="7" t="s">
        <v>37</v>
      </c>
      <c r="M470" s="7" t="s">
        <v>38</v>
      </c>
      <c r="N470" s="5">
        <v>43213.0</v>
      </c>
      <c r="O470" s="8">
        <v>79950.0</v>
      </c>
      <c r="P470" s="8">
        <v>129000.0</v>
      </c>
      <c r="Q470" s="8">
        <f t="shared" si="2"/>
        <v>49050</v>
      </c>
      <c r="R470" s="8">
        <v>48.0</v>
      </c>
      <c r="S470" s="8">
        <f t="shared" si="3"/>
        <v>6192000</v>
      </c>
      <c r="T470" s="9">
        <v>0.02</v>
      </c>
      <c r="U470" s="8">
        <f t="shared" si="4"/>
        <v>123840</v>
      </c>
      <c r="V470" s="8">
        <f t="shared" si="5"/>
        <v>6068160</v>
      </c>
      <c r="W470" s="10">
        <f t="shared" si="6"/>
        <v>3837600</v>
      </c>
      <c r="X470" s="10">
        <f t="shared" si="7"/>
        <v>2230560</v>
      </c>
      <c r="Y470" s="10"/>
      <c r="Z470" s="10"/>
      <c r="AA470" s="10"/>
      <c r="AB470" s="4" t="s">
        <v>1615</v>
      </c>
      <c r="AC470" s="4" t="s">
        <v>1614</v>
      </c>
      <c r="AD470" s="4">
        <v>43211.0</v>
      </c>
      <c r="AE470" s="4">
        <v>2018.0</v>
      </c>
      <c r="AF470" s="4" t="s">
        <v>1464</v>
      </c>
      <c r="AG470" s="4" t="s">
        <v>1465</v>
      </c>
      <c r="AH470" s="4" t="s">
        <v>31</v>
      </c>
      <c r="AI470" s="4" t="s">
        <v>51</v>
      </c>
      <c r="AJ470" s="4" t="s">
        <v>33</v>
      </c>
      <c r="AK470" s="4" t="s">
        <v>104</v>
      </c>
      <c r="AL470" s="4" t="s">
        <v>99</v>
      </c>
      <c r="AM470" s="4" t="s">
        <v>36</v>
      </c>
      <c r="AN470" s="4" t="s">
        <v>37</v>
      </c>
      <c r="AO470" s="4" t="s">
        <v>38</v>
      </c>
      <c r="AP470" s="4">
        <v>43213.0</v>
      </c>
      <c r="AQ470" s="4">
        <v>79950.0</v>
      </c>
      <c r="AR470" s="4">
        <v>129000.0</v>
      </c>
      <c r="AS470" s="4">
        <v>49050.0</v>
      </c>
      <c r="AT470" s="4">
        <v>48.0</v>
      </c>
      <c r="AU470" s="4">
        <v>6192000.0</v>
      </c>
      <c r="AV470" s="4">
        <v>0.02</v>
      </c>
      <c r="AW470" s="4">
        <v>123840.0</v>
      </c>
      <c r="AX470" s="4">
        <v>6068160.0</v>
      </c>
      <c r="AY470" s="4">
        <v>3837600.0</v>
      </c>
      <c r="AZ470" s="4">
        <v>2230560.0</v>
      </c>
    </row>
    <row r="471" ht="15.75" customHeight="1">
      <c r="A471" s="3" t="s">
        <v>1616</v>
      </c>
      <c r="B471" s="5">
        <v>43211.0</v>
      </c>
      <c r="C471" s="6">
        <f t="shared" si="1"/>
        <v>2018</v>
      </c>
      <c r="D471" s="7" t="s">
        <v>645</v>
      </c>
      <c r="E471" s="7" t="s">
        <v>238</v>
      </c>
      <c r="F471" s="7" t="s">
        <v>50</v>
      </c>
      <c r="G471" s="5" t="s">
        <v>68</v>
      </c>
      <c r="H471" s="7" t="s">
        <v>151</v>
      </c>
      <c r="I471" s="7" t="s">
        <v>92</v>
      </c>
      <c r="J471" s="7" t="s">
        <v>502</v>
      </c>
      <c r="K471" s="7" t="s">
        <v>36</v>
      </c>
      <c r="L471" s="7" t="s">
        <v>37</v>
      </c>
      <c r="M471" s="7" t="s">
        <v>55</v>
      </c>
      <c r="N471" s="5">
        <v>43213.0</v>
      </c>
      <c r="O471" s="8">
        <v>66900.0</v>
      </c>
      <c r="P471" s="8">
        <v>163350.0</v>
      </c>
      <c r="Q471" s="8">
        <f t="shared" si="2"/>
        <v>96450</v>
      </c>
      <c r="R471" s="8">
        <v>37.0</v>
      </c>
      <c r="S471" s="8">
        <f t="shared" si="3"/>
        <v>6043950</v>
      </c>
      <c r="T471" s="9">
        <v>0.0</v>
      </c>
      <c r="U471" s="8">
        <f t="shared" si="4"/>
        <v>0</v>
      </c>
      <c r="V471" s="8">
        <f t="shared" si="5"/>
        <v>6043950</v>
      </c>
      <c r="W471" s="10">
        <f t="shared" si="6"/>
        <v>2475300</v>
      </c>
      <c r="X471" s="10">
        <f t="shared" si="7"/>
        <v>3568650</v>
      </c>
      <c r="Y471" s="10"/>
      <c r="Z471" s="10"/>
      <c r="AA471" s="10"/>
      <c r="AB471" s="4" t="s">
        <v>1617</v>
      </c>
      <c r="AC471" s="4" t="s">
        <v>1616</v>
      </c>
      <c r="AD471" s="4">
        <v>43211.0</v>
      </c>
      <c r="AE471" s="4">
        <v>2018.0</v>
      </c>
      <c r="AF471" s="4" t="s">
        <v>645</v>
      </c>
      <c r="AG471" s="4" t="s">
        <v>238</v>
      </c>
      <c r="AH471" s="4" t="s">
        <v>50</v>
      </c>
      <c r="AI471" s="4" t="s">
        <v>68</v>
      </c>
      <c r="AJ471" s="4" t="s">
        <v>151</v>
      </c>
      <c r="AK471" s="4" t="s">
        <v>92</v>
      </c>
      <c r="AL471" s="4" t="s">
        <v>502</v>
      </c>
      <c r="AM471" s="4" t="s">
        <v>36</v>
      </c>
      <c r="AN471" s="4" t="s">
        <v>37</v>
      </c>
      <c r="AO471" s="4" t="s">
        <v>55</v>
      </c>
      <c r="AP471" s="4">
        <v>43213.0</v>
      </c>
      <c r="AQ471" s="4">
        <v>66900.0</v>
      </c>
      <c r="AR471" s="4">
        <v>163350.0</v>
      </c>
      <c r="AS471" s="4">
        <v>96450.0</v>
      </c>
      <c r="AT471" s="4">
        <v>37.0</v>
      </c>
      <c r="AU471" s="4">
        <v>6043950.0</v>
      </c>
      <c r="AV471" s="4">
        <v>0.0</v>
      </c>
      <c r="AW471" s="4">
        <v>0.0</v>
      </c>
      <c r="AX471" s="4">
        <v>6043950.0</v>
      </c>
      <c r="AY471" s="4">
        <v>2475300.0</v>
      </c>
      <c r="AZ471" s="4">
        <v>3568650.0</v>
      </c>
    </row>
    <row r="472" ht="15.75" customHeight="1">
      <c r="A472" s="3" t="s">
        <v>1618</v>
      </c>
      <c r="B472" s="5">
        <v>43213.0</v>
      </c>
      <c r="C472" s="6">
        <f t="shared" si="1"/>
        <v>2018</v>
      </c>
      <c r="D472" s="7" t="s">
        <v>1619</v>
      </c>
      <c r="E472" s="7" t="s">
        <v>103</v>
      </c>
      <c r="F472" s="7" t="s">
        <v>31</v>
      </c>
      <c r="G472" s="5" t="s">
        <v>68</v>
      </c>
      <c r="H472" s="7" t="s">
        <v>33</v>
      </c>
      <c r="I472" s="7" t="s">
        <v>34</v>
      </c>
      <c r="J472" s="7" t="s">
        <v>1143</v>
      </c>
      <c r="K472" s="7" t="s">
        <v>36</v>
      </c>
      <c r="L472" s="7" t="s">
        <v>45</v>
      </c>
      <c r="M472" s="7" t="s">
        <v>38</v>
      </c>
      <c r="N472" s="5">
        <v>43215.0</v>
      </c>
      <c r="O472" s="8">
        <v>13050.0</v>
      </c>
      <c r="P472" s="8">
        <v>27150.0</v>
      </c>
      <c r="Q472" s="8">
        <f t="shared" si="2"/>
        <v>14100</v>
      </c>
      <c r="R472" s="8">
        <v>9.0</v>
      </c>
      <c r="S472" s="8">
        <f t="shared" si="3"/>
        <v>244350</v>
      </c>
      <c r="T472" s="9">
        <v>0.09</v>
      </c>
      <c r="U472" s="8">
        <f t="shared" si="4"/>
        <v>21991.5</v>
      </c>
      <c r="V472" s="8">
        <f t="shared" si="5"/>
        <v>222358.5</v>
      </c>
      <c r="W472" s="10">
        <f t="shared" si="6"/>
        <v>117450</v>
      </c>
      <c r="X472" s="10">
        <f t="shared" si="7"/>
        <v>104908.5</v>
      </c>
      <c r="Y472" s="10"/>
      <c r="Z472" s="10"/>
      <c r="AA472" s="10"/>
      <c r="AB472" s="4" t="s">
        <v>1620</v>
      </c>
      <c r="AC472" s="4" t="s">
        <v>1618</v>
      </c>
      <c r="AD472" s="4">
        <v>43213.0</v>
      </c>
      <c r="AE472" s="4">
        <v>2018.0</v>
      </c>
      <c r="AF472" s="4" t="s">
        <v>1619</v>
      </c>
      <c r="AG472" s="4" t="s">
        <v>103</v>
      </c>
      <c r="AH472" s="4" t="s">
        <v>31</v>
      </c>
      <c r="AI472" s="4" t="s">
        <v>68</v>
      </c>
      <c r="AJ472" s="4" t="s">
        <v>33</v>
      </c>
      <c r="AK472" s="4" t="s">
        <v>34</v>
      </c>
      <c r="AL472" s="4" t="s">
        <v>1143</v>
      </c>
      <c r="AM472" s="4" t="s">
        <v>36</v>
      </c>
      <c r="AN472" s="4" t="s">
        <v>45</v>
      </c>
      <c r="AO472" s="4" t="s">
        <v>38</v>
      </c>
      <c r="AP472" s="4">
        <v>43215.0</v>
      </c>
      <c r="AQ472" s="4">
        <v>13050.0</v>
      </c>
      <c r="AR472" s="4">
        <v>27150.0</v>
      </c>
      <c r="AS472" s="4">
        <v>14100.0</v>
      </c>
      <c r="AT472" s="4">
        <v>9.0</v>
      </c>
      <c r="AU472" s="4">
        <v>244350.0</v>
      </c>
      <c r="AV472" s="4">
        <v>0.09</v>
      </c>
      <c r="AW472" s="4">
        <v>21991.5</v>
      </c>
      <c r="AX472" s="4">
        <v>222358.5</v>
      </c>
      <c r="AY472" s="4">
        <v>117450.0</v>
      </c>
      <c r="AZ472" s="4">
        <v>104908.5</v>
      </c>
    </row>
    <row r="473" ht="15.75" customHeight="1">
      <c r="A473" s="3" t="s">
        <v>1621</v>
      </c>
      <c r="B473" s="5">
        <v>43214.0</v>
      </c>
      <c r="C473" s="6">
        <f t="shared" si="1"/>
        <v>2018</v>
      </c>
      <c r="D473" s="7" t="s">
        <v>1622</v>
      </c>
      <c r="E473" s="7" t="s">
        <v>173</v>
      </c>
      <c r="F473" s="7" t="s">
        <v>31</v>
      </c>
      <c r="G473" s="5" t="s">
        <v>32</v>
      </c>
      <c r="H473" s="7" t="s">
        <v>43</v>
      </c>
      <c r="I473" s="7" t="s">
        <v>104</v>
      </c>
      <c r="J473" s="7" t="s">
        <v>254</v>
      </c>
      <c r="K473" s="7" t="s">
        <v>36</v>
      </c>
      <c r="L473" s="7" t="s">
        <v>37</v>
      </c>
      <c r="M473" s="7" t="s">
        <v>38</v>
      </c>
      <c r="N473" s="5">
        <v>43216.0</v>
      </c>
      <c r="O473" s="8">
        <v>208200.0</v>
      </c>
      <c r="P473" s="8">
        <v>335700.0</v>
      </c>
      <c r="Q473" s="8">
        <f t="shared" si="2"/>
        <v>127500</v>
      </c>
      <c r="R473" s="8">
        <v>50.0</v>
      </c>
      <c r="S473" s="8">
        <f t="shared" si="3"/>
        <v>16785000</v>
      </c>
      <c r="T473" s="9">
        <v>0.07</v>
      </c>
      <c r="U473" s="8">
        <f t="shared" si="4"/>
        <v>1174950</v>
      </c>
      <c r="V473" s="8">
        <f t="shared" si="5"/>
        <v>15610050</v>
      </c>
      <c r="W473" s="10">
        <f t="shared" si="6"/>
        <v>10410000</v>
      </c>
      <c r="X473" s="10">
        <f t="shared" si="7"/>
        <v>5200050</v>
      </c>
      <c r="Y473" s="10"/>
      <c r="Z473" s="10"/>
      <c r="AA473" s="10"/>
      <c r="AB473" s="4" t="s">
        <v>1623</v>
      </c>
      <c r="AC473" s="4" t="s">
        <v>1621</v>
      </c>
      <c r="AD473" s="4">
        <v>43214.0</v>
      </c>
      <c r="AE473" s="4">
        <v>2018.0</v>
      </c>
      <c r="AF473" s="4" t="s">
        <v>1622</v>
      </c>
      <c r="AG473" s="4" t="s">
        <v>173</v>
      </c>
      <c r="AH473" s="4" t="s">
        <v>31</v>
      </c>
      <c r="AI473" s="4" t="s">
        <v>32</v>
      </c>
      <c r="AJ473" s="4" t="s">
        <v>43</v>
      </c>
      <c r="AK473" s="4" t="s">
        <v>104</v>
      </c>
      <c r="AL473" s="4" t="s">
        <v>254</v>
      </c>
      <c r="AM473" s="4" t="s">
        <v>36</v>
      </c>
      <c r="AN473" s="4" t="s">
        <v>37</v>
      </c>
      <c r="AO473" s="4" t="s">
        <v>38</v>
      </c>
      <c r="AP473" s="4">
        <v>43216.0</v>
      </c>
      <c r="AQ473" s="4">
        <v>208200.0</v>
      </c>
      <c r="AR473" s="4">
        <v>335700.0</v>
      </c>
      <c r="AS473" s="4">
        <v>127500.0</v>
      </c>
      <c r="AT473" s="4">
        <v>50.0</v>
      </c>
      <c r="AU473" s="4">
        <v>1.6785E7</v>
      </c>
      <c r="AV473" s="4">
        <v>0.07</v>
      </c>
      <c r="AW473" s="4">
        <v>1174950.0</v>
      </c>
      <c r="AX473" s="4">
        <v>1.561005E7</v>
      </c>
      <c r="AY473" s="4">
        <v>1.041E7</v>
      </c>
      <c r="AZ473" s="4">
        <v>5200050.0</v>
      </c>
    </row>
    <row r="474" ht="15.75" customHeight="1">
      <c r="A474" s="3" t="s">
        <v>1624</v>
      </c>
      <c r="B474" s="5">
        <v>43214.0</v>
      </c>
      <c r="C474" s="6">
        <f t="shared" si="1"/>
        <v>2018</v>
      </c>
      <c r="D474" s="7" t="s">
        <v>334</v>
      </c>
      <c r="E474" s="7" t="s">
        <v>30</v>
      </c>
      <c r="F474" s="7" t="s">
        <v>31</v>
      </c>
      <c r="G474" s="5" t="s">
        <v>68</v>
      </c>
      <c r="H474" s="7" t="s">
        <v>33</v>
      </c>
      <c r="I474" s="7" t="s">
        <v>74</v>
      </c>
      <c r="J474" s="7" t="s">
        <v>462</v>
      </c>
      <c r="K474" s="7" t="s">
        <v>36</v>
      </c>
      <c r="L474" s="7" t="s">
        <v>45</v>
      </c>
      <c r="M474" s="7" t="s">
        <v>38</v>
      </c>
      <c r="N474" s="5">
        <v>43214.0</v>
      </c>
      <c r="O474" s="8">
        <v>19650.0</v>
      </c>
      <c r="P474" s="8">
        <v>42600.0</v>
      </c>
      <c r="Q474" s="8">
        <f t="shared" si="2"/>
        <v>22950</v>
      </c>
      <c r="R474" s="8">
        <v>21.0</v>
      </c>
      <c r="S474" s="8">
        <f t="shared" si="3"/>
        <v>894600</v>
      </c>
      <c r="T474" s="9">
        <v>0.0</v>
      </c>
      <c r="U474" s="8">
        <f t="shared" si="4"/>
        <v>0</v>
      </c>
      <c r="V474" s="8">
        <f t="shared" si="5"/>
        <v>894600</v>
      </c>
      <c r="W474" s="10">
        <f t="shared" si="6"/>
        <v>412650</v>
      </c>
      <c r="X474" s="10">
        <f t="shared" si="7"/>
        <v>481950</v>
      </c>
      <c r="Y474" s="10"/>
      <c r="Z474" s="10"/>
      <c r="AA474" s="10"/>
      <c r="AB474" s="4" t="s">
        <v>1625</v>
      </c>
      <c r="AC474" s="4" t="s">
        <v>1624</v>
      </c>
      <c r="AD474" s="4">
        <v>43214.0</v>
      </c>
      <c r="AE474" s="4">
        <v>2018.0</v>
      </c>
      <c r="AF474" s="4" t="s">
        <v>334</v>
      </c>
      <c r="AG474" s="4" t="s">
        <v>30</v>
      </c>
      <c r="AH474" s="4" t="s">
        <v>31</v>
      </c>
      <c r="AI474" s="4" t="s">
        <v>68</v>
      </c>
      <c r="AJ474" s="4" t="s">
        <v>33</v>
      </c>
      <c r="AK474" s="4" t="s">
        <v>74</v>
      </c>
      <c r="AL474" s="4" t="s">
        <v>462</v>
      </c>
      <c r="AM474" s="4" t="s">
        <v>36</v>
      </c>
      <c r="AN474" s="4" t="s">
        <v>45</v>
      </c>
      <c r="AO474" s="4" t="s">
        <v>38</v>
      </c>
      <c r="AP474" s="4">
        <v>43214.0</v>
      </c>
      <c r="AQ474" s="4">
        <v>19650.0</v>
      </c>
      <c r="AR474" s="4">
        <v>42600.0</v>
      </c>
      <c r="AS474" s="4">
        <v>22950.0</v>
      </c>
      <c r="AT474" s="4">
        <v>21.0</v>
      </c>
      <c r="AU474" s="4">
        <v>894600.0</v>
      </c>
      <c r="AV474" s="4">
        <v>0.0</v>
      </c>
      <c r="AW474" s="4">
        <v>0.0</v>
      </c>
      <c r="AX474" s="4">
        <v>894600.0</v>
      </c>
      <c r="AY474" s="4">
        <v>412650.0</v>
      </c>
      <c r="AZ474" s="4">
        <v>481950.0</v>
      </c>
    </row>
    <row r="475" ht="15.75" customHeight="1">
      <c r="A475" s="3" t="s">
        <v>1626</v>
      </c>
      <c r="B475" s="5">
        <v>43215.0</v>
      </c>
      <c r="C475" s="6">
        <f t="shared" si="1"/>
        <v>2018</v>
      </c>
      <c r="D475" s="7" t="s">
        <v>1627</v>
      </c>
      <c r="E475" s="7" t="s">
        <v>542</v>
      </c>
      <c r="F475" s="7" t="s">
        <v>31</v>
      </c>
      <c r="G475" s="5" t="s">
        <v>51</v>
      </c>
      <c r="H475" s="7" t="s">
        <v>33</v>
      </c>
      <c r="I475" s="7" t="s">
        <v>92</v>
      </c>
      <c r="J475" s="7" t="s">
        <v>339</v>
      </c>
      <c r="K475" s="7" t="s">
        <v>61</v>
      </c>
      <c r="L475" s="7" t="s">
        <v>127</v>
      </c>
      <c r="M475" s="7" t="s">
        <v>38</v>
      </c>
      <c r="N475" s="5">
        <v>43216.0</v>
      </c>
      <c r="O475" s="8">
        <v>302700.0</v>
      </c>
      <c r="P475" s="8">
        <v>531150.0</v>
      </c>
      <c r="Q475" s="8">
        <f t="shared" si="2"/>
        <v>228450</v>
      </c>
      <c r="R475" s="8">
        <v>1.0</v>
      </c>
      <c r="S475" s="8">
        <f t="shared" si="3"/>
        <v>531150</v>
      </c>
      <c r="T475" s="9">
        <v>0.0</v>
      </c>
      <c r="U475" s="8">
        <f t="shared" si="4"/>
        <v>0</v>
      </c>
      <c r="V475" s="8">
        <f t="shared" si="5"/>
        <v>531150</v>
      </c>
      <c r="W475" s="10">
        <f t="shared" si="6"/>
        <v>302700</v>
      </c>
      <c r="X475" s="10">
        <f t="shared" si="7"/>
        <v>228450</v>
      </c>
      <c r="Y475" s="10"/>
      <c r="Z475" s="10"/>
      <c r="AA475" s="10"/>
      <c r="AB475" s="4" t="s">
        <v>1628</v>
      </c>
      <c r="AC475" s="4" t="s">
        <v>1626</v>
      </c>
      <c r="AD475" s="4">
        <v>43215.0</v>
      </c>
      <c r="AE475" s="4">
        <v>2018.0</v>
      </c>
      <c r="AF475" s="4" t="s">
        <v>1627</v>
      </c>
      <c r="AG475" s="4" t="s">
        <v>542</v>
      </c>
      <c r="AH475" s="4" t="s">
        <v>31</v>
      </c>
      <c r="AI475" s="4" t="s">
        <v>51</v>
      </c>
      <c r="AJ475" s="4" t="s">
        <v>33</v>
      </c>
      <c r="AK475" s="4" t="s">
        <v>92</v>
      </c>
      <c r="AL475" s="4" t="s">
        <v>339</v>
      </c>
      <c r="AM475" s="4" t="s">
        <v>61</v>
      </c>
      <c r="AN475" s="4" t="s">
        <v>127</v>
      </c>
      <c r="AO475" s="4" t="s">
        <v>38</v>
      </c>
      <c r="AP475" s="4">
        <v>43216.0</v>
      </c>
      <c r="AQ475" s="4">
        <v>302700.0</v>
      </c>
      <c r="AR475" s="4">
        <v>531150.0</v>
      </c>
      <c r="AS475" s="4">
        <v>228450.0</v>
      </c>
      <c r="AT475" s="4">
        <v>1.0</v>
      </c>
      <c r="AU475" s="4">
        <v>531150.0</v>
      </c>
      <c r="AV475" s="4">
        <v>0.0</v>
      </c>
      <c r="AW475" s="4">
        <v>0.0</v>
      </c>
      <c r="AX475" s="4">
        <v>531150.0</v>
      </c>
      <c r="AY475" s="4">
        <v>302700.0</v>
      </c>
      <c r="AZ475" s="4">
        <v>228450.0</v>
      </c>
    </row>
    <row r="476" ht="15.75" customHeight="1">
      <c r="A476" s="3" t="s">
        <v>1629</v>
      </c>
      <c r="B476" s="5">
        <v>43215.0</v>
      </c>
      <c r="C476" s="6">
        <f t="shared" si="1"/>
        <v>2018</v>
      </c>
      <c r="D476" s="7" t="s">
        <v>1058</v>
      </c>
      <c r="E476" s="7" t="s">
        <v>747</v>
      </c>
      <c r="F476" s="7" t="s">
        <v>50</v>
      </c>
      <c r="G476" s="5" t="s">
        <v>32</v>
      </c>
      <c r="H476" s="7" t="s">
        <v>200</v>
      </c>
      <c r="I476" s="7" t="s">
        <v>92</v>
      </c>
      <c r="J476" s="7" t="s">
        <v>70</v>
      </c>
      <c r="K476" s="7" t="s">
        <v>36</v>
      </c>
      <c r="L476" s="7" t="s">
        <v>45</v>
      </c>
      <c r="M476" s="7" t="s">
        <v>38</v>
      </c>
      <c r="N476" s="5">
        <v>43217.0</v>
      </c>
      <c r="O476" s="8">
        <v>13500.0</v>
      </c>
      <c r="P476" s="8">
        <v>31500.0</v>
      </c>
      <c r="Q476" s="8">
        <f t="shared" si="2"/>
        <v>18000</v>
      </c>
      <c r="R476" s="8">
        <v>23.0</v>
      </c>
      <c r="S476" s="8">
        <f t="shared" si="3"/>
        <v>724500</v>
      </c>
      <c r="T476" s="9">
        <v>0.06</v>
      </c>
      <c r="U476" s="8">
        <f t="shared" si="4"/>
        <v>43470</v>
      </c>
      <c r="V476" s="8">
        <f t="shared" si="5"/>
        <v>681030</v>
      </c>
      <c r="W476" s="10">
        <f t="shared" si="6"/>
        <v>310500</v>
      </c>
      <c r="X476" s="10">
        <f t="shared" si="7"/>
        <v>370530</v>
      </c>
      <c r="Y476" s="10"/>
      <c r="Z476" s="10"/>
      <c r="AA476" s="10"/>
      <c r="AB476" s="4" t="s">
        <v>1630</v>
      </c>
      <c r="AC476" s="4" t="s">
        <v>1629</v>
      </c>
      <c r="AD476" s="4">
        <v>43215.0</v>
      </c>
      <c r="AE476" s="4">
        <v>2018.0</v>
      </c>
      <c r="AF476" s="4" t="s">
        <v>1058</v>
      </c>
      <c r="AG476" s="4" t="s">
        <v>747</v>
      </c>
      <c r="AH476" s="4" t="s">
        <v>50</v>
      </c>
      <c r="AI476" s="4" t="s">
        <v>32</v>
      </c>
      <c r="AJ476" s="4" t="s">
        <v>200</v>
      </c>
      <c r="AK476" s="4" t="s">
        <v>92</v>
      </c>
      <c r="AL476" s="4" t="s">
        <v>70</v>
      </c>
      <c r="AM476" s="4" t="s">
        <v>36</v>
      </c>
      <c r="AN476" s="4" t="s">
        <v>45</v>
      </c>
      <c r="AO476" s="4" t="s">
        <v>38</v>
      </c>
      <c r="AP476" s="4">
        <v>43217.0</v>
      </c>
      <c r="AQ476" s="4">
        <v>13500.0</v>
      </c>
      <c r="AR476" s="4">
        <v>31500.0</v>
      </c>
      <c r="AS476" s="4">
        <v>18000.0</v>
      </c>
      <c r="AT476" s="4">
        <v>23.0</v>
      </c>
      <c r="AU476" s="4">
        <v>724500.0</v>
      </c>
      <c r="AV476" s="4">
        <v>0.06</v>
      </c>
      <c r="AW476" s="4">
        <v>43470.0</v>
      </c>
      <c r="AX476" s="4">
        <v>681030.0</v>
      </c>
      <c r="AY476" s="4">
        <v>310500.0</v>
      </c>
      <c r="AZ476" s="4">
        <v>370530.0</v>
      </c>
    </row>
    <row r="477" ht="15.75" customHeight="1">
      <c r="A477" s="3" t="s">
        <v>1631</v>
      </c>
      <c r="B477" s="5">
        <v>43216.0</v>
      </c>
      <c r="C477" s="6">
        <f t="shared" si="1"/>
        <v>2018</v>
      </c>
      <c r="D477" s="7" t="s">
        <v>1632</v>
      </c>
      <c r="E477" s="7" t="s">
        <v>795</v>
      </c>
      <c r="F477" s="7" t="s">
        <v>50</v>
      </c>
      <c r="G477" s="5" t="s">
        <v>51</v>
      </c>
      <c r="H477" s="7" t="s">
        <v>344</v>
      </c>
      <c r="I477" s="7" t="s">
        <v>92</v>
      </c>
      <c r="J477" s="7" t="s">
        <v>160</v>
      </c>
      <c r="K477" s="7" t="s">
        <v>36</v>
      </c>
      <c r="L477" s="7" t="s">
        <v>37</v>
      </c>
      <c r="M477" s="7" t="s">
        <v>38</v>
      </c>
      <c r="N477" s="5">
        <v>43218.0</v>
      </c>
      <c r="O477" s="8">
        <v>52800.0</v>
      </c>
      <c r="P477" s="8">
        <v>85200.0</v>
      </c>
      <c r="Q477" s="8">
        <f t="shared" si="2"/>
        <v>32400</v>
      </c>
      <c r="R477" s="8">
        <v>18.0</v>
      </c>
      <c r="S477" s="8">
        <f t="shared" si="3"/>
        <v>1533600</v>
      </c>
      <c r="T477" s="9">
        <v>0.06</v>
      </c>
      <c r="U477" s="8">
        <f t="shared" si="4"/>
        <v>92016</v>
      </c>
      <c r="V477" s="8">
        <f t="shared" si="5"/>
        <v>1441584</v>
      </c>
      <c r="W477" s="10">
        <f t="shared" si="6"/>
        <v>950400</v>
      </c>
      <c r="X477" s="10">
        <f t="shared" si="7"/>
        <v>491184</v>
      </c>
      <c r="Y477" s="10"/>
      <c r="Z477" s="10"/>
      <c r="AA477" s="10"/>
      <c r="AB477" s="4" t="s">
        <v>1633</v>
      </c>
      <c r="AC477" s="4" t="s">
        <v>1631</v>
      </c>
      <c r="AD477" s="4">
        <v>43216.0</v>
      </c>
      <c r="AE477" s="4">
        <v>2018.0</v>
      </c>
      <c r="AF477" s="4" t="s">
        <v>1632</v>
      </c>
      <c r="AG477" s="4" t="s">
        <v>795</v>
      </c>
      <c r="AH477" s="4" t="s">
        <v>50</v>
      </c>
      <c r="AI477" s="4" t="s">
        <v>51</v>
      </c>
      <c r="AJ477" s="4" t="s">
        <v>344</v>
      </c>
      <c r="AK477" s="4" t="s">
        <v>92</v>
      </c>
      <c r="AL477" s="4" t="s">
        <v>160</v>
      </c>
      <c r="AM477" s="4" t="s">
        <v>36</v>
      </c>
      <c r="AN477" s="4" t="s">
        <v>37</v>
      </c>
      <c r="AO477" s="4" t="s">
        <v>38</v>
      </c>
      <c r="AP477" s="4">
        <v>43218.0</v>
      </c>
      <c r="AQ477" s="4">
        <v>52800.0</v>
      </c>
      <c r="AR477" s="4">
        <v>85200.0</v>
      </c>
      <c r="AS477" s="4">
        <v>32400.0</v>
      </c>
      <c r="AT477" s="4">
        <v>18.0</v>
      </c>
      <c r="AU477" s="4">
        <v>1533600.0</v>
      </c>
      <c r="AV477" s="4">
        <v>0.06</v>
      </c>
      <c r="AW477" s="4">
        <v>92016.0</v>
      </c>
      <c r="AX477" s="4">
        <v>1441584.0</v>
      </c>
      <c r="AY477" s="4">
        <v>950400.0</v>
      </c>
      <c r="AZ477" s="4">
        <v>491184.0</v>
      </c>
    </row>
    <row r="478" ht="15.75" customHeight="1">
      <c r="A478" s="3" t="s">
        <v>1634</v>
      </c>
      <c r="B478" s="5">
        <v>43216.0</v>
      </c>
      <c r="C478" s="6">
        <f t="shared" si="1"/>
        <v>2018</v>
      </c>
      <c r="D478" s="7" t="s">
        <v>262</v>
      </c>
      <c r="E478" s="7" t="s">
        <v>263</v>
      </c>
      <c r="F478" s="7" t="s">
        <v>50</v>
      </c>
      <c r="G478" s="5" t="s">
        <v>68</v>
      </c>
      <c r="H478" s="7" t="s">
        <v>140</v>
      </c>
      <c r="I478" s="7" t="s">
        <v>53</v>
      </c>
      <c r="J478" s="7" t="s">
        <v>380</v>
      </c>
      <c r="K478" s="7" t="s">
        <v>36</v>
      </c>
      <c r="L478" s="7" t="s">
        <v>45</v>
      </c>
      <c r="M478" s="7" t="s">
        <v>38</v>
      </c>
      <c r="N478" s="5">
        <v>43217.0</v>
      </c>
      <c r="O478" s="8">
        <v>43500.0</v>
      </c>
      <c r="P478" s="8">
        <v>71400.0</v>
      </c>
      <c r="Q478" s="8">
        <f t="shared" si="2"/>
        <v>27900</v>
      </c>
      <c r="R478" s="8">
        <v>42.0</v>
      </c>
      <c r="S478" s="8">
        <f t="shared" si="3"/>
        <v>2998800</v>
      </c>
      <c r="T478" s="9">
        <v>0.07</v>
      </c>
      <c r="U478" s="8">
        <f t="shared" si="4"/>
        <v>209916</v>
      </c>
      <c r="V478" s="8">
        <f t="shared" si="5"/>
        <v>2788884</v>
      </c>
      <c r="W478" s="10">
        <f t="shared" si="6"/>
        <v>1827000</v>
      </c>
      <c r="X478" s="10">
        <f t="shared" si="7"/>
        <v>961884</v>
      </c>
      <c r="Y478" s="10"/>
      <c r="Z478" s="10"/>
      <c r="AA478" s="10"/>
      <c r="AB478" s="4" t="s">
        <v>1635</v>
      </c>
      <c r="AC478" s="4" t="s">
        <v>1634</v>
      </c>
      <c r="AD478" s="4">
        <v>43216.0</v>
      </c>
      <c r="AE478" s="4">
        <v>2018.0</v>
      </c>
      <c r="AF478" s="4" t="s">
        <v>262</v>
      </c>
      <c r="AG478" s="4" t="s">
        <v>263</v>
      </c>
      <c r="AH478" s="4" t="s">
        <v>50</v>
      </c>
      <c r="AI478" s="4" t="s">
        <v>68</v>
      </c>
      <c r="AJ478" s="4" t="s">
        <v>140</v>
      </c>
      <c r="AK478" s="4" t="s">
        <v>53</v>
      </c>
      <c r="AL478" s="4" t="s">
        <v>380</v>
      </c>
      <c r="AM478" s="4" t="s">
        <v>36</v>
      </c>
      <c r="AN478" s="4" t="s">
        <v>45</v>
      </c>
      <c r="AO478" s="4" t="s">
        <v>38</v>
      </c>
      <c r="AP478" s="4">
        <v>43217.0</v>
      </c>
      <c r="AQ478" s="4">
        <v>43500.0</v>
      </c>
      <c r="AR478" s="4">
        <v>71400.0</v>
      </c>
      <c r="AS478" s="4">
        <v>27900.0</v>
      </c>
      <c r="AT478" s="4">
        <v>42.0</v>
      </c>
      <c r="AU478" s="4">
        <v>2998800.0</v>
      </c>
      <c r="AV478" s="4">
        <v>0.07</v>
      </c>
      <c r="AW478" s="4">
        <v>209916.0</v>
      </c>
      <c r="AX478" s="4">
        <v>2788884.0</v>
      </c>
      <c r="AY478" s="4">
        <v>1827000.0</v>
      </c>
      <c r="AZ478" s="4">
        <v>961884.0</v>
      </c>
    </row>
    <row r="479" ht="15.75" customHeight="1">
      <c r="A479" s="3" t="s">
        <v>1636</v>
      </c>
      <c r="B479" s="5">
        <v>43217.0</v>
      </c>
      <c r="C479" s="6">
        <f t="shared" si="1"/>
        <v>2018</v>
      </c>
      <c r="D479" s="7" t="s">
        <v>707</v>
      </c>
      <c r="E479" s="7" t="s">
        <v>119</v>
      </c>
      <c r="F479" s="7" t="s">
        <v>31</v>
      </c>
      <c r="G479" s="5" t="s">
        <v>68</v>
      </c>
      <c r="H479" s="7" t="s">
        <v>33</v>
      </c>
      <c r="I479" s="7" t="s">
        <v>34</v>
      </c>
      <c r="J479" s="7" t="s">
        <v>1605</v>
      </c>
      <c r="K479" s="7" t="s">
        <v>36</v>
      </c>
      <c r="L479" s="7" t="s">
        <v>127</v>
      </c>
      <c r="M479" s="7" t="s">
        <v>38</v>
      </c>
      <c r="N479" s="5">
        <v>43218.0</v>
      </c>
      <c r="O479" s="8">
        <v>43050.0</v>
      </c>
      <c r="P479" s="8">
        <v>102600.0</v>
      </c>
      <c r="Q479" s="8">
        <f t="shared" si="2"/>
        <v>59550</v>
      </c>
      <c r="R479" s="8">
        <v>26.0</v>
      </c>
      <c r="S479" s="8">
        <f t="shared" si="3"/>
        <v>2667600</v>
      </c>
      <c r="T479" s="9">
        <v>0.08</v>
      </c>
      <c r="U479" s="8">
        <f t="shared" si="4"/>
        <v>213408</v>
      </c>
      <c r="V479" s="8">
        <f t="shared" si="5"/>
        <v>2454192</v>
      </c>
      <c r="W479" s="10">
        <f t="shared" si="6"/>
        <v>1119300</v>
      </c>
      <c r="X479" s="10">
        <f t="shared" si="7"/>
        <v>1334892</v>
      </c>
      <c r="Y479" s="10"/>
      <c r="Z479" s="10"/>
      <c r="AA479" s="10"/>
      <c r="AB479" s="4" t="s">
        <v>1637</v>
      </c>
      <c r="AC479" s="4" t="s">
        <v>1636</v>
      </c>
      <c r="AD479" s="4">
        <v>43217.0</v>
      </c>
      <c r="AE479" s="4">
        <v>2018.0</v>
      </c>
      <c r="AF479" s="4" t="s">
        <v>707</v>
      </c>
      <c r="AG479" s="4" t="s">
        <v>119</v>
      </c>
      <c r="AH479" s="4" t="s">
        <v>31</v>
      </c>
      <c r="AI479" s="4" t="s">
        <v>68</v>
      </c>
      <c r="AJ479" s="4" t="s">
        <v>33</v>
      </c>
      <c r="AK479" s="4" t="s">
        <v>34</v>
      </c>
      <c r="AL479" s="4" t="s">
        <v>1605</v>
      </c>
      <c r="AM479" s="4" t="s">
        <v>36</v>
      </c>
      <c r="AN479" s="4" t="s">
        <v>127</v>
      </c>
      <c r="AO479" s="4" t="s">
        <v>38</v>
      </c>
      <c r="AP479" s="4">
        <v>43218.0</v>
      </c>
      <c r="AQ479" s="4">
        <v>43050.0</v>
      </c>
      <c r="AR479" s="4">
        <v>102600.0</v>
      </c>
      <c r="AS479" s="4">
        <v>59550.0</v>
      </c>
      <c r="AT479" s="4">
        <v>26.0</v>
      </c>
      <c r="AU479" s="4">
        <v>2667600.0</v>
      </c>
      <c r="AV479" s="4">
        <v>0.08</v>
      </c>
      <c r="AW479" s="4">
        <v>213408.0</v>
      </c>
      <c r="AX479" s="4">
        <v>2454192.0</v>
      </c>
      <c r="AY479" s="4">
        <v>1119300.0</v>
      </c>
      <c r="AZ479" s="4">
        <v>1334892.0</v>
      </c>
    </row>
    <row r="480" ht="15.75" customHeight="1">
      <c r="A480" s="3" t="s">
        <v>1638</v>
      </c>
      <c r="B480" s="5">
        <v>43217.0</v>
      </c>
      <c r="C480" s="6">
        <f t="shared" si="1"/>
        <v>2018</v>
      </c>
      <c r="D480" s="7" t="s">
        <v>1622</v>
      </c>
      <c r="E480" s="7" t="s">
        <v>173</v>
      </c>
      <c r="F480" s="7" t="s">
        <v>31</v>
      </c>
      <c r="G480" s="5" t="s">
        <v>32</v>
      </c>
      <c r="H480" s="7" t="s">
        <v>43</v>
      </c>
      <c r="I480" s="7" t="s">
        <v>92</v>
      </c>
      <c r="J480" s="7" t="s">
        <v>70</v>
      </c>
      <c r="K480" s="7" t="s">
        <v>36</v>
      </c>
      <c r="L480" s="7" t="s">
        <v>45</v>
      </c>
      <c r="M480" s="7" t="s">
        <v>38</v>
      </c>
      <c r="N480" s="5">
        <v>43219.0</v>
      </c>
      <c r="O480" s="8">
        <v>13500.0</v>
      </c>
      <c r="P480" s="8">
        <v>31500.0</v>
      </c>
      <c r="Q480" s="8">
        <f t="shared" si="2"/>
        <v>18000</v>
      </c>
      <c r="R480" s="8">
        <v>34.0</v>
      </c>
      <c r="S480" s="8">
        <f t="shared" si="3"/>
        <v>1071000</v>
      </c>
      <c r="T480" s="9">
        <v>0.02</v>
      </c>
      <c r="U480" s="8">
        <f t="shared" si="4"/>
        <v>21420</v>
      </c>
      <c r="V480" s="8">
        <f t="shared" si="5"/>
        <v>1049580</v>
      </c>
      <c r="W480" s="10">
        <f t="shared" si="6"/>
        <v>459000</v>
      </c>
      <c r="X480" s="10">
        <f t="shared" si="7"/>
        <v>590580</v>
      </c>
      <c r="Y480" s="10"/>
      <c r="Z480" s="10"/>
      <c r="AA480" s="10"/>
      <c r="AB480" s="4" t="s">
        <v>1639</v>
      </c>
      <c r="AC480" s="4" t="s">
        <v>1638</v>
      </c>
      <c r="AD480" s="4">
        <v>43217.0</v>
      </c>
      <c r="AE480" s="4">
        <v>2018.0</v>
      </c>
      <c r="AF480" s="4" t="s">
        <v>1622</v>
      </c>
      <c r="AG480" s="4" t="s">
        <v>173</v>
      </c>
      <c r="AH480" s="4" t="s">
        <v>31</v>
      </c>
      <c r="AI480" s="4" t="s">
        <v>32</v>
      </c>
      <c r="AJ480" s="4" t="s">
        <v>43</v>
      </c>
      <c r="AK480" s="4" t="s">
        <v>92</v>
      </c>
      <c r="AL480" s="4" t="s">
        <v>70</v>
      </c>
      <c r="AM480" s="4" t="s">
        <v>36</v>
      </c>
      <c r="AN480" s="4" t="s">
        <v>45</v>
      </c>
      <c r="AO480" s="4" t="s">
        <v>38</v>
      </c>
      <c r="AP480" s="4">
        <v>43219.0</v>
      </c>
      <c r="AQ480" s="4">
        <v>13500.0</v>
      </c>
      <c r="AR480" s="4">
        <v>31500.0</v>
      </c>
      <c r="AS480" s="4">
        <v>18000.0</v>
      </c>
      <c r="AT480" s="4">
        <v>34.0</v>
      </c>
      <c r="AU480" s="4">
        <v>1071000.0</v>
      </c>
      <c r="AV480" s="4">
        <v>0.02</v>
      </c>
      <c r="AW480" s="4">
        <v>21420.0</v>
      </c>
      <c r="AX480" s="4">
        <v>1049580.0</v>
      </c>
      <c r="AY480" s="4">
        <v>459000.0</v>
      </c>
      <c r="AZ480" s="4">
        <v>590580.0</v>
      </c>
    </row>
    <row r="481" ht="15.75" customHeight="1">
      <c r="A481" s="3" t="s">
        <v>1640</v>
      </c>
      <c r="B481" s="5">
        <v>43218.0</v>
      </c>
      <c r="C481" s="6">
        <f t="shared" si="1"/>
        <v>2018</v>
      </c>
      <c r="D481" s="7" t="s">
        <v>833</v>
      </c>
      <c r="E481" s="7" t="s">
        <v>90</v>
      </c>
      <c r="F481" s="7" t="s">
        <v>50</v>
      </c>
      <c r="G481" s="5" t="s">
        <v>51</v>
      </c>
      <c r="H481" s="7" t="s">
        <v>52</v>
      </c>
      <c r="I481" s="7" t="s">
        <v>53</v>
      </c>
      <c r="J481" s="7" t="s">
        <v>254</v>
      </c>
      <c r="K481" s="7" t="s">
        <v>36</v>
      </c>
      <c r="L481" s="7" t="s">
        <v>37</v>
      </c>
      <c r="M481" s="7" t="s">
        <v>38</v>
      </c>
      <c r="N481" s="5">
        <v>43219.0</v>
      </c>
      <c r="O481" s="8">
        <v>208200.0</v>
      </c>
      <c r="P481" s="8">
        <v>335700.0</v>
      </c>
      <c r="Q481" s="8">
        <f t="shared" si="2"/>
        <v>127500</v>
      </c>
      <c r="R481" s="8">
        <v>39.0</v>
      </c>
      <c r="S481" s="8">
        <f t="shared" si="3"/>
        <v>13092300</v>
      </c>
      <c r="T481" s="9">
        <v>0.07</v>
      </c>
      <c r="U481" s="8">
        <f t="shared" si="4"/>
        <v>916461</v>
      </c>
      <c r="V481" s="8">
        <f t="shared" si="5"/>
        <v>12175839</v>
      </c>
      <c r="W481" s="10">
        <f t="shared" si="6"/>
        <v>8119800</v>
      </c>
      <c r="X481" s="10">
        <f t="shared" si="7"/>
        <v>4056039</v>
      </c>
      <c r="Y481" s="10"/>
      <c r="Z481" s="10"/>
      <c r="AA481" s="10"/>
      <c r="AB481" s="4" t="s">
        <v>1641</v>
      </c>
      <c r="AC481" s="4" t="s">
        <v>1640</v>
      </c>
      <c r="AD481" s="4">
        <v>43218.0</v>
      </c>
      <c r="AE481" s="4">
        <v>2018.0</v>
      </c>
      <c r="AF481" s="4" t="s">
        <v>833</v>
      </c>
      <c r="AG481" s="4" t="s">
        <v>90</v>
      </c>
      <c r="AH481" s="4" t="s">
        <v>50</v>
      </c>
      <c r="AI481" s="4" t="s">
        <v>51</v>
      </c>
      <c r="AJ481" s="4" t="s">
        <v>52</v>
      </c>
      <c r="AK481" s="4" t="s">
        <v>53</v>
      </c>
      <c r="AL481" s="4" t="s">
        <v>254</v>
      </c>
      <c r="AM481" s="4" t="s">
        <v>36</v>
      </c>
      <c r="AN481" s="4" t="s">
        <v>37</v>
      </c>
      <c r="AO481" s="4" t="s">
        <v>38</v>
      </c>
      <c r="AP481" s="4">
        <v>43219.0</v>
      </c>
      <c r="AQ481" s="4">
        <v>208200.0</v>
      </c>
      <c r="AR481" s="4">
        <v>335700.0</v>
      </c>
      <c r="AS481" s="4">
        <v>127500.0</v>
      </c>
      <c r="AT481" s="4">
        <v>39.0</v>
      </c>
      <c r="AU481" s="4">
        <v>1.30923E7</v>
      </c>
      <c r="AV481" s="4">
        <v>0.07</v>
      </c>
      <c r="AW481" s="4">
        <v>916461.0</v>
      </c>
      <c r="AX481" s="4">
        <v>1.2175839E7</v>
      </c>
      <c r="AY481" s="4">
        <v>8119800.0</v>
      </c>
      <c r="AZ481" s="4">
        <v>4056039.0</v>
      </c>
    </row>
    <row r="482" ht="15.75" customHeight="1">
      <c r="A482" s="3" t="s">
        <v>1642</v>
      </c>
      <c r="B482" s="5">
        <v>43219.0</v>
      </c>
      <c r="C482" s="6">
        <f t="shared" si="1"/>
        <v>2018</v>
      </c>
      <c r="D482" s="7" t="s">
        <v>1643</v>
      </c>
      <c r="E482" s="7" t="s">
        <v>183</v>
      </c>
      <c r="F482" s="7" t="s">
        <v>31</v>
      </c>
      <c r="G482" s="5" t="s">
        <v>51</v>
      </c>
      <c r="H482" s="7" t="s">
        <v>43</v>
      </c>
      <c r="I482" s="7" t="s">
        <v>53</v>
      </c>
      <c r="J482" s="7" t="s">
        <v>1244</v>
      </c>
      <c r="K482" s="7" t="s">
        <v>36</v>
      </c>
      <c r="L482" s="7" t="s">
        <v>37</v>
      </c>
      <c r="M482" s="7" t="s">
        <v>38</v>
      </c>
      <c r="N482" s="5">
        <v>43221.0</v>
      </c>
      <c r="O482" s="8">
        <v>27600.0</v>
      </c>
      <c r="P482" s="8">
        <v>43200.0</v>
      </c>
      <c r="Q482" s="8">
        <f t="shared" si="2"/>
        <v>15600</v>
      </c>
      <c r="R482" s="8">
        <v>27.0</v>
      </c>
      <c r="S482" s="8">
        <f t="shared" si="3"/>
        <v>1166400</v>
      </c>
      <c r="T482" s="9">
        <v>0.06</v>
      </c>
      <c r="U482" s="8">
        <f t="shared" si="4"/>
        <v>69984</v>
      </c>
      <c r="V482" s="8">
        <f t="shared" si="5"/>
        <v>1096416</v>
      </c>
      <c r="W482" s="10">
        <f t="shared" si="6"/>
        <v>745200</v>
      </c>
      <c r="X482" s="10">
        <f t="shared" si="7"/>
        <v>351216</v>
      </c>
      <c r="Y482" s="10"/>
      <c r="Z482" s="10"/>
      <c r="AA482" s="10"/>
      <c r="AB482" s="4" t="s">
        <v>1644</v>
      </c>
      <c r="AC482" s="4" t="s">
        <v>1642</v>
      </c>
      <c r="AD482" s="4">
        <v>43219.0</v>
      </c>
      <c r="AE482" s="4">
        <v>2018.0</v>
      </c>
      <c r="AF482" s="4" t="s">
        <v>1643</v>
      </c>
      <c r="AG482" s="4" t="s">
        <v>183</v>
      </c>
      <c r="AH482" s="4" t="s">
        <v>31</v>
      </c>
      <c r="AI482" s="4" t="s">
        <v>51</v>
      </c>
      <c r="AJ482" s="4" t="s">
        <v>43</v>
      </c>
      <c r="AK482" s="4" t="s">
        <v>53</v>
      </c>
      <c r="AL482" s="4" t="s">
        <v>1244</v>
      </c>
      <c r="AM482" s="4" t="s">
        <v>36</v>
      </c>
      <c r="AN482" s="4" t="s">
        <v>37</v>
      </c>
      <c r="AO482" s="4" t="s">
        <v>38</v>
      </c>
      <c r="AP482" s="4">
        <v>43221.0</v>
      </c>
      <c r="AQ482" s="4">
        <v>27600.0</v>
      </c>
      <c r="AR482" s="4">
        <v>43200.0</v>
      </c>
      <c r="AS482" s="4">
        <v>15600.0</v>
      </c>
      <c r="AT482" s="4">
        <v>27.0</v>
      </c>
      <c r="AU482" s="4">
        <v>1166400.0</v>
      </c>
      <c r="AV482" s="4">
        <v>0.06</v>
      </c>
      <c r="AW482" s="4">
        <v>69984.0</v>
      </c>
      <c r="AX482" s="4">
        <v>1096416.0</v>
      </c>
      <c r="AY482" s="4">
        <v>745200.0</v>
      </c>
      <c r="AZ482" s="4">
        <v>351216.0</v>
      </c>
    </row>
    <row r="483" ht="15.75" customHeight="1">
      <c r="A483" s="3" t="s">
        <v>1645</v>
      </c>
      <c r="B483" s="5">
        <v>43220.0</v>
      </c>
      <c r="C483" s="6">
        <f t="shared" si="1"/>
        <v>2018</v>
      </c>
      <c r="D483" s="7" t="s">
        <v>1303</v>
      </c>
      <c r="E483" s="7" t="s">
        <v>194</v>
      </c>
      <c r="F483" s="7" t="s">
        <v>31</v>
      </c>
      <c r="G483" s="5" t="s">
        <v>51</v>
      </c>
      <c r="H483" s="7" t="s">
        <v>33</v>
      </c>
      <c r="I483" s="7" t="s">
        <v>34</v>
      </c>
      <c r="J483" s="7" t="s">
        <v>1105</v>
      </c>
      <c r="K483" s="7" t="s">
        <v>61</v>
      </c>
      <c r="L483" s="7" t="s">
        <v>62</v>
      </c>
      <c r="M483" s="7" t="s">
        <v>63</v>
      </c>
      <c r="N483" s="5">
        <v>43221.0</v>
      </c>
      <c r="O483" s="8">
        <v>4734150.0</v>
      </c>
      <c r="P483" s="8">
        <v>7514550.0</v>
      </c>
      <c r="Q483" s="8">
        <f t="shared" si="2"/>
        <v>2780400</v>
      </c>
      <c r="R483" s="8">
        <v>37.0</v>
      </c>
      <c r="S483" s="8">
        <f t="shared" si="3"/>
        <v>278038350</v>
      </c>
      <c r="T483" s="9">
        <v>0.0</v>
      </c>
      <c r="U483" s="8">
        <f t="shared" si="4"/>
        <v>0</v>
      </c>
      <c r="V483" s="8">
        <f t="shared" si="5"/>
        <v>278038350</v>
      </c>
      <c r="W483" s="10">
        <f t="shared" si="6"/>
        <v>175163550</v>
      </c>
      <c r="X483" s="10">
        <f t="shared" si="7"/>
        <v>102874800</v>
      </c>
      <c r="Y483" s="10"/>
      <c r="Z483" s="10"/>
      <c r="AA483" s="10"/>
      <c r="AB483" s="4" t="s">
        <v>1646</v>
      </c>
      <c r="AC483" s="4" t="s">
        <v>1645</v>
      </c>
      <c r="AD483" s="4">
        <v>43220.0</v>
      </c>
      <c r="AE483" s="4">
        <v>2018.0</v>
      </c>
      <c r="AF483" s="4" t="s">
        <v>1303</v>
      </c>
      <c r="AG483" s="4" t="s">
        <v>194</v>
      </c>
      <c r="AH483" s="4" t="s">
        <v>31</v>
      </c>
      <c r="AI483" s="4" t="s">
        <v>51</v>
      </c>
      <c r="AJ483" s="4" t="s">
        <v>33</v>
      </c>
      <c r="AK483" s="4" t="s">
        <v>34</v>
      </c>
      <c r="AL483" s="4" t="s">
        <v>1105</v>
      </c>
      <c r="AM483" s="4" t="s">
        <v>61</v>
      </c>
      <c r="AN483" s="4" t="s">
        <v>62</v>
      </c>
      <c r="AO483" s="4" t="s">
        <v>63</v>
      </c>
      <c r="AP483" s="4">
        <v>43221.0</v>
      </c>
      <c r="AQ483" s="4">
        <v>4734150.0</v>
      </c>
      <c r="AR483" s="4">
        <v>7514550.0</v>
      </c>
      <c r="AS483" s="4">
        <v>2780400.0</v>
      </c>
      <c r="AT483" s="4">
        <v>37.0</v>
      </c>
      <c r="AU483" s="4">
        <v>2.7803835E8</v>
      </c>
      <c r="AV483" s="4">
        <v>0.0</v>
      </c>
      <c r="AW483" s="4">
        <v>0.0</v>
      </c>
      <c r="AX483" s="4">
        <v>2.7803835E8</v>
      </c>
      <c r="AY483" s="4">
        <v>1.7516355E8</v>
      </c>
      <c r="AZ483" s="4">
        <v>1.028748E8</v>
      </c>
    </row>
    <row r="484" ht="15.75" customHeight="1">
      <c r="A484" s="3" t="s">
        <v>1647</v>
      </c>
      <c r="B484" s="5">
        <v>43221.0</v>
      </c>
      <c r="C484" s="6">
        <f t="shared" si="1"/>
        <v>2018</v>
      </c>
      <c r="D484" s="7" t="s">
        <v>1648</v>
      </c>
      <c r="E484" s="7" t="s">
        <v>684</v>
      </c>
      <c r="F484" s="7" t="s">
        <v>50</v>
      </c>
      <c r="G484" s="5" t="s">
        <v>32</v>
      </c>
      <c r="H484" s="7" t="s">
        <v>98</v>
      </c>
      <c r="I484" s="7" t="s">
        <v>104</v>
      </c>
      <c r="J484" s="7" t="s">
        <v>81</v>
      </c>
      <c r="K484" s="7" t="s">
        <v>36</v>
      </c>
      <c r="L484" s="7" t="s">
        <v>37</v>
      </c>
      <c r="M484" s="7" t="s">
        <v>55</v>
      </c>
      <c r="N484" s="5">
        <v>43223.0</v>
      </c>
      <c r="O484" s="8">
        <v>1490850.0</v>
      </c>
      <c r="P484" s="8">
        <v>2443950.0</v>
      </c>
      <c r="Q484" s="8">
        <f t="shared" si="2"/>
        <v>953100</v>
      </c>
      <c r="R484" s="8">
        <v>48.0</v>
      </c>
      <c r="S484" s="8">
        <f t="shared" si="3"/>
        <v>117309600</v>
      </c>
      <c r="T484" s="9">
        <v>0.04</v>
      </c>
      <c r="U484" s="8">
        <f t="shared" si="4"/>
        <v>4692384</v>
      </c>
      <c r="V484" s="8">
        <f t="shared" si="5"/>
        <v>112617216</v>
      </c>
      <c r="W484" s="10">
        <f t="shared" si="6"/>
        <v>71560800</v>
      </c>
      <c r="X484" s="10">
        <f t="shared" si="7"/>
        <v>41056416</v>
      </c>
      <c r="Y484" s="10"/>
      <c r="Z484" s="10"/>
      <c r="AA484" s="10"/>
      <c r="AB484" s="4" t="s">
        <v>1649</v>
      </c>
      <c r="AC484" s="4" t="s">
        <v>1647</v>
      </c>
      <c r="AD484" s="4">
        <v>43221.0</v>
      </c>
      <c r="AE484" s="4">
        <v>2018.0</v>
      </c>
      <c r="AF484" s="4" t="s">
        <v>1648</v>
      </c>
      <c r="AG484" s="4" t="s">
        <v>684</v>
      </c>
      <c r="AH484" s="4" t="s">
        <v>50</v>
      </c>
      <c r="AI484" s="4" t="s">
        <v>32</v>
      </c>
      <c r="AJ484" s="4" t="s">
        <v>98</v>
      </c>
      <c r="AK484" s="4" t="s">
        <v>104</v>
      </c>
      <c r="AL484" s="4" t="s">
        <v>81</v>
      </c>
      <c r="AM484" s="4" t="s">
        <v>36</v>
      </c>
      <c r="AN484" s="4" t="s">
        <v>37</v>
      </c>
      <c r="AO484" s="4" t="s">
        <v>55</v>
      </c>
      <c r="AP484" s="4">
        <v>43223.0</v>
      </c>
      <c r="AQ484" s="4">
        <v>1490850.0</v>
      </c>
      <c r="AR484" s="4">
        <v>2443950.0</v>
      </c>
      <c r="AS484" s="4">
        <v>953100.0</v>
      </c>
      <c r="AT484" s="4">
        <v>48.0</v>
      </c>
      <c r="AU484" s="4">
        <v>1.173096E8</v>
      </c>
      <c r="AV484" s="4">
        <v>0.04</v>
      </c>
      <c r="AW484" s="4">
        <v>4692384.0</v>
      </c>
      <c r="AX484" s="4">
        <v>1.12617216E8</v>
      </c>
      <c r="AY484" s="4">
        <v>7.15608E7</v>
      </c>
      <c r="AZ484" s="4">
        <v>4.1056416E7</v>
      </c>
    </row>
    <row r="485" ht="15.75" customHeight="1">
      <c r="A485" s="3" t="s">
        <v>1650</v>
      </c>
      <c r="B485" s="5">
        <v>43224.0</v>
      </c>
      <c r="C485" s="6">
        <f t="shared" si="1"/>
        <v>2018</v>
      </c>
      <c r="D485" s="7" t="s">
        <v>894</v>
      </c>
      <c r="E485" s="7" t="s">
        <v>795</v>
      </c>
      <c r="F485" s="7" t="s">
        <v>50</v>
      </c>
      <c r="G485" s="5" t="s">
        <v>68</v>
      </c>
      <c r="H485" s="7" t="s">
        <v>344</v>
      </c>
      <c r="I485" s="7" t="s">
        <v>92</v>
      </c>
      <c r="J485" s="7" t="s">
        <v>1472</v>
      </c>
      <c r="K485" s="7" t="s">
        <v>36</v>
      </c>
      <c r="L485" s="7" t="s">
        <v>45</v>
      </c>
      <c r="M485" s="7" t="s">
        <v>38</v>
      </c>
      <c r="N485" s="5">
        <v>43225.0</v>
      </c>
      <c r="O485" s="8">
        <v>67200.0</v>
      </c>
      <c r="P485" s="8">
        <v>122100.00000000001</v>
      </c>
      <c r="Q485" s="8">
        <f t="shared" si="2"/>
        <v>54900</v>
      </c>
      <c r="R485" s="8">
        <v>23.0</v>
      </c>
      <c r="S485" s="8">
        <f t="shared" si="3"/>
        <v>2808300</v>
      </c>
      <c r="T485" s="9">
        <v>0.07</v>
      </c>
      <c r="U485" s="8">
        <f t="shared" si="4"/>
        <v>196581</v>
      </c>
      <c r="V485" s="8">
        <f t="shared" si="5"/>
        <v>2611719</v>
      </c>
      <c r="W485" s="10">
        <f t="shared" si="6"/>
        <v>1545600</v>
      </c>
      <c r="X485" s="10">
        <f t="shared" si="7"/>
        <v>1066119</v>
      </c>
      <c r="Y485" s="10"/>
      <c r="Z485" s="10"/>
      <c r="AA485" s="10"/>
      <c r="AB485" s="4" t="s">
        <v>1651</v>
      </c>
      <c r="AC485" s="4" t="s">
        <v>1650</v>
      </c>
      <c r="AD485" s="4">
        <v>43224.0</v>
      </c>
      <c r="AE485" s="4">
        <v>2018.0</v>
      </c>
      <c r="AF485" s="4" t="s">
        <v>894</v>
      </c>
      <c r="AG485" s="4" t="s">
        <v>795</v>
      </c>
      <c r="AH485" s="4" t="s">
        <v>50</v>
      </c>
      <c r="AI485" s="4" t="s">
        <v>68</v>
      </c>
      <c r="AJ485" s="4" t="s">
        <v>344</v>
      </c>
      <c r="AK485" s="4" t="s">
        <v>92</v>
      </c>
      <c r="AL485" s="4" t="s">
        <v>1472</v>
      </c>
      <c r="AM485" s="4" t="s">
        <v>36</v>
      </c>
      <c r="AN485" s="4" t="s">
        <v>45</v>
      </c>
      <c r="AO485" s="4" t="s">
        <v>38</v>
      </c>
      <c r="AP485" s="4">
        <v>43225.0</v>
      </c>
      <c r="AQ485" s="4">
        <v>67200.0</v>
      </c>
      <c r="AR485" s="4">
        <v>122100.0</v>
      </c>
      <c r="AS485" s="4">
        <v>54900.0</v>
      </c>
      <c r="AT485" s="4">
        <v>23.0</v>
      </c>
      <c r="AU485" s="4">
        <v>2808300.0</v>
      </c>
      <c r="AV485" s="4">
        <v>0.07</v>
      </c>
      <c r="AW485" s="4">
        <v>196581.0</v>
      </c>
      <c r="AX485" s="4">
        <v>2611719.0</v>
      </c>
      <c r="AY485" s="4">
        <v>1545600.0</v>
      </c>
      <c r="AZ485" s="4">
        <v>1066119.0</v>
      </c>
    </row>
    <row r="486" ht="15.75" customHeight="1">
      <c r="A486" s="3" t="s">
        <v>1652</v>
      </c>
      <c r="B486" s="5">
        <v>43224.0</v>
      </c>
      <c r="C486" s="6">
        <f t="shared" si="1"/>
        <v>2018</v>
      </c>
      <c r="D486" s="7" t="s">
        <v>894</v>
      </c>
      <c r="E486" s="7" t="s">
        <v>795</v>
      </c>
      <c r="F486" s="7" t="s">
        <v>50</v>
      </c>
      <c r="G486" s="5" t="s">
        <v>68</v>
      </c>
      <c r="H486" s="7" t="s">
        <v>344</v>
      </c>
      <c r="I486" s="7" t="s">
        <v>92</v>
      </c>
      <c r="J486" s="7" t="s">
        <v>294</v>
      </c>
      <c r="K486" s="7" t="s">
        <v>36</v>
      </c>
      <c r="L486" s="7" t="s">
        <v>37</v>
      </c>
      <c r="M486" s="7" t="s">
        <v>38</v>
      </c>
      <c r="N486" s="5">
        <v>43225.0</v>
      </c>
      <c r="O486" s="8">
        <v>17700.0</v>
      </c>
      <c r="P486" s="8">
        <v>28200.0</v>
      </c>
      <c r="Q486" s="8">
        <f t="shared" si="2"/>
        <v>10500</v>
      </c>
      <c r="R486" s="8">
        <v>33.0</v>
      </c>
      <c r="S486" s="8">
        <f t="shared" si="3"/>
        <v>930600</v>
      </c>
      <c r="T486" s="9">
        <v>0.05</v>
      </c>
      <c r="U486" s="8">
        <f t="shared" si="4"/>
        <v>46530</v>
      </c>
      <c r="V486" s="8">
        <f t="shared" si="5"/>
        <v>884070</v>
      </c>
      <c r="W486" s="10">
        <f t="shared" si="6"/>
        <v>584100</v>
      </c>
      <c r="X486" s="10">
        <f t="shared" si="7"/>
        <v>299970</v>
      </c>
      <c r="Y486" s="10"/>
      <c r="Z486" s="10"/>
      <c r="AA486" s="10"/>
      <c r="AB486" s="4" t="s">
        <v>1653</v>
      </c>
      <c r="AC486" s="4" t="s">
        <v>1652</v>
      </c>
      <c r="AD486" s="4">
        <v>43224.0</v>
      </c>
      <c r="AE486" s="4">
        <v>2018.0</v>
      </c>
      <c r="AF486" s="4" t="s">
        <v>894</v>
      </c>
      <c r="AG486" s="4" t="s">
        <v>795</v>
      </c>
      <c r="AH486" s="4" t="s">
        <v>50</v>
      </c>
      <c r="AI486" s="4" t="s">
        <v>68</v>
      </c>
      <c r="AJ486" s="4" t="s">
        <v>344</v>
      </c>
      <c r="AK486" s="4" t="s">
        <v>92</v>
      </c>
      <c r="AL486" s="4" t="s">
        <v>294</v>
      </c>
      <c r="AM486" s="4" t="s">
        <v>36</v>
      </c>
      <c r="AN486" s="4" t="s">
        <v>37</v>
      </c>
      <c r="AO486" s="4" t="s">
        <v>38</v>
      </c>
      <c r="AP486" s="4">
        <v>43225.0</v>
      </c>
      <c r="AQ486" s="4">
        <v>17700.0</v>
      </c>
      <c r="AR486" s="4">
        <v>28200.0</v>
      </c>
      <c r="AS486" s="4">
        <v>10500.0</v>
      </c>
      <c r="AT486" s="4">
        <v>33.0</v>
      </c>
      <c r="AU486" s="4">
        <v>930600.0</v>
      </c>
      <c r="AV486" s="4">
        <v>0.05</v>
      </c>
      <c r="AW486" s="4">
        <v>46530.0</v>
      </c>
      <c r="AX486" s="4">
        <v>884070.0</v>
      </c>
      <c r="AY486" s="4">
        <v>584100.0</v>
      </c>
      <c r="AZ486" s="4">
        <v>299970.0</v>
      </c>
    </row>
    <row r="487" ht="15.75" customHeight="1">
      <c r="A487" s="3" t="s">
        <v>1654</v>
      </c>
      <c r="B487" s="5">
        <v>43225.0</v>
      </c>
      <c r="C487" s="6">
        <f t="shared" si="1"/>
        <v>2018</v>
      </c>
      <c r="D487" s="7" t="s">
        <v>1655</v>
      </c>
      <c r="E487" s="7" t="s">
        <v>150</v>
      </c>
      <c r="F487" s="7" t="s">
        <v>50</v>
      </c>
      <c r="G487" s="5" t="s">
        <v>91</v>
      </c>
      <c r="H487" s="7" t="s">
        <v>151</v>
      </c>
      <c r="I487" s="7" t="s">
        <v>34</v>
      </c>
      <c r="J487" s="7" t="s">
        <v>318</v>
      </c>
      <c r="K487" s="7" t="s">
        <v>36</v>
      </c>
      <c r="L487" s="7" t="s">
        <v>37</v>
      </c>
      <c r="M487" s="7" t="s">
        <v>38</v>
      </c>
      <c r="N487" s="5">
        <v>43227.0</v>
      </c>
      <c r="O487" s="8">
        <v>33750.0</v>
      </c>
      <c r="P487" s="8">
        <v>55350.0</v>
      </c>
      <c r="Q487" s="8">
        <f t="shared" si="2"/>
        <v>21600</v>
      </c>
      <c r="R487" s="8">
        <v>13.0</v>
      </c>
      <c r="S487" s="8">
        <f t="shared" si="3"/>
        <v>719550</v>
      </c>
      <c r="T487" s="9">
        <v>0.05</v>
      </c>
      <c r="U487" s="8">
        <f t="shared" si="4"/>
        <v>35977.5</v>
      </c>
      <c r="V487" s="8">
        <f t="shared" si="5"/>
        <v>683572.5</v>
      </c>
      <c r="W487" s="10">
        <f t="shared" si="6"/>
        <v>438750</v>
      </c>
      <c r="X487" s="10">
        <f t="shared" si="7"/>
        <v>244822.5</v>
      </c>
      <c r="Y487" s="10"/>
      <c r="Z487" s="10"/>
      <c r="AA487" s="10"/>
      <c r="AB487" s="4" t="s">
        <v>1656</v>
      </c>
      <c r="AC487" s="4" t="s">
        <v>1654</v>
      </c>
      <c r="AD487" s="4">
        <v>43225.0</v>
      </c>
      <c r="AE487" s="4">
        <v>2018.0</v>
      </c>
      <c r="AF487" s="4" t="s">
        <v>1655</v>
      </c>
      <c r="AG487" s="4" t="s">
        <v>150</v>
      </c>
      <c r="AH487" s="4" t="s">
        <v>50</v>
      </c>
      <c r="AI487" s="4" t="s">
        <v>91</v>
      </c>
      <c r="AJ487" s="4" t="s">
        <v>151</v>
      </c>
      <c r="AK487" s="4" t="s">
        <v>34</v>
      </c>
      <c r="AL487" s="4" t="s">
        <v>318</v>
      </c>
      <c r="AM487" s="4" t="s">
        <v>36</v>
      </c>
      <c r="AN487" s="4" t="s">
        <v>37</v>
      </c>
      <c r="AO487" s="4" t="s">
        <v>38</v>
      </c>
      <c r="AP487" s="4">
        <v>43227.0</v>
      </c>
      <c r="AQ487" s="4">
        <v>33750.0</v>
      </c>
      <c r="AR487" s="4">
        <v>55350.0</v>
      </c>
      <c r="AS487" s="4">
        <v>21600.0</v>
      </c>
      <c r="AT487" s="4">
        <v>13.0</v>
      </c>
      <c r="AU487" s="4">
        <v>719550.0</v>
      </c>
      <c r="AV487" s="4">
        <v>0.05</v>
      </c>
      <c r="AW487" s="4">
        <v>35977.5</v>
      </c>
      <c r="AX487" s="4">
        <v>683572.5</v>
      </c>
      <c r="AY487" s="4">
        <v>438750.0</v>
      </c>
      <c r="AZ487" s="4">
        <v>244822.5</v>
      </c>
    </row>
    <row r="488" ht="15.75" customHeight="1">
      <c r="A488" s="3" t="s">
        <v>1657</v>
      </c>
      <c r="B488" s="5">
        <v>43226.0</v>
      </c>
      <c r="C488" s="6">
        <f t="shared" si="1"/>
        <v>2018</v>
      </c>
      <c r="D488" s="7" t="s">
        <v>1220</v>
      </c>
      <c r="E488" s="7" t="s">
        <v>1221</v>
      </c>
      <c r="F488" s="7" t="s">
        <v>289</v>
      </c>
      <c r="G488" s="5" t="s">
        <v>51</v>
      </c>
      <c r="H488" s="7" t="s">
        <v>80</v>
      </c>
      <c r="I488" s="7" t="s">
        <v>53</v>
      </c>
      <c r="J488" s="7" t="s">
        <v>243</v>
      </c>
      <c r="K488" s="7" t="s">
        <v>61</v>
      </c>
      <c r="L488" s="7" t="s">
        <v>244</v>
      </c>
      <c r="M488" s="7" t="s">
        <v>38</v>
      </c>
      <c r="N488" s="5">
        <v>43227.0</v>
      </c>
      <c r="O488" s="8">
        <v>132300.0</v>
      </c>
      <c r="P488" s="8">
        <v>314850.0</v>
      </c>
      <c r="Q488" s="8">
        <f t="shared" si="2"/>
        <v>182550</v>
      </c>
      <c r="R488" s="8">
        <v>3.0</v>
      </c>
      <c r="S488" s="8">
        <f t="shared" si="3"/>
        <v>944550</v>
      </c>
      <c r="T488" s="9">
        <v>0.01</v>
      </c>
      <c r="U488" s="8">
        <f t="shared" si="4"/>
        <v>9445.5</v>
      </c>
      <c r="V488" s="8">
        <f t="shared" si="5"/>
        <v>935104.5</v>
      </c>
      <c r="W488" s="10">
        <f t="shared" si="6"/>
        <v>396900</v>
      </c>
      <c r="X488" s="10">
        <f t="shared" si="7"/>
        <v>538204.5</v>
      </c>
      <c r="Y488" s="10"/>
      <c r="Z488" s="10"/>
      <c r="AA488" s="10"/>
      <c r="AB488" s="4" t="s">
        <v>1658</v>
      </c>
      <c r="AC488" s="4" t="s">
        <v>1657</v>
      </c>
      <c r="AD488" s="4">
        <v>43226.0</v>
      </c>
      <c r="AE488" s="4">
        <v>2018.0</v>
      </c>
      <c r="AF488" s="4" t="s">
        <v>1220</v>
      </c>
      <c r="AG488" s="4" t="s">
        <v>1221</v>
      </c>
      <c r="AH488" s="4" t="s">
        <v>289</v>
      </c>
      <c r="AI488" s="4" t="s">
        <v>51</v>
      </c>
      <c r="AJ488" s="4" t="s">
        <v>80</v>
      </c>
      <c r="AK488" s="4" t="s">
        <v>53</v>
      </c>
      <c r="AL488" s="4" t="s">
        <v>243</v>
      </c>
      <c r="AM488" s="4" t="s">
        <v>61</v>
      </c>
      <c r="AN488" s="4" t="s">
        <v>244</v>
      </c>
      <c r="AO488" s="4" t="s">
        <v>38</v>
      </c>
      <c r="AP488" s="4">
        <v>43227.0</v>
      </c>
      <c r="AQ488" s="4">
        <v>132300.0</v>
      </c>
      <c r="AR488" s="4">
        <v>314850.0</v>
      </c>
      <c r="AS488" s="4">
        <v>182550.0</v>
      </c>
      <c r="AT488" s="4">
        <v>3.0</v>
      </c>
      <c r="AU488" s="4">
        <v>944550.0</v>
      </c>
      <c r="AV488" s="4">
        <v>0.01</v>
      </c>
      <c r="AW488" s="4">
        <v>9445.5</v>
      </c>
      <c r="AX488" s="4">
        <v>935104.5</v>
      </c>
      <c r="AY488" s="4">
        <v>396900.0</v>
      </c>
      <c r="AZ488" s="4">
        <v>538204.5</v>
      </c>
    </row>
    <row r="489" ht="15.75" customHeight="1">
      <c r="A489" s="3" t="s">
        <v>1659</v>
      </c>
      <c r="B489" s="5">
        <v>43226.0</v>
      </c>
      <c r="C489" s="6">
        <f t="shared" si="1"/>
        <v>2018</v>
      </c>
      <c r="D489" s="7" t="s">
        <v>1220</v>
      </c>
      <c r="E489" s="7" t="s">
        <v>1221</v>
      </c>
      <c r="F489" s="7" t="s">
        <v>289</v>
      </c>
      <c r="G489" s="5" t="s">
        <v>51</v>
      </c>
      <c r="H489" s="7" t="s">
        <v>80</v>
      </c>
      <c r="I489" s="7" t="s">
        <v>53</v>
      </c>
      <c r="J489" s="7" t="s">
        <v>254</v>
      </c>
      <c r="K489" s="7" t="s">
        <v>36</v>
      </c>
      <c r="L489" s="7" t="s">
        <v>37</v>
      </c>
      <c r="M489" s="7" t="s">
        <v>55</v>
      </c>
      <c r="N489" s="5">
        <v>43226.0</v>
      </c>
      <c r="O489" s="8">
        <v>208200.0</v>
      </c>
      <c r="P489" s="8">
        <v>335700.0</v>
      </c>
      <c r="Q489" s="8">
        <f t="shared" si="2"/>
        <v>127500</v>
      </c>
      <c r="R489" s="8">
        <v>42.0</v>
      </c>
      <c r="S489" s="8">
        <f t="shared" si="3"/>
        <v>14099400</v>
      </c>
      <c r="T489" s="9">
        <v>0.07</v>
      </c>
      <c r="U489" s="8">
        <f t="shared" si="4"/>
        <v>986958</v>
      </c>
      <c r="V489" s="8">
        <f t="shared" si="5"/>
        <v>13112442</v>
      </c>
      <c r="W489" s="10">
        <f t="shared" si="6"/>
        <v>8744400</v>
      </c>
      <c r="X489" s="10">
        <f t="shared" si="7"/>
        <v>4368042</v>
      </c>
      <c r="Y489" s="10"/>
      <c r="Z489" s="10"/>
      <c r="AA489" s="10"/>
      <c r="AB489" s="4" t="s">
        <v>1660</v>
      </c>
      <c r="AC489" s="4" t="s">
        <v>1659</v>
      </c>
      <c r="AD489" s="4">
        <v>43226.0</v>
      </c>
      <c r="AE489" s="4">
        <v>2018.0</v>
      </c>
      <c r="AF489" s="4" t="s">
        <v>1220</v>
      </c>
      <c r="AG489" s="4" t="s">
        <v>1221</v>
      </c>
      <c r="AH489" s="4" t="s">
        <v>289</v>
      </c>
      <c r="AI489" s="4" t="s">
        <v>51</v>
      </c>
      <c r="AJ489" s="4" t="s">
        <v>80</v>
      </c>
      <c r="AK489" s="4" t="s">
        <v>53</v>
      </c>
      <c r="AL489" s="4" t="s">
        <v>254</v>
      </c>
      <c r="AM489" s="4" t="s">
        <v>36</v>
      </c>
      <c r="AN489" s="4" t="s">
        <v>37</v>
      </c>
      <c r="AO489" s="4" t="s">
        <v>55</v>
      </c>
      <c r="AP489" s="4">
        <v>43226.0</v>
      </c>
      <c r="AQ489" s="4">
        <v>208200.0</v>
      </c>
      <c r="AR489" s="4">
        <v>335700.0</v>
      </c>
      <c r="AS489" s="4">
        <v>127500.0</v>
      </c>
      <c r="AT489" s="4">
        <v>42.0</v>
      </c>
      <c r="AU489" s="4">
        <v>1.40994E7</v>
      </c>
      <c r="AV489" s="4">
        <v>0.07</v>
      </c>
      <c r="AW489" s="4">
        <v>986958.0</v>
      </c>
      <c r="AX489" s="4">
        <v>1.3112442E7</v>
      </c>
      <c r="AY489" s="4">
        <v>8744400.0</v>
      </c>
      <c r="AZ489" s="4">
        <v>4368042.0</v>
      </c>
    </row>
    <row r="490" ht="15.75" customHeight="1">
      <c r="A490" s="3" t="s">
        <v>1659</v>
      </c>
      <c r="B490" s="5">
        <v>43226.0</v>
      </c>
      <c r="C490" s="6">
        <f t="shared" si="1"/>
        <v>2018</v>
      </c>
      <c r="D490" s="7" t="s">
        <v>1220</v>
      </c>
      <c r="E490" s="7" t="s">
        <v>1221</v>
      </c>
      <c r="F490" s="7" t="s">
        <v>289</v>
      </c>
      <c r="G490" s="5" t="s">
        <v>51</v>
      </c>
      <c r="H490" s="7" t="s">
        <v>80</v>
      </c>
      <c r="I490" s="7" t="s">
        <v>53</v>
      </c>
      <c r="J490" s="7" t="s">
        <v>190</v>
      </c>
      <c r="K490" s="7" t="s">
        <v>61</v>
      </c>
      <c r="L490" s="7" t="s">
        <v>37</v>
      </c>
      <c r="M490" s="7" t="s">
        <v>38</v>
      </c>
      <c r="N490" s="5">
        <v>43228.0</v>
      </c>
      <c r="O490" s="8">
        <v>95850.0</v>
      </c>
      <c r="P490" s="8">
        <v>299700.0</v>
      </c>
      <c r="Q490" s="8">
        <f t="shared" si="2"/>
        <v>203850</v>
      </c>
      <c r="R490" s="8">
        <v>45.0</v>
      </c>
      <c r="S490" s="8">
        <f t="shared" si="3"/>
        <v>13486500</v>
      </c>
      <c r="T490" s="9">
        <v>0.06</v>
      </c>
      <c r="U490" s="8">
        <f t="shared" si="4"/>
        <v>809190</v>
      </c>
      <c r="V490" s="8">
        <f t="shared" si="5"/>
        <v>12677310</v>
      </c>
      <c r="W490" s="10">
        <f t="shared" si="6"/>
        <v>4313250</v>
      </c>
      <c r="X490" s="10">
        <f t="shared" si="7"/>
        <v>8364060</v>
      </c>
      <c r="Y490" s="10"/>
      <c r="Z490" s="10"/>
      <c r="AA490" s="10"/>
      <c r="AB490" s="4" t="s">
        <v>1661</v>
      </c>
      <c r="AC490" s="4" t="s">
        <v>1659</v>
      </c>
      <c r="AD490" s="4">
        <v>43226.0</v>
      </c>
      <c r="AE490" s="4">
        <v>2018.0</v>
      </c>
      <c r="AF490" s="4" t="s">
        <v>1220</v>
      </c>
      <c r="AG490" s="4" t="s">
        <v>1221</v>
      </c>
      <c r="AH490" s="4" t="s">
        <v>289</v>
      </c>
      <c r="AI490" s="4" t="s">
        <v>51</v>
      </c>
      <c r="AJ490" s="4" t="s">
        <v>80</v>
      </c>
      <c r="AK490" s="4" t="s">
        <v>53</v>
      </c>
      <c r="AL490" s="4" t="s">
        <v>190</v>
      </c>
      <c r="AM490" s="4" t="s">
        <v>61</v>
      </c>
      <c r="AN490" s="4" t="s">
        <v>37</v>
      </c>
      <c r="AO490" s="4" t="s">
        <v>38</v>
      </c>
      <c r="AP490" s="4">
        <v>43228.0</v>
      </c>
      <c r="AQ490" s="4">
        <v>95850.0</v>
      </c>
      <c r="AR490" s="4">
        <v>299700.0</v>
      </c>
      <c r="AS490" s="4">
        <v>203850.0</v>
      </c>
      <c r="AT490" s="4">
        <v>45.0</v>
      </c>
      <c r="AU490" s="4">
        <v>1.34865E7</v>
      </c>
      <c r="AV490" s="4">
        <v>0.06</v>
      </c>
      <c r="AW490" s="4">
        <v>809190.0</v>
      </c>
      <c r="AX490" s="4">
        <v>1.267731E7</v>
      </c>
      <c r="AY490" s="4">
        <v>4313250.0</v>
      </c>
      <c r="AZ490" s="4">
        <v>8364060.0</v>
      </c>
    </row>
    <row r="491" ht="15.75" customHeight="1">
      <c r="A491" s="3" t="s">
        <v>1662</v>
      </c>
      <c r="B491" s="5">
        <v>43227.0</v>
      </c>
      <c r="C491" s="6">
        <f t="shared" si="1"/>
        <v>2018</v>
      </c>
      <c r="D491" s="7" t="s">
        <v>455</v>
      </c>
      <c r="E491" s="7" t="s">
        <v>456</v>
      </c>
      <c r="F491" s="7" t="s">
        <v>50</v>
      </c>
      <c r="G491" s="5" t="s">
        <v>68</v>
      </c>
      <c r="H491" s="7" t="s">
        <v>200</v>
      </c>
      <c r="I491" s="7" t="s">
        <v>92</v>
      </c>
      <c r="J491" s="7" t="s">
        <v>54</v>
      </c>
      <c r="K491" s="7" t="s">
        <v>36</v>
      </c>
      <c r="L491" s="7" t="s">
        <v>45</v>
      </c>
      <c r="M491" s="7" t="s">
        <v>38</v>
      </c>
      <c r="N491" s="5">
        <v>43229.0</v>
      </c>
      <c r="O491" s="8">
        <v>36150.0</v>
      </c>
      <c r="P491" s="8">
        <v>55650.0</v>
      </c>
      <c r="Q491" s="8">
        <f t="shared" si="2"/>
        <v>19500</v>
      </c>
      <c r="R491" s="8">
        <v>14.0</v>
      </c>
      <c r="S491" s="8">
        <f t="shared" si="3"/>
        <v>779100</v>
      </c>
      <c r="T491" s="9">
        <v>0.09</v>
      </c>
      <c r="U491" s="8">
        <f t="shared" si="4"/>
        <v>70119</v>
      </c>
      <c r="V491" s="8">
        <f t="shared" si="5"/>
        <v>708981</v>
      </c>
      <c r="W491" s="10">
        <f t="shared" si="6"/>
        <v>506100</v>
      </c>
      <c r="X491" s="10">
        <f t="shared" si="7"/>
        <v>202881</v>
      </c>
      <c r="Y491" s="10"/>
      <c r="Z491" s="10"/>
      <c r="AA491" s="10"/>
      <c r="AB491" s="4" t="s">
        <v>1663</v>
      </c>
      <c r="AC491" s="4" t="s">
        <v>1662</v>
      </c>
      <c r="AD491" s="4">
        <v>43227.0</v>
      </c>
      <c r="AE491" s="4">
        <v>2018.0</v>
      </c>
      <c r="AF491" s="4" t="s">
        <v>455</v>
      </c>
      <c r="AG491" s="4" t="s">
        <v>456</v>
      </c>
      <c r="AH491" s="4" t="s">
        <v>50</v>
      </c>
      <c r="AI491" s="4" t="s">
        <v>68</v>
      </c>
      <c r="AJ491" s="4" t="s">
        <v>200</v>
      </c>
      <c r="AK491" s="4" t="s">
        <v>92</v>
      </c>
      <c r="AL491" s="4" t="s">
        <v>54</v>
      </c>
      <c r="AM491" s="4" t="s">
        <v>36</v>
      </c>
      <c r="AN491" s="4" t="s">
        <v>45</v>
      </c>
      <c r="AO491" s="4" t="s">
        <v>38</v>
      </c>
      <c r="AP491" s="4">
        <v>43229.0</v>
      </c>
      <c r="AQ491" s="4">
        <v>36150.0</v>
      </c>
      <c r="AR491" s="4">
        <v>55650.0</v>
      </c>
      <c r="AS491" s="4">
        <v>19500.0</v>
      </c>
      <c r="AT491" s="4">
        <v>14.0</v>
      </c>
      <c r="AU491" s="4">
        <v>779100.0</v>
      </c>
      <c r="AV491" s="4">
        <v>0.09</v>
      </c>
      <c r="AW491" s="4">
        <v>70119.0</v>
      </c>
      <c r="AX491" s="4">
        <v>708981.0</v>
      </c>
      <c r="AY491" s="4">
        <v>506100.0</v>
      </c>
      <c r="AZ491" s="4">
        <v>202881.0</v>
      </c>
    </row>
    <row r="492" ht="15.75" customHeight="1">
      <c r="A492" s="3" t="s">
        <v>1664</v>
      </c>
      <c r="B492" s="5">
        <v>43230.0</v>
      </c>
      <c r="C492" s="6">
        <f t="shared" si="1"/>
        <v>2018</v>
      </c>
      <c r="D492" s="7" t="s">
        <v>732</v>
      </c>
      <c r="E492" s="7" t="s">
        <v>85</v>
      </c>
      <c r="F492" s="7" t="s">
        <v>50</v>
      </c>
      <c r="G492" s="5" t="s">
        <v>68</v>
      </c>
      <c r="H492" s="7" t="s">
        <v>80</v>
      </c>
      <c r="I492" s="7" t="s">
        <v>92</v>
      </c>
      <c r="J492" s="7" t="s">
        <v>120</v>
      </c>
      <c r="K492" s="7" t="s">
        <v>36</v>
      </c>
      <c r="L492" s="7" t="s">
        <v>45</v>
      </c>
      <c r="M492" s="7" t="s">
        <v>38</v>
      </c>
      <c r="N492" s="5">
        <v>43232.0</v>
      </c>
      <c r="O492" s="8">
        <v>10650.0</v>
      </c>
      <c r="P492" s="8">
        <v>17100.0</v>
      </c>
      <c r="Q492" s="8">
        <f t="shared" si="2"/>
        <v>6450</v>
      </c>
      <c r="R492" s="8">
        <v>42.0</v>
      </c>
      <c r="S492" s="8">
        <f t="shared" si="3"/>
        <v>718200</v>
      </c>
      <c r="T492" s="9">
        <v>0.06</v>
      </c>
      <c r="U492" s="8">
        <f t="shared" si="4"/>
        <v>43092</v>
      </c>
      <c r="V492" s="8">
        <f t="shared" si="5"/>
        <v>675108</v>
      </c>
      <c r="W492" s="10">
        <f t="shared" si="6"/>
        <v>447300</v>
      </c>
      <c r="X492" s="10">
        <f t="shared" si="7"/>
        <v>227808</v>
      </c>
      <c r="Y492" s="10"/>
      <c r="Z492" s="10"/>
      <c r="AA492" s="10"/>
      <c r="AB492" s="4" t="s">
        <v>1665</v>
      </c>
      <c r="AC492" s="4" t="s">
        <v>1664</v>
      </c>
      <c r="AD492" s="4">
        <v>43230.0</v>
      </c>
      <c r="AE492" s="4">
        <v>2018.0</v>
      </c>
      <c r="AF492" s="4" t="s">
        <v>732</v>
      </c>
      <c r="AG492" s="4" t="s">
        <v>85</v>
      </c>
      <c r="AH492" s="4" t="s">
        <v>50</v>
      </c>
      <c r="AI492" s="4" t="s">
        <v>68</v>
      </c>
      <c r="AJ492" s="4" t="s">
        <v>80</v>
      </c>
      <c r="AK492" s="4" t="s">
        <v>92</v>
      </c>
      <c r="AL492" s="4" t="s">
        <v>120</v>
      </c>
      <c r="AM492" s="4" t="s">
        <v>36</v>
      </c>
      <c r="AN492" s="4" t="s">
        <v>45</v>
      </c>
      <c r="AO492" s="4" t="s">
        <v>38</v>
      </c>
      <c r="AP492" s="4">
        <v>43232.0</v>
      </c>
      <c r="AQ492" s="4">
        <v>10650.0</v>
      </c>
      <c r="AR492" s="4">
        <v>17100.0</v>
      </c>
      <c r="AS492" s="4">
        <v>6450.0</v>
      </c>
      <c r="AT492" s="4">
        <v>42.0</v>
      </c>
      <c r="AU492" s="4">
        <v>718200.0</v>
      </c>
      <c r="AV492" s="4">
        <v>0.06</v>
      </c>
      <c r="AW492" s="4">
        <v>43092.0</v>
      </c>
      <c r="AX492" s="4">
        <v>675108.0</v>
      </c>
      <c r="AY492" s="4">
        <v>447300.0</v>
      </c>
      <c r="AZ492" s="4">
        <v>227808.0</v>
      </c>
    </row>
    <row r="493" ht="15.75" customHeight="1">
      <c r="A493" s="3" t="s">
        <v>1666</v>
      </c>
      <c r="B493" s="5">
        <v>43232.0</v>
      </c>
      <c r="C493" s="6">
        <f t="shared" si="1"/>
        <v>2018</v>
      </c>
      <c r="D493" s="7" t="s">
        <v>809</v>
      </c>
      <c r="E493" s="7" t="s">
        <v>164</v>
      </c>
      <c r="F493" s="7" t="s">
        <v>50</v>
      </c>
      <c r="G493" s="5" t="s">
        <v>91</v>
      </c>
      <c r="H493" s="7" t="s">
        <v>69</v>
      </c>
      <c r="I493" s="7" t="s">
        <v>104</v>
      </c>
      <c r="J493" s="7" t="s">
        <v>771</v>
      </c>
      <c r="K493" s="7" t="s">
        <v>36</v>
      </c>
      <c r="L493" s="7" t="s">
        <v>37</v>
      </c>
      <c r="M493" s="7" t="s">
        <v>38</v>
      </c>
      <c r="N493" s="5">
        <v>43233.0</v>
      </c>
      <c r="O493" s="8">
        <v>34350.0</v>
      </c>
      <c r="P493" s="8">
        <v>55350.0</v>
      </c>
      <c r="Q493" s="8">
        <f t="shared" si="2"/>
        <v>21000</v>
      </c>
      <c r="R493" s="8">
        <v>4.0</v>
      </c>
      <c r="S493" s="8">
        <f t="shared" si="3"/>
        <v>221400</v>
      </c>
      <c r="T493" s="9">
        <v>0.01</v>
      </c>
      <c r="U493" s="8">
        <f t="shared" si="4"/>
        <v>2214</v>
      </c>
      <c r="V493" s="8">
        <f t="shared" si="5"/>
        <v>219186</v>
      </c>
      <c r="W493" s="10">
        <f t="shared" si="6"/>
        <v>137400</v>
      </c>
      <c r="X493" s="10">
        <f t="shared" si="7"/>
        <v>81786</v>
      </c>
      <c r="Y493" s="10"/>
      <c r="Z493" s="10"/>
      <c r="AA493" s="10"/>
      <c r="AB493" s="4" t="s">
        <v>1667</v>
      </c>
      <c r="AC493" s="4" t="s">
        <v>1666</v>
      </c>
      <c r="AD493" s="4">
        <v>43232.0</v>
      </c>
      <c r="AE493" s="4">
        <v>2018.0</v>
      </c>
      <c r="AF493" s="4" t="s">
        <v>809</v>
      </c>
      <c r="AG493" s="4" t="s">
        <v>164</v>
      </c>
      <c r="AH493" s="4" t="s">
        <v>50</v>
      </c>
      <c r="AI493" s="4" t="s">
        <v>91</v>
      </c>
      <c r="AJ493" s="4" t="s">
        <v>69</v>
      </c>
      <c r="AK493" s="4" t="s">
        <v>104</v>
      </c>
      <c r="AL493" s="4" t="s">
        <v>771</v>
      </c>
      <c r="AM493" s="4" t="s">
        <v>36</v>
      </c>
      <c r="AN493" s="4" t="s">
        <v>37</v>
      </c>
      <c r="AO493" s="4" t="s">
        <v>38</v>
      </c>
      <c r="AP493" s="4">
        <v>43233.0</v>
      </c>
      <c r="AQ493" s="4">
        <v>34350.0</v>
      </c>
      <c r="AR493" s="4">
        <v>55350.0</v>
      </c>
      <c r="AS493" s="4">
        <v>21000.0</v>
      </c>
      <c r="AT493" s="4">
        <v>4.0</v>
      </c>
      <c r="AU493" s="4">
        <v>221400.0</v>
      </c>
      <c r="AV493" s="4">
        <v>0.01</v>
      </c>
      <c r="AW493" s="4">
        <v>2214.0</v>
      </c>
      <c r="AX493" s="4">
        <v>219186.0</v>
      </c>
      <c r="AY493" s="4">
        <v>137400.0</v>
      </c>
      <c r="AZ493" s="4">
        <v>81786.0</v>
      </c>
    </row>
    <row r="494" ht="15.75" customHeight="1">
      <c r="A494" s="3" t="s">
        <v>1668</v>
      </c>
      <c r="B494" s="5">
        <v>43234.0</v>
      </c>
      <c r="C494" s="6">
        <f t="shared" si="1"/>
        <v>2018</v>
      </c>
      <c r="D494" s="7" t="s">
        <v>519</v>
      </c>
      <c r="E494" s="7" t="s">
        <v>520</v>
      </c>
      <c r="F494" s="7" t="s">
        <v>50</v>
      </c>
      <c r="G494" s="5" t="s">
        <v>51</v>
      </c>
      <c r="H494" s="7" t="s">
        <v>69</v>
      </c>
      <c r="I494" s="7" t="s">
        <v>92</v>
      </c>
      <c r="J494" s="7" t="s">
        <v>195</v>
      </c>
      <c r="K494" s="7" t="s">
        <v>61</v>
      </c>
      <c r="L494" s="7" t="s">
        <v>37</v>
      </c>
      <c r="M494" s="7" t="s">
        <v>38</v>
      </c>
      <c r="N494" s="5">
        <v>43235.0</v>
      </c>
      <c r="O494" s="8">
        <v>480300.00000000006</v>
      </c>
      <c r="P494" s="8">
        <v>2287200.0</v>
      </c>
      <c r="Q494" s="8">
        <f t="shared" si="2"/>
        <v>1806900</v>
      </c>
      <c r="R494" s="8">
        <v>21.0</v>
      </c>
      <c r="S494" s="8">
        <f t="shared" si="3"/>
        <v>48031200</v>
      </c>
      <c r="T494" s="9">
        <v>0.03</v>
      </c>
      <c r="U494" s="8">
        <f t="shared" si="4"/>
        <v>1440936</v>
      </c>
      <c r="V494" s="8">
        <f t="shared" si="5"/>
        <v>46590264</v>
      </c>
      <c r="W494" s="10">
        <f t="shared" si="6"/>
        <v>10086300</v>
      </c>
      <c r="X494" s="10">
        <f t="shared" si="7"/>
        <v>36503964</v>
      </c>
      <c r="Y494" s="10"/>
      <c r="Z494" s="10"/>
      <c r="AA494" s="10"/>
      <c r="AB494" s="4" t="s">
        <v>1669</v>
      </c>
      <c r="AC494" s="4" t="s">
        <v>1668</v>
      </c>
      <c r="AD494" s="4">
        <v>43234.0</v>
      </c>
      <c r="AE494" s="4">
        <v>2018.0</v>
      </c>
      <c r="AF494" s="4" t="s">
        <v>519</v>
      </c>
      <c r="AG494" s="4" t="s">
        <v>520</v>
      </c>
      <c r="AH494" s="4" t="s">
        <v>50</v>
      </c>
      <c r="AI494" s="4" t="s">
        <v>51</v>
      </c>
      <c r="AJ494" s="4" t="s">
        <v>69</v>
      </c>
      <c r="AK494" s="4" t="s">
        <v>92</v>
      </c>
      <c r="AL494" s="4" t="s">
        <v>195</v>
      </c>
      <c r="AM494" s="4" t="s">
        <v>61</v>
      </c>
      <c r="AN494" s="4" t="s">
        <v>37</v>
      </c>
      <c r="AO494" s="4" t="s">
        <v>38</v>
      </c>
      <c r="AP494" s="4">
        <v>43235.0</v>
      </c>
      <c r="AQ494" s="4">
        <v>480300.0</v>
      </c>
      <c r="AR494" s="4">
        <v>2287200.0</v>
      </c>
      <c r="AS494" s="4">
        <v>1806900.0</v>
      </c>
      <c r="AT494" s="4">
        <v>21.0</v>
      </c>
      <c r="AU494" s="4">
        <v>4.80312E7</v>
      </c>
      <c r="AV494" s="4">
        <v>0.03</v>
      </c>
      <c r="AW494" s="4">
        <v>1440936.0</v>
      </c>
      <c r="AX494" s="4">
        <v>4.6590264E7</v>
      </c>
      <c r="AY494" s="4">
        <v>1.00863E7</v>
      </c>
      <c r="AZ494" s="4">
        <v>3.6503964E7</v>
      </c>
    </row>
    <row r="495" ht="15.75" customHeight="1">
      <c r="A495" s="3" t="s">
        <v>1670</v>
      </c>
      <c r="B495" s="5">
        <v>43235.0</v>
      </c>
      <c r="C495" s="6">
        <f t="shared" si="1"/>
        <v>2018</v>
      </c>
      <c r="D495" s="7" t="s">
        <v>1061</v>
      </c>
      <c r="E495" s="7" t="s">
        <v>726</v>
      </c>
      <c r="F495" s="7" t="s">
        <v>50</v>
      </c>
      <c r="G495" s="5" t="s">
        <v>51</v>
      </c>
      <c r="H495" s="7" t="s">
        <v>52</v>
      </c>
      <c r="I495" s="7" t="s">
        <v>34</v>
      </c>
      <c r="J495" s="7" t="s">
        <v>484</v>
      </c>
      <c r="K495" s="7" t="s">
        <v>61</v>
      </c>
      <c r="L495" s="7" t="s">
        <v>62</v>
      </c>
      <c r="M495" s="7" t="s">
        <v>63</v>
      </c>
      <c r="N495" s="5">
        <v>43237.0</v>
      </c>
      <c r="O495" s="8">
        <v>4184850.0</v>
      </c>
      <c r="P495" s="8">
        <v>6749850.0</v>
      </c>
      <c r="Q495" s="8">
        <f t="shared" si="2"/>
        <v>2565000</v>
      </c>
      <c r="R495" s="8">
        <v>25.0</v>
      </c>
      <c r="S495" s="8">
        <f t="shared" si="3"/>
        <v>168746250</v>
      </c>
      <c r="T495" s="9">
        <v>0.01</v>
      </c>
      <c r="U495" s="8">
        <f t="shared" si="4"/>
        <v>1687462.5</v>
      </c>
      <c r="V495" s="8">
        <f t="shared" si="5"/>
        <v>167058787.5</v>
      </c>
      <c r="W495" s="10">
        <f t="shared" si="6"/>
        <v>104621250</v>
      </c>
      <c r="X495" s="10">
        <f t="shared" si="7"/>
        <v>62437537.5</v>
      </c>
      <c r="Y495" s="10"/>
      <c r="Z495" s="10"/>
      <c r="AA495" s="10"/>
      <c r="AB495" s="4" t="s">
        <v>1671</v>
      </c>
      <c r="AC495" s="4" t="s">
        <v>1670</v>
      </c>
      <c r="AD495" s="4">
        <v>43235.0</v>
      </c>
      <c r="AE495" s="4">
        <v>2018.0</v>
      </c>
      <c r="AF495" s="4" t="s">
        <v>1061</v>
      </c>
      <c r="AG495" s="4" t="s">
        <v>726</v>
      </c>
      <c r="AH495" s="4" t="s">
        <v>50</v>
      </c>
      <c r="AI495" s="4" t="s">
        <v>51</v>
      </c>
      <c r="AJ495" s="4" t="s">
        <v>52</v>
      </c>
      <c r="AK495" s="4" t="s">
        <v>34</v>
      </c>
      <c r="AL495" s="4" t="s">
        <v>484</v>
      </c>
      <c r="AM495" s="4" t="s">
        <v>61</v>
      </c>
      <c r="AN495" s="4" t="s">
        <v>62</v>
      </c>
      <c r="AO495" s="4" t="s">
        <v>63</v>
      </c>
      <c r="AP495" s="4">
        <v>43237.0</v>
      </c>
      <c r="AQ495" s="4">
        <v>4184850.0</v>
      </c>
      <c r="AR495" s="4">
        <v>6749850.0</v>
      </c>
      <c r="AS495" s="4">
        <v>2565000.0</v>
      </c>
      <c r="AT495" s="4">
        <v>25.0</v>
      </c>
      <c r="AU495" s="4">
        <v>1.6874625E8</v>
      </c>
      <c r="AV495" s="4">
        <v>0.01</v>
      </c>
      <c r="AW495" s="4">
        <v>1687462.5</v>
      </c>
      <c r="AX495" s="4">
        <v>1.670587875E8</v>
      </c>
      <c r="AY495" s="4">
        <v>1.0462125E8</v>
      </c>
      <c r="AZ495" s="4">
        <v>6.24375375E7</v>
      </c>
    </row>
    <row r="496" ht="15.75" customHeight="1">
      <c r="A496" s="3" t="s">
        <v>1672</v>
      </c>
      <c r="B496" s="5">
        <v>43236.0</v>
      </c>
      <c r="C496" s="6">
        <f t="shared" si="1"/>
        <v>2018</v>
      </c>
      <c r="D496" s="7" t="s">
        <v>1673</v>
      </c>
      <c r="E496" s="7" t="s">
        <v>90</v>
      </c>
      <c r="F496" s="7" t="s">
        <v>50</v>
      </c>
      <c r="G496" s="5" t="s">
        <v>32</v>
      </c>
      <c r="H496" s="7" t="s">
        <v>52</v>
      </c>
      <c r="I496" s="7" t="s">
        <v>34</v>
      </c>
      <c r="J496" s="7" t="s">
        <v>584</v>
      </c>
      <c r="K496" s="7" t="s">
        <v>278</v>
      </c>
      <c r="L496" s="7" t="s">
        <v>555</v>
      </c>
      <c r="M496" s="7" t="s">
        <v>38</v>
      </c>
      <c r="N496" s="5">
        <v>43238.0</v>
      </c>
      <c r="O496" s="8">
        <v>842400.0</v>
      </c>
      <c r="P496" s="8">
        <v>2054699.9999999998</v>
      </c>
      <c r="Q496" s="8">
        <f t="shared" si="2"/>
        <v>1212300</v>
      </c>
      <c r="R496" s="8">
        <v>2.0</v>
      </c>
      <c r="S496" s="8">
        <f t="shared" si="3"/>
        <v>4109400</v>
      </c>
      <c r="T496" s="9">
        <v>0.08</v>
      </c>
      <c r="U496" s="8">
        <f t="shared" si="4"/>
        <v>328752</v>
      </c>
      <c r="V496" s="8">
        <f t="shared" si="5"/>
        <v>3780648</v>
      </c>
      <c r="W496" s="10">
        <f t="shared" si="6"/>
        <v>1684800</v>
      </c>
      <c r="X496" s="10">
        <f t="shared" si="7"/>
        <v>2095848</v>
      </c>
      <c r="Y496" s="10"/>
      <c r="Z496" s="10"/>
      <c r="AA496" s="10"/>
      <c r="AB496" s="4" t="s">
        <v>1674</v>
      </c>
      <c r="AC496" s="4" t="s">
        <v>1672</v>
      </c>
      <c r="AD496" s="4">
        <v>43236.0</v>
      </c>
      <c r="AE496" s="4">
        <v>2018.0</v>
      </c>
      <c r="AF496" s="4" t="s">
        <v>1673</v>
      </c>
      <c r="AG496" s="4" t="s">
        <v>90</v>
      </c>
      <c r="AH496" s="4" t="s">
        <v>50</v>
      </c>
      <c r="AI496" s="4" t="s">
        <v>32</v>
      </c>
      <c r="AJ496" s="4" t="s">
        <v>52</v>
      </c>
      <c r="AK496" s="4" t="s">
        <v>34</v>
      </c>
      <c r="AL496" s="4" t="s">
        <v>584</v>
      </c>
      <c r="AM496" s="4" t="s">
        <v>278</v>
      </c>
      <c r="AN496" s="4" t="s">
        <v>555</v>
      </c>
      <c r="AO496" s="4" t="s">
        <v>38</v>
      </c>
      <c r="AP496" s="4">
        <v>43238.0</v>
      </c>
      <c r="AQ496" s="4">
        <v>842400.0</v>
      </c>
      <c r="AR496" s="4">
        <v>2054700.0</v>
      </c>
      <c r="AS496" s="4">
        <v>1212300.0</v>
      </c>
      <c r="AT496" s="4">
        <v>2.0</v>
      </c>
      <c r="AU496" s="4">
        <v>4109400.0</v>
      </c>
      <c r="AV496" s="4">
        <v>0.08</v>
      </c>
      <c r="AW496" s="4">
        <v>328752.0</v>
      </c>
      <c r="AX496" s="4">
        <v>3780648.0</v>
      </c>
      <c r="AY496" s="4">
        <v>1684800.0</v>
      </c>
      <c r="AZ496" s="4">
        <v>2095848.0</v>
      </c>
    </row>
    <row r="497" ht="15.75" customHeight="1">
      <c r="A497" s="3" t="s">
        <v>1675</v>
      </c>
      <c r="B497" s="5">
        <v>43236.0</v>
      </c>
      <c r="C497" s="6">
        <f t="shared" si="1"/>
        <v>2018</v>
      </c>
      <c r="D497" s="7" t="s">
        <v>1289</v>
      </c>
      <c r="E497" s="7" t="s">
        <v>1290</v>
      </c>
      <c r="F497" s="7" t="s">
        <v>289</v>
      </c>
      <c r="G497" s="5" t="s">
        <v>68</v>
      </c>
      <c r="H497" s="7" t="s">
        <v>80</v>
      </c>
      <c r="I497" s="7" t="s">
        <v>53</v>
      </c>
      <c r="J497" s="7" t="s">
        <v>551</v>
      </c>
      <c r="K497" s="7" t="s">
        <v>36</v>
      </c>
      <c r="L497" s="7" t="s">
        <v>37</v>
      </c>
      <c r="M497" s="7" t="s">
        <v>38</v>
      </c>
      <c r="N497" s="5">
        <v>43238.0</v>
      </c>
      <c r="O497" s="8">
        <v>275700.0</v>
      </c>
      <c r="P497" s="8">
        <v>437550.0</v>
      </c>
      <c r="Q497" s="8">
        <f t="shared" si="2"/>
        <v>161850</v>
      </c>
      <c r="R497" s="8">
        <v>43.0</v>
      </c>
      <c r="S497" s="8">
        <f t="shared" si="3"/>
        <v>18814650</v>
      </c>
      <c r="T497" s="9">
        <v>0.05</v>
      </c>
      <c r="U497" s="8">
        <f t="shared" si="4"/>
        <v>940732.5</v>
      </c>
      <c r="V497" s="8">
        <f t="shared" si="5"/>
        <v>17873917.5</v>
      </c>
      <c r="W497" s="10">
        <f t="shared" si="6"/>
        <v>11855100</v>
      </c>
      <c r="X497" s="10">
        <f t="shared" si="7"/>
        <v>6018817.5</v>
      </c>
      <c r="Y497" s="10"/>
      <c r="Z497" s="10"/>
      <c r="AA497" s="10"/>
      <c r="AB497" s="4" t="s">
        <v>1676</v>
      </c>
      <c r="AC497" s="4" t="s">
        <v>1675</v>
      </c>
      <c r="AD497" s="4">
        <v>43236.0</v>
      </c>
      <c r="AE497" s="4">
        <v>2018.0</v>
      </c>
      <c r="AF497" s="4" t="s">
        <v>1289</v>
      </c>
      <c r="AG497" s="4" t="s">
        <v>1290</v>
      </c>
      <c r="AH497" s="4" t="s">
        <v>289</v>
      </c>
      <c r="AI497" s="4" t="s">
        <v>68</v>
      </c>
      <c r="AJ497" s="4" t="s">
        <v>80</v>
      </c>
      <c r="AK497" s="4" t="s">
        <v>53</v>
      </c>
      <c r="AL497" s="4" t="s">
        <v>551</v>
      </c>
      <c r="AM497" s="4" t="s">
        <v>36</v>
      </c>
      <c r="AN497" s="4" t="s">
        <v>37</v>
      </c>
      <c r="AO497" s="4" t="s">
        <v>38</v>
      </c>
      <c r="AP497" s="4">
        <v>43238.0</v>
      </c>
      <c r="AQ497" s="4">
        <v>275700.0</v>
      </c>
      <c r="AR497" s="4">
        <v>437550.0</v>
      </c>
      <c r="AS497" s="4">
        <v>161850.0</v>
      </c>
      <c r="AT497" s="4">
        <v>43.0</v>
      </c>
      <c r="AU497" s="4">
        <v>1.881465E7</v>
      </c>
      <c r="AV497" s="4">
        <v>0.05</v>
      </c>
      <c r="AW497" s="4">
        <v>940732.5</v>
      </c>
      <c r="AX497" s="4">
        <v>1.78739175E7</v>
      </c>
      <c r="AY497" s="4">
        <v>1.18551E7</v>
      </c>
      <c r="AZ497" s="4">
        <v>6018817.5</v>
      </c>
    </row>
    <row r="498" ht="15.75" customHeight="1">
      <c r="A498" s="3" t="s">
        <v>1677</v>
      </c>
      <c r="B498" s="5">
        <v>43238.0</v>
      </c>
      <c r="C498" s="6">
        <f t="shared" si="1"/>
        <v>2018</v>
      </c>
      <c r="D498" s="7" t="s">
        <v>1678</v>
      </c>
      <c r="E498" s="7" t="s">
        <v>483</v>
      </c>
      <c r="F498" s="7" t="s">
        <v>50</v>
      </c>
      <c r="G498" s="5" t="s">
        <v>91</v>
      </c>
      <c r="H498" s="7" t="s">
        <v>125</v>
      </c>
      <c r="I498" s="7" t="s">
        <v>34</v>
      </c>
      <c r="J498" s="7" t="s">
        <v>243</v>
      </c>
      <c r="K498" s="7" t="s">
        <v>61</v>
      </c>
      <c r="L498" s="7" t="s">
        <v>244</v>
      </c>
      <c r="M498" s="7" t="s">
        <v>38</v>
      </c>
      <c r="N498" s="5">
        <v>43241.0</v>
      </c>
      <c r="O498" s="8">
        <v>132300.0</v>
      </c>
      <c r="P498" s="8">
        <v>314850.0</v>
      </c>
      <c r="Q498" s="8">
        <f t="shared" si="2"/>
        <v>182550</v>
      </c>
      <c r="R498" s="8">
        <v>23.0</v>
      </c>
      <c r="S498" s="8">
        <f t="shared" si="3"/>
        <v>7241550</v>
      </c>
      <c r="T498" s="9">
        <v>0.1</v>
      </c>
      <c r="U498" s="8">
        <f t="shared" si="4"/>
        <v>724155</v>
      </c>
      <c r="V498" s="8">
        <f t="shared" si="5"/>
        <v>6517395</v>
      </c>
      <c r="W498" s="10">
        <f t="shared" si="6"/>
        <v>3042900</v>
      </c>
      <c r="X498" s="10">
        <f t="shared" si="7"/>
        <v>3474495</v>
      </c>
      <c r="Y498" s="10"/>
      <c r="Z498" s="10"/>
      <c r="AA498" s="10"/>
      <c r="AB498" s="4" t="s">
        <v>1679</v>
      </c>
      <c r="AC498" s="4" t="s">
        <v>1677</v>
      </c>
      <c r="AD498" s="4">
        <v>43238.0</v>
      </c>
      <c r="AE498" s="4">
        <v>2018.0</v>
      </c>
      <c r="AF498" s="4" t="s">
        <v>1678</v>
      </c>
      <c r="AG498" s="4" t="s">
        <v>483</v>
      </c>
      <c r="AH498" s="4" t="s">
        <v>50</v>
      </c>
      <c r="AI498" s="4" t="s">
        <v>91</v>
      </c>
      <c r="AJ498" s="4" t="s">
        <v>125</v>
      </c>
      <c r="AK498" s="4" t="s">
        <v>34</v>
      </c>
      <c r="AL498" s="4" t="s">
        <v>243</v>
      </c>
      <c r="AM498" s="4" t="s">
        <v>61</v>
      </c>
      <c r="AN498" s="4" t="s">
        <v>244</v>
      </c>
      <c r="AO498" s="4" t="s">
        <v>38</v>
      </c>
      <c r="AP498" s="4">
        <v>43241.0</v>
      </c>
      <c r="AQ498" s="4">
        <v>132300.0</v>
      </c>
      <c r="AR498" s="4">
        <v>314850.0</v>
      </c>
      <c r="AS498" s="4">
        <v>182550.0</v>
      </c>
      <c r="AT498" s="4">
        <v>23.0</v>
      </c>
      <c r="AU498" s="4">
        <v>7241550.0</v>
      </c>
      <c r="AV498" s="4">
        <v>0.1</v>
      </c>
      <c r="AW498" s="4">
        <v>724155.0</v>
      </c>
      <c r="AX498" s="4">
        <v>6517395.0</v>
      </c>
      <c r="AY498" s="4">
        <v>3042900.0</v>
      </c>
      <c r="AZ498" s="4">
        <v>3474495.0</v>
      </c>
    </row>
    <row r="499" ht="15.75" customHeight="1">
      <c r="A499" s="3" t="s">
        <v>1680</v>
      </c>
      <c r="B499" s="5">
        <v>43238.0</v>
      </c>
      <c r="C499" s="6">
        <f t="shared" si="1"/>
        <v>2018</v>
      </c>
      <c r="D499" s="7" t="s">
        <v>1681</v>
      </c>
      <c r="E499" s="7" t="s">
        <v>671</v>
      </c>
      <c r="F499" s="7" t="s">
        <v>50</v>
      </c>
      <c r="G499" s="5" t="s">
        <v>32</v>
      </c>
      <c r="H499" s="7" t="s">
        <v>125</v>
      </c>
      <c r="I499" s="7" t="s">
        <v>104</v>
      </c>
      <c r="J499" s="7" t="s">
        <v>345</v>
      </c>
      <c r="K499" s="7" t="s">
        <v>36</v>
      </c>
      <c r="L499" s="7" t="s">
        <v>45</v>
      </c>
      <c r="M499" s="7" t="s">
        <v>55</v>
      </c>
      <c r="N499" s="5">
        <v>43238.0</v>
      </c>
      <c r="O499" s="8">
        <v>26400.0</v>
      </c>
      <c r="P499" s="8">
        <v>50700.0</v>
      </c>
      <c r="Q499" s="8">
        <f t="shared" si="2"/>
        <v>24300</v>
      </c>
      <c r="R499" s="8">
        <v>5.0</v>
      </c>
      <c r="S499" s="8">
        <f t="shared" si="3"/>
        <v>253500</v>
      </c>
      <c r="T499" s="9">
        <v>0.08</v>
      </c>
      <c r="U499" s="8">
        <f t="shared" si="4"/>
        <v>20280</v>
      </c>
      <c r="V499" s="8">
        <f t="shared" si="5"/>
        <v>233220</v>
      </c>
      <c r="W499" s="10">
        <f t="shared" si="6"/>
        <v>132000</v>
      </c>
      <c r="X499" s="10">
        <f t="shared" si="7"/>
        <v>101220</v>
      </c>
      <c r="Y499" s="10"/>
      <c r="Z499" s="10"/>
      <c r="AA499" s="10"/>
      <c r="AB499" s="4" t="s">
        <v>1682</v>
      </c>
      <c r="AC499" s="4" t="s">
        <v>1680</v>
      </c>
      <c r="AD499" s="4">
        <v>43238.0</v>
      </c>
      <c r="AE499" s="4">
        <v>2018.0</v>
      </c>
      <c r="AF499" s="4" t="s">
        <v>1681</v>
      </c>
      <c r="AG499" s="4" t="s">
        <v>671</v>
      </c>
      <c r="AH499" s="4" t="s">
        <v>50</v>
      </c>
      <c r="AI499" s="4" t="s">
        <v>32</v>
      </c>
      <c r="AJ499" s="4" t="s">
        <v>125</v>
      </c>
      <c r="AK499" s="4" t="s">
        <v>104</v>
      </c>
      <c r="AL499" s="4" t="s">
        <v>345</v>
      </c>
      <c r="AM499" s="4" t="s">
        <v>36</v>
      </c>
      <c r="AN499" s="4" t="s">
        <v>45</v>
      </c>
      <c r="AO499" s="4" t="s">
        <v>55</v>
      </c>
      <c r="AP499" s="4">
        <v>43238.0</v>
      </c>
      <c r="AQ499" s="4">
        <v>26400.0</v>
      </c>
      <c r="AR499" s="4">
        <v>50700.0</v>
      </c>
      <c r="AS499" s="4">
        <v>24300.0</v>
      </c>
      <c r="AT499" s="4">
        <v>5.0</v>
      </c>
      <c r="AU499" s="4">
        <v>253500.0</v>
      </c>
      <c r="AV499" s="4">
        <v>0.08</v>
      </c>
      <c r="AW499" s="4">
        <v>20280.0</v>
      </c>
      <c r="AX499" s="4">
        <v>233220.0</v>
      </c>
      <c r="AY499" s="4">
        <v>132000.0</v>
      </c>
      <c r="AZ499" s="4">
        <v>101220.0</v>
      </c>
    </row>
    <row r="500" ht="15.75" customHeight="1">
      <c r="A500" s="3" t="s">
        <v>1683</v>
      </c>
      <c r="B500" s="5">
        <v>43238.0</v>
      </c>
      <c r="C500" s="6">
        <f t="shared" si="1"/>
        <v>2018</v>
      </c>
      <c r="D500" s="7" t="s">
        <v>1684</v>
      </c>
      <c r="E500" s="7" t="s">
        <v>550</v>
      </c>
      <c r="F500" s="7" t="s">
        <v>50</v>
      </c>
      <c r="G500" s="5" t="s">
        <v>51</v>
      </c>
      <c r="H500" s="7" t="s">
        <v>151</v>
      </c>
      <c r="I500" s="7" t="s">
        <v>74</v>
      </c>
      <c r="J500" s="7" t="s">
        <v>208</v>
      </c>
      <c r="K500" s="7" t="s">
        <v>36</v>
      </c>
      <c r="L500" s="7" t="s">
        <v>127</v>
      </c>
      <c r="M500" s="7" t="s">
        <v>38</v>
      </c>
      <c r="N500" s="5">
        <v>43265.0</v>
      </c>
      <c r="O500" s="8">
        <v>71850.0</v>
      </c>
      <c r="P500" s="8">
        <v>179550.0</v>
      </c>
      <c r="Q500" s="8">
        <f t="shared" si="2"/>
        <v>107700</v>
      </c>
      <c r="R500" s="8">
        <v>17.0</v>
      </c>
      <c r="S500" s="8">
        <f t="shared" si="3"/>
        <v>3052350</v>
      </c>
      <c r="T500" s="9">
        <v>0.03</v>
      </c>
      <c r="U500" s="8">
        <f t="shared" si="4"/>
        <v>91570.5</v>
      </c>
      <c r="V500" s="8">
        <f t="shared" si="5"/>
        <v>2960779.5</v>
      </c>
      <c r="W500" s="10">
        <f t="shared" si="6"/>
        <v>1221450</v>
      </c>
      <c r="X500" s="10">
        <f t="shared" si="7"/>
        <v>1739329.5</v>
      </c>
      <c r="Y500" s="10"/>
      <c r="Z500" s="10"/>
      <c r="AA500" s="10"/>
      <c r="AB500" s="4" t="s">
        <v>1685</v>
      </c>
      <c r="AC500" s="4" t="s">
        <v>1683</v>
      </c>
      <c r="AD500" s="4">
        <v>43238.0</v>
      </c>
      <c r="AE500" s="4">
        <v>2018.0</v>
      </c>
      <c r="AF500" s="4" t="s">
        <v>1684</v>
      </c>
      <c r="AG500" s="4" t="s">
        <v>550</v>
      </c>
      <c r="AH500" s="4" t="s">
        <v>50</v>
      </c>
      <c r="AI500" s="4" t="s">
        <v>51</v>
      </c>
      <c r="AJ500" s="4" t="s">
        <v>151</v>
      </c>
      <c r="AK500" s="4" t="s">
        <v>74</v>
      </c>
      <c r="AL500" s="4" t="s">
        <v>208</v>
      </c>
      <c r="AM500" s="4" t="s">
        <v>36</v>
      </c>
      <c r="AN500" s="4" t="s">
        <v>127</v>
      </c>
      <c r="AO500" s="4" t="s">
        <v>38</v>
      </c>
      <c r="AP500" s="4">
        <v>43265.0</v>
      </c>
      <c r="AQ500" s="4">
        <v>71850.0</v>
      </c>
      <c r="AR500" s="4">
        <v>179550.0</v>
      </c>
      <c r="AS500" s="4">
        <v>107700.0</v>
      </c>
      <c r="AT500" s="4">
        <v>17.0</v>
      </c>
      <c r="AU500" s="4">
        <v>3052350.0</v>
      </c>
      <c r="AV500" s="4">
        <v>0.03</v>
      </c>
      <c r="AW500" s="4">
        <v>91570.5</v>
      </c>
      <c r="AX500" s="4">
        <v>2960779.5</v>
      </c>
      <c r="AY500" s="4">
        <v>1221450.0</v>
      </c>
      <c r="AZ500" s="4">
        <v>1739329.5</v>
      </c>
    </row>
    <row r="501" ht="15.75" customHeight="1">
      <c r="A501" s="3" t="s">
        <v>1686</v>
      </c>
      <c r="B501" s="5">
        <v>43239.0</v>
      </c>
      <c r="C501" s="6">
        <f t="shared" si="1"/>
        <v>2018</v>
      </c>
      <c r="D501" s="7" t="s">
        <v>267</v>
      </c>
      <c r="E501" s="7" t="s">
        <v>268</v>
      </c>
      <c r="F501" s="7" t="s">
        <v>50</v>
      </c>
      <c r="G501" s="5" t="s">
        <v>32</v>
      </c>
      <c r="H501" s="7" t="s">
        <v>140</v>
      </c>
      <c r="I501" s="7" t="s">
        <v>104</v>
      </c>
      <c r="J501" s="7" t="s">
        <v>259</v>
      </c>
      <c r="K501" s="7" t="s">
        <v>36</v>
      </c>
      <c r="L501" s="7" t="s">
        <v>45</v>
      </c>
      <c r="M501" s="7" t="s">
        <v>38</v>
      </c>
      <c r="N501" s="5">
        <v>43241.0</v>
      </c>
      <c r="O501" s="8">
        <v>323400.0</v>
      </c>
      <c r="P501" s="8">
        <v>548250.0</v>
      </c>
      <c r="Q501" s="8">
        <f t="shared" si="2"/>
        <v>224850</v>
      </c>
      <c r="R501" s="8">
        <v>34.0</v>
      </c>
      <c r="S501" s="8">
        <f t="shared" si="3"/>
        <v>18640500</v>
      </c>
      <c r="T501" s="9">
        <v>0.03</v>
      </c>
      <c r="U501" s="8">
        <f t="shared" si="4"/>
        <v>559215</v>
      </c>
      <c r="V501" s="8">
        <f t="shared" si="5"/>
        <v>18081285</v>
      </c>
      <c r="W501" s="10">
        <f t="shared" si="6"/>
        <v>10995600</v>
      </c>
      <c r="X501" s="10">
        <f t="shared" si="7"/>
        <v>7085685</v>
      </c>
      <c r="Y501" s="10"/>
      <c r="Z501" s="10"/>
      <c r="AA501" s="10"/>
      <c r="AB501" s="4" t="s">
        <v>1687</v>
      </c>
      <c r="AC501" s="4" t="s">
        <v>1686</v>
      </c>
      <c r="AD501" s="4">
        <v>43239.0</v>
      </c>
      <c r="AE501" s="4">
        <v>2018.0</v>
      </c>
      <c r="AF501" s="4" t="s">
        <v>267</v>
      </c>
      <c r="AG501" s="4" t="s">
        <v>268</v>
      </c>
      <c r="AH501" s="4" t="s">
        <v>50</v>
      </c>
      <c r="AI501" s="4" t="s">
        <v>32</v>
      </c>
      <c r="AJ501" s="4" t="s">
        <v>140</v>
      </c>
      <c r="AK501" s="4" t="s">
        <v>104</v>
      </c>
      <c r="AL501" s="4" t="s">
        <v>259</v>
      </c>
      <c r="AM501" s="4" t="s">
        <v>36</v>
      </c>
      <c r="AN501" s="4" t="s">
        <v>45</v>
      </c>
      <c r="AO501" s="4" t="s">
        <v>38</v>
      </c>
      <c r="AP501" s="4">
        <v>43241.0</v>
      </c>
      <c r="AQ501" s="4">
        <v>323400.0</v>
      </c>
      <c r="AR501" s="4">
        <v>548250.0</v>
      </c>
      <c r="AS501" s="4">
        <v>224850.0</v>
      </c>
      <c r="AT501" s="4">
        <v>34.0</v>
      </c>
      <c r="AU501" s="4">
        <v>1.86405E7</v>
      </c>
      <c r="AV501" s="4">
        <v>0.03</v>
      </c>
      <c r="AW501" s="4">
        <v>559215.0</v>
      </c>
      <c r="AX501" s="4">
        <v>1.8081285E7</v>
      </c>
      <c r="AY501" s="4">
        <v>1.09956E7</v>
      </c>
      <c r="AZ501" s="4">
        <v>7085685.0</v>
      </c>
    </row>
    <row r="502" ht="15.75" customHeight="1">
      <c r="A502" s="3" t="s">
        <v>1688</v>
      </c>
      <c r="B502" s="5">
        <v>43239.0</v>
      </c>
      <c r="C502" s="6">
        <f t="shared" si="1"/>
        <v>2018</v>
      </c>
      <c r="D502" s="7" t="s">
        <v>1689</v>
      </c>
      <c r="E502" s="7" t="s">
        <v>369</v>
      </c>
      <c r="F502" s="7" t="s">
        <v>50</v>
      </c>
      <c r="G502" s="5" t="s">
        <v>91</v>
      </c>
      <c r="H502" s="7" t="s">
        <v>200</v>
      </c>
      <c r="I502" s="7" t="s">
        <v>53</v>
      </c>
      <c r="J502" s="7" t="s">
        <v>903</v>
      </c>
      <c r="K502" s="7" t="s">
        <v>36</v>
      </c>
      <c r="L502" s="7" t="s">
        <v>45</v>
      </c>
      <c r="M502" s="7" t="s">
        <v>38</v>
      </c>
      <c r="N502" s="5">
        <v>43241.0</v>
      </c>
      <c r="O502" s="8">
        <v>34650.0</v>
      </c>
      <c r="P502" s="8">
        <v>56700.0</v>
      </c>
      <c r="Q502" s="8">
        <f t="shared" si="2"/>
        <v>22050</v>
      </c>
      <c r="R502" s="8">
        <v>34.0</v>
      </c>
      <c r="S502" s="8">
        <f t="shared" si="3"/>
        <v>1927800</v>
      </c>
      <c r="T502" s="9">
        <v>0.03</v>
      </c>
      <c r="U502" s="8">
        <f t="shared" si="4"/>
        <v>57834</v>
      </c>
      <c r="V502" s="8">
        <f t="shared" si="5"/>
        <v>1869966</v>
      </c>
      <c r="W502" s="10">
        <f t="shared" si="6"/>
        <v>1178100</v>
      </c>
      <c r="X502" s="10">
        <f t="shared" si="7"/>
        <v>691866</v>
      </c>
      <c r="Y502" s="10"/>
      <c r="Z502" s="10"/>
      <c r="AA502" s="10"/>
      <c r="AB502" s="4" t="s">
        <v>1690</v>
      </c>
      <c r="AC502" s="4" t="s">
        <v>1688</v>
      </c>
      <c r="AD502" s="4">
        <v>43239.0</v>
      </c>
      <c r="AE502" s="4">
        <v>2018.0</v>
      </c>
      <c r="AF502" s="4" t="s">
        <v>1689</v>
      </c>
      <c r="AG502" s="4" t="s">
        <v>369</v>
      </c>
      <c r="AH502" s="4" t="s">
        <v>50</v>
      </c>
      <c r="AI502" s="4" t="s">
        <v>91</v>
      </c>
      <c r="AJ502" s="4" t="s">
        <v>200</v>
      </c>
      <c r="AK502" s="4" t="s">
        <v>53</v>
      </c>
      <c r="AL502" s="4" t="s">
        <v>903</v>
      </c>
      <c r="AM502" s="4" t="s">
        <v>36</v>
      </c>
      <c r="AN502" s="4" t="s">
        <v>45</v>
      </c>
      <c r="AO502" s="4" t="s">
        <v>38</v>
      </c>
      <c r="AP502" s="4">
        <v>43241.0</v>
      </c>
      <c r="AQ502" s="4">
        <v>34650.0</v>
      </c>
      <c r="AR502" s="4">
        <v>56700.0</v>
      </c>
      <c r="AS502" s="4">
        <v>22050.0</v>
      </c>
      <c r="AT502" s="4">
        <v>34.0</v>
      </c>
      <c r="AU502" s="4">
        <v>1927800.0</v>
      </c>
      <c r="AV502" s="4">
        <v>0.03</v>
      </c>
      <c r="AW502" s="4">
        <v>57834.0</v>
      </c>
      <c r="AX502" s="4">
        <v>1869966.0</v>
      </c>
      <c r="AY502" s="4">
        <v>1178100.0</v>
      </c>
      <c r="AZ502" s="4">
        <v>691866.0</v>
      </c>
    </row>
    <row r="503" ht="15.75" customHeight="1">
      <c r="A503" s="3" t="s">
        <v>1691</v>
      </c>
      <c r="B503" s="5">
        <v>43242.0</v>
      </c>
      <c r="C503" s="6">
        <f t="shared" si="1"/>
        <v>2018</v>
      </c>
      <c r="D503" s="7" t="s">
        <v>1692</v>
      </c>
      <c r="E503" s="7" t="s">
        <v>1205</v>
      </c>
      <c r="F503" s="7" t="s">
        <v>50</v>
      </c>
      <c r="G503" s="5" t="s">
        <v>91</v>
      </c>
      <c r="H503" s="7" t="s">
        <v>189</v>
      </c>
      <c r="I503" s="7" t="s">
        <v>104</v>
      </c>
      <c r="J503" s="7" t="s">
        <v>331</v>
      </c>
      <c r="K503" s="7" t="s">
        <v>61</v>
      </c>
      <c r="L503" s="7" t="s">
        <v>37</v>
      </c>
      <c r="M503" s="7" t="s">
        <v>38</v>
      </c>
      <c r="N503" s="5">
        <v>43253.0</v>
      </c>
      <c r="O503" s="8">
        <v>908850.0</v>
      </c>
      <c r="P503" s="8">
        <v>1514700.0</v>
      </c>
      <c r="Q503" s="8">
        <f t="shared" si="2"/>
        <v>605850</v>
      </c>
      <c r="R503" s="8">
        <v>13.0</v>
      </c>
      <c r="S503" s="8">
        <f t="shared" si="3"/>
        <v>19691100</v>
      </c>
      <c r="T503" s="9">
        <v>0.04</v>
      </c>
      <c r="U503" s="8">
        <f t="shared" si="4"/>
        <v>787644</v>
      </c>
      <c r="V503" s="8">
        <f t="shared" si="5"/>
        <v>18903456</v>
      </c>
      <c r="W503" s="10">
        <f t="shared" si="6"/>
        <v>11815050</v>
      </c>
      <c r="X503" s="10">
        <f t="shared" si="7"/>
        <v>7088406</v>
      </c>
      <c r="Y503" s="10"/>
      <c r="Z503" s="10"/>
      <c r="AA503" s="10"/>
      <c r="AB503" s="4" t="s">
        <v>1693</v>
      </c>
      <c r="AC503" s="4" t="s">
        <v>1691</v>
      </c>
      <c r="AD503" s="4">
        <v>43242.0</v>
      </c>
      <c r="AE503" s="4">
        <v>2018.0</v>
      </c>
      <c r="AF503" s="4" t="s">
        <v>1692</v>
      </c>
      <c r="AG503" s="4" t="s">
        <v>1205</v>
      </c>
      <c r="AH503" s="4" t="s">
        <v>50</v>
      </c>
      <c r="AI503" s="4" t="s">
        <v>91</v>
      </c>
      <c r="AJ503" s="4" t="s">
        <v>189</v>
      </c>
      <c r="AK503" s="4" t="s">
        <v>104</v>
      </c>
      <c r="AL503" s="4" t="s">
        <v>331</v>
      </c>
      <c r="AM503" s="4" t="s">
        <v>61</v>
      </c>
      <c r="AN503" s="4" t="s">
        <v>37</v>
      </c>
      <c r="AO503" s="4" t="s">
        <v>38</v>
      </c>
      <c r="AP503" s="4">
        <v>43253.0</v>
      </c>
      <c r="AQ503" s="4">
        <v>908850.0</v>
      </c>
      <c r="AR503" s="4">
        <v>1514700.0</v>
      </c>
      <c r="AS503" s="4">
        <v>605850.0</v>
      </c>
      <c r="AT503" s="4">
        <v>13.0</v>
      </c>
      <c r="AU503" s="4">
        <v>1.96911E7</v>
      </c>
      <c r="AV503" s="4">
        <v>0.04</v>
      </c>
      <c r="AW503" s="4">
        <v>787644.0</v>
      </c>
      <c r="AX503" s="4">
        <v>1.8903456E7</v>
      </c>
      <c r="AY503" s="4">
        <v>1.181505E7</v>
      </c>
      <c r="AZ503" s="4">
        <v>7088406.0</v>
      </c>
    </row>
    <row r="504" ht="15.75" customHeight="1">
      <c r="A504" s="3" t="s">
        <v>1694</v>
      </c>
      <c r="B504" s="5">
        <v>43243.0</v>
      </c>
      <c r="C504" s="6">
        <f t="shared" si="1"/>
        <v>2018</v>
      </c>
      <c r="D504" s="7" t="s">
        <v>1695</v>
      </c>
      <c r="E504" s="7" t="s">
        <v>30</v>
      </c>
      <c r="F504" s="7" t="s">
        <v>31</v>
      </c>
      <c r="G504" s="5" t="s">
        <v>91</v>
      </c>
      <c r="H504" s="7" t="s">
        <v>33</v>
      </c>
      <c r="I504" s="7" t="s">
        <v>104</v>
      </c>
      <c r="J504" s="7" t="s">
        <v>81</v>
      </c>
      <c r="K504" s="7" t="s">
        <v>36</v>
      </c>
      <c r="L504" s="7" t="s">
        <v>37</v>
      </c>
      <c r="M504" s="7" t="s">
        <v>38</v>
      </c>
      <c r="N504" s="5">
        <v>43245.0</v>
      </c>
      <c r="O504" s="8">
        <v>1490850.0</v>
      </c>
      <c r="P504" s="8">
        <v>2443950.0</v>
      </c>
      <c r="Q504" s="8">
        <f t="shared" si="2"/>
        <v>953100</v>
      </c>
      <c r="R504" s="8">
        <v>39.0</v>
      </c>
      <c r="S504" s="8">
        <f t="shared" si="3"/>
        <v>95314050</v>
      </c>
      <c r="T504" s="9">
        <v>0.03</v>
      </c>
      <c r="U504" s="8">
        <f t="shared" si="4"/>
        <v>2859421.5</v>
      </c>
      <c r="V504" s="8">
        <f t="shared" si="5"/>
        <v>92454628.5</v>
      </c>
      <c r="W504" s="10">
        <f t="shared" si="6"/>
        <v>58143150</v>
      </c>
      <c r="X504" s="10">
        <f t="shared" si="7"/>
        <v>34311478.5</v>
      </c>
      <c r="Y504" s="10"/>
      <c r="Z504" s="10"/>
      <c r="AA504" s="10"/>
      <c r="AB504" s="4" t="s">
        <v>1696</v>
      </c>
      <c r="AC504" s="4" t="s">
        <v>1694</v>
      </c>
      <c r="AD504" s="4">
        <v>43243.0</v>
      </c>
      <c r="AE504" s="4">
        <v>2018.0</v>
      </c>
      <c r="AF504" s="4" t="s">
        <v>1695</v>
      </c>
      <c r="AG504" s="4" t="s">
        <v>30</v>
      </c>
      <c r="AH504" s="4" t="s">
        <v>31</v>
      </c>
      <c r="AI504" s="4" t="s">
        <v>91</v>
      </c>
      <c r="AJ504" s="4" t="s">
        <v>33</v>
      </c>
      <c r="AK504" s="4" t="s">
        <v>104</v>
      </c>
      <c r="AL504" s="4" t="s">
        <v>81</v>
      </c>
      <c r="AM504" s="4" t="s">
        <v>36</v>
      </c>
      <c r="AN504" s="4" t="s">
        <v>37</v>
      </c>
      <c r="AO504" s="4" t="s">
        <v>38</v>
      </c>
      <c r="AP504" s="4">
        <v>43245.0</v>
      </c>
      <c r="AQ504" s="4">
        <v>1490850.0</v>
      </c>
      <c r="AR504" s="4">
        <v>2443950.0</v>
      </c>
      <c r="AS504" s="4">
        <v>953100.0</v>
      </c>
      <c r="AT504" s="4">
        <v>39.0</v>
      </c>
      <c r="AU504" s="4">
        <v>9.531405E7</v>
      </c>
      <c r="AV504" s="4">
        <v>0.03</v>
      </c>
      <c r="AW504" s="4">
        <v>2859421.5</v>
      </c>
      <c r="AX504" s="4">
        <v>9.24546285E7</v>
      </c>
      <c r="AY504" s="4">
        <v>5.814315E7</v>
      </c>
      <c r="AZ504" s="4">
        <v>3.43114785E7</v>
      </c>
    </row>
    <row r="505" ht="15.75" customHeight="1">
      <c r="A505" s="3" t="s">
        <v>1697</v>
      </c>
      <c r="B505" s="5">
        <v>43244.0</v>
      </c>
      <c r="C505" s="6">
        <f t="shared" si="1"/>
        <v>2018</v>
      </c>
      <c r="D505" s="7" t="s">
        <v>1562</v>
      </c>
      <c r="E505" s="7" t="s">
        <v>424</v>
      </c>
      <c r="F505" s="7" t="s">
        <v>50</v>
      </c>
      <c r="G505" s="5" t="s">
        <v>68</v>
      </c>
      <c r="H505" s="7" t="s">
        <v>80</v>
      </c>
      <c r="I505" s="7" t="s">
        <v>74</v>
      </c>
      <c r="J505" s="7" t="s">
        <v>627</v>
      </c>
      <c r="K505" s="7" t="s">
        <v>36</v>
      </c>
      <c r="L505" s="7" t="s">
        <v>45</v>
      </c>
      <c r="M505" s="7" t="s">
        <v>55</v>
      </c>
      <c r="N505" s="5">
        <v>43251.0</v>
      </c>
      <c r="O505" s="8">
        <v>49800.0</v>
      </c>
      <c r="P505" s="8">
        <v>77700.0</v>
      </c>
      <c r="Q505" s="8">
        <f t="shared" si="2"/>
        <v>27900</v>
      </c>
      <c r="R505" s="8">
        <v>11.0</v>
      </c>
      <c r="S505" s="8">
        <f t="shared" si="3"/>
        <v>854700</v>
      </c>
      <c r="T505" s="9">
        <v>0.06</v>
      </c>
      <c r="U505" s="8">
        <f t="shared" si="4"/>
        <v>51282</v>
      </c>
      <c r="V505" s="8">
        <f t="shared" si="5"/>
        <v>803418</v>
      </c>
      <c r="W505" s="10">
        <f t="shared" si="6"/>
        <v>547800</v>
      </c>
      <c r="X505" s="10">
        <f t="shared" si="7"/>
        <v>255618</v>
      </c>
      <c r="Y505" s="10"/>
      <c r="Z505" s="10"/>
      <c r="AA505" s="10"/>
      <c r="AB505" s="4" t="s">
        <v>1698</v>
      </c>
      <c r="AC505" s="4" t="s">
        <v>1697</v>
      </c>
      <c r="AD505" s="4">
        <v>43244.0</v>
      </c>
      <c r="AE505" s="4">
        <v>2018.0</v>
      </c>
      <c r="AF505" s="4" t="s">
        <v>1562</v>
      </c>
      <c r="AG505" s="4" t="s">
        <v>424</v>
      </c>
      <c r="AH505" s="4" t="s">
        <v>50</v>
      </c>
      <c r="AI505" s="4" t="s">
        <v>68</v>
      </c>
      <c r="AJ505" s="4" t="s">
        <v>80</v>
      </c>
      <c r="AK505" s="4" t="s">
        <v>74</v>
      </c>
      <c r="AL505" s="4" t="s">
        <v>627</v>
      </c>
      <c r="AM505" s="4" t="s">
        <v>36</v>
      </c>
      <c r="AN505" s="4" t="s">
        <v>45</v>
      </c>
      <c r="AO505" s="4" t="s">
        <v>55</v>
      </c>
      <c r="AP505" s="4">
        <v>43251.0</v>
      </c>
      <c r="AQ505" s="4">
        <v>49800.0</v>
      </c>
      <c r="AR505" s="4">
        <v>77700.0</v>
      </c>
      <c r="AS505" s="4">
        <v>27900.0</v>
      </c>
      <c r="AT505" s="4">
        <v>11.0</v>
      </c>
      <c r="AU505" s="4">
        <v>854700.0</v>
      </c>
      <c r="AV505" s="4">
        <v>0.06</v>
      </c>
      <c r="AW505" s="4">
        <v>51282.0</v>
      </c>
      <c r="AX505" s="4">
        <v>803418.0</v>
      </c>
      <c r="AY505" s="4">
        <v>547800.0</v>
      </c>
      <c r="AZ505" s="4">
        <v>255618.0</v>
      </c>
    </row>
    <row r="506" ht="15.75" customHeight="1">
      <c r="A506" s="3" t="s">
        <v>1699</v>
      </c>
      <c r="B506" s="5">
        <v>43247.0</v>
      </c>
      <c r="C506" s="6">
        <f t="shared" si="1"/>
        <v>2018</v>
      </c>
      <c r="D506" s="7" t="s">
        <v>1150</v>
      </c>
      <c r="E506" s="7" t="s">
        <v>312</v>
      </c>
      <c r="F506" s="7" t="s">
        <v>50</v>
      </c>
      <c r="G506" s="5" t="s">
        <v>51</v>
      </c>
      <c r="H506" s="7" t="s">
        <v>151</v>
      </c>
      <c r="I506" s="7" t="s">
        <v>74</v>
      </c>
      <c r="J506" s="7" t="s">
        <v>595</v>
      </c>
      <c r="K506" s="7" t="s">
        <v>36</v>
      </c>
      <c r="L506" s="7" t="s">
        <v>127</v>
      </c>
      <c r="M506" s="7" t="s">
        <v>38</v>
      </c>
      <c r="N506" s="5">
        <v>43247.0</v>
      </c>
      <c r="O506" s="8">
        <v>77850.0</v>
      </c>
      <c r="P506" s="8">
        <v>194700.0</v>
      </c>
      <c r="Q506" s="8">
        <f t="shared" si="2"/>
        <v>116850</v>
      </c>
      <c r="R506" s="8">
        <v>50.0</v>
      </c>
      <c r="S506" s="8">
        <f t="shared" si="3"/>
        <v>9735000</v>
      </c>
      <c r="T506" s="9">
        <v>0.08</v>
      </c>
      <c r="U506" s="8">
        <f t="shared" si="4"/>
        <v>778800</v>
      </c>
      <c r="V506" s="8">
        <f t="shared" si="5"/>
        <v>8956200</v>
      </c>
      <c r="W506" s="10">
        <f t="shared" si="6"/>
        <v>3892500</v>
      </c>
      <c r="X506" s="10">
        <f t="shared" si="7"/>
        <v>5063700</v>
      </c>
      <c r="Y506" s="10"/>
      <c r="Z506" s="10"/>
      <c r="AA506" s="10"/>
      <c r="AB506" s="4" t="s">
        <v>1700</v>
      </c>
      <c r="AC506" s="4" t="s">
        <v>1699</v>
      </c>
      <c r="AD506" s="4">
        <v>43247.0</v>
      </c>
      <c r="AE506" s="4">
        <v>2018.0</v>
      </c>
      <c r="AF506" s="4" t="s">
        <v>1150</v>
      </c>
      <c r="AG506" s="4" t="s">
        <v>312</v>
      </c>
      <c r="AH506" s="4" t="s">
        <v>50</v>
      </c>
      <c r="AI506" s="4" t="s">
        <v>51</v>
      </c>
      <c r="AJ506" s="4" t="s">
        <v>151</v>
      </c>
      <c r="AK506" s="4" t="s">
        <v>74</v>
      </c>
      <c r="AL506" s="4" t="s">
        <v>595</v>
      </c>
      <c r="AM506" s="4" t="s">
        <v>36</v>
      </c>
      <c r="AN506" s="4" t="s">
        <v>127</v>
      </c>
      <c r="AO506" s="4" t="s">
        <v>38</v>
      </c>
      <c r="AP506" s="4">
        <v>43247.0</v>
      </c>
      <c r="AQ506" s="4">
        <v>77850.0</v>
      </c>
      <c r="AR506" s="4">
        <v>194700.0</v>
      </c>
      <c r="AS506" s="4">
        <v>116850.0</v>
      </c>
      <c r="AT506" s="4">
        <v>50.0</v>
      </c>
      <c r="AU506" s="4">
        <v>9735000.0</v>
      </c>
      <c r="AV506" s="4">
        <v>0.08</v>
      </c>
      <c r="AW506" s="4">
        <v>778800.0</v>
      </c>
      <c r="AX506" s="4">
        <v>8956200.0</v>
      </c>
      <c r="AY506" s="4">
        <v>3892500.0</v>
      </c>
      <c r="AZ506" s="4">
        <v>5063700.0</v>
      </c>
    </row>
    <row r="507" ht="15.75" customHeight="1">
      <c r="A507" s="3" t="s">
        <v>1701</v>
      </c>
      <c r="B507" s="5">
        <v>43247.0</v>
      </c>
      <c r="C507" s="6">
        <f t="shared" si="1"/>
        <v>2018</v>
      </c>
      <c r="D507" s="7" t="s">
        <v>1350</v>
      </c>
      <c r="E507" s="7" t="s">
        <v>424</v>
      </c>
      <c r="F507" s="7" t="s">
        <v>50</v>
      </c>
      <c r="G507" s="5" t="s">
        <v>32</v>
      </c>
      <c r="H507" s="7" t="s">
        <v>80</v>
      </c>
      <c r="I507" s="7" t="s">
        <v>92</v>
      </c>
      <c r="J507" s="7" t="s">
        <v>308</v>
      </c>
      <c r="K507" s="7" t="s">
        <v>61</v>
      </c>
      <c r="L507" s="7" t="s">
        <v>37</v>
      </c>
      <c r="M507" s="7" t="s">
        <v>38</v>
      </c>
      <c r="N507" s="5">
        <v>43248.0</v>
      </c>
      <c r="O507" s="8">
        <v>2347500.0</v>
      </c>
      <c r="P507" s="8">
        <v>4514550.0</v>
      </c>
      <c r="Q507" s="8">
        <f t="shared" si="2"/>
        <v>2167050</v>
      </c>
      <c r="R507" s="8">
        <v>41.0</v>
      </c>
      <c r="S507" s="8">
        <f t="shared" si="3"/>
        <v>185096550</v>
      </c>
      <c r="T507" s="9">
        <v>0.1</v>
      </c>
      <c r="U507" s="8">
        <f t="shared" si="4"/>
        <v>18509655</v>
      </c>
      <c r="V507" s="8">
        <f t="shared" si="5"/>
        <v>166586895</v>
      </c>
      <c r="W507" s="10">
        <f t="shared" si="6"/>
        <v>96247500</v>
      </c>
      <c r="X507" s="10">
        <f t="shared" si="7"/>
        <v>70339395</v>
      </c>
      <c r="Y507" s="10"/>
      <c r="Z507" s="10"/>
      <c r="AA507" s="10"/>
      <c r="AB507" s="4" t="s">
        <v>1702</v>
      </c>
      <c r="AC507" s="4" t="s">
        <v>1701</v>
      </c>
      <c r="AD507" s="4">
        <v>43247.0</v>
      </c>
      <c r="AE507" s="4">
        <v>2018.0</v>
      </c>
      <c r="AF507" s="4" t="s">
        <v>1350</v>
      </c>
      <c r="AG507" s="4" t="s">
        <v>424</v>
      </c>
      <c r="AH507" s="4" t="s">
        <v>50</v>
      </c>
      <c r="AI507" s="4" t="s">
        <v>32</v>
      </c>
      <c r="AJ507" s="4" t="s">
        <v>80</v>
      </c>
      <c r="AK507" s="4" t="s">
        <v>92</v>
      </c>
      <c r="AL507" s="4" t="s">
        <v>308</v>
      </c>
      <c r="AM507" s="4" t="s">
        <v>61</v>
      </c>
      <c r="AN507" s="4" t="s">
        <v>37</v>
      </c>
      <c r="AO507" s="4" t="s">
        <v>38</v>
      </c>
      <c r="AP507" s="4">
        <v>43248.0</v>
      </c>
      <c r="AQ507" s="4">
        <v>2347500.0</v>
      </c>
      <c r="AR507" s="4">
        <v>4514550.0</v>
      </c>
      <c r="AS507" s="4">
        <v>2167050.0</v>
      </c>
      <c r="AT507" s="4">
        <v>41.0</v>
      </c>
      <c r="AU507" s="4">
        <v>1.8509655E8</v>
      </c>
      <c r="AV507" s="4">
        <v>0.1</v>
      </c>
      <c r="AW507" s="4">
        <v>1.8509655E7</v>
      </c>
      <c r="AX507" s="4">
        <v>1.66586895E8</v>
      </c>
      <c r="AY507" s="4">
        <v>9.62475E7</v>
      </c>
      <c r="AZ507" s="4">
        <v>7.0339395E7</v>
      </c>
    </row>
    <row r="508" ht="15.75" customHeight="1">
      <c r="A508" s="3" t="s">
        <v>1703</v>
      </c>
      <c r="B508" s="5">
        <v>43249.0</v>
      </c>
      <c r="C508" s="6">
        <f t="shared" si="1"/>
        <v>2018</v>
      </c>
      <c r="D508" s="7" t="s">
        <v>1704</v>
      </c>
      <c r="E508" s="7" t="s">
        <v>1128</v>
      </c>
      <c r="F508" s="7" t="s">
        <v>50</v>
      </c>
      <c r="G508" s="5" t="s">
        <v>68</v>
      </c>
      <c r="H508" s="7" t="s">
        <v>189</v>
      </c>
      <c r="I508" s="7" t="s">
        <v>104</v>
      </c>
      <c r="J508" s="7" t="s">
        <v>135</v>
      </c>
      <c r="K508" s="7" t="s">
        <v>36</v>
      </c>
      <c r="L508" s="7" t="s">
        <v>37</v>
      </c>
      <c r="M508" s="7" t="s">
        <v>55</v>
      </c>
      <c r="N508" s="5">
        <v>43250.0</v>
      </c>
      <c r="O508" s="8">
        <v>68850.0</v>
      </c>
      <c r="P508" s="8">
        <v>109200.0</v>
      </c>
      <c r="Q508" s="8">
        <f t="shared" si="2"/>
        <v>40350</v>
      </c>
      <c r="R508" s="8">
        <v>5.0</v>
      </c>
      <c r="S508" s="8">
        <f t="shared" si="3"/>
        <v>546000</v>
      </c>
      <c r="T508" s="9">
        <v>0.05</v>
      </c>
      <c r="U508" s="8">
        <f t="shared" si="4"/>
        <v>27300</v>
      </c>
      <c r="V508" s="8">
        <f t="shared" si="5"/>
        <v>518700</v>
      </c>
      <c r="W508" s="10">
        <f t="shared" si="6"/>
        <v>344250</v>
      </c>
      <c r="X508" s="10">
        <f t="shared" si="7"/>
        <v>174450</v>
      </c>
      <c r="Y508" s="10"/>
      <c r="Z508" s="10"/>
      <c r="AA508" s="10"/>
      <c r="AB508" s="4" t="s">
        <v>1705</v>
      </c>
      <c r="AC508" s="4" t="s">
        <v>1703</v>
      </c>
      <c r="AD508" s="4">
        <v>43249.0</v>
      </c>
      <c r="AE508" s="4">
        <v>2018.0</v>
      </c>
      <c r="AF508" s="4" t="s">
        <v>1704</v>
      </c>
      <c r="AG508" s="4" t="s">
        <v>1128</v>
      </c>
      <c r="AH508" s="4" t="s">
        <v>50</v>
      </c>
      <c r="AI508" s="4" t="s">
        <v>68</v>
      </c>
      <c r="AJ508" s="4" t="s">
        <v>189</v>
      </c>
      <c r="AK508" s="4" t="s">
        <v>104</v>
      </c>
      <c r="AL508" s="4" t="s">
        <v>135</v>
      </c>
      <c r="AM508" s="4" t="s">
        <v>36</v>
      </c>
      <c r="AN508" s="4" t="s">
        <v>37</v>
      </c>
      <c r="AO508" s="4" t="s">
        <v>55</v>
      </c>
      <c r="AP508" s="4">
        <v>43250.0</v>
      </c>
      <c r="AQ508" s="4">
        <v>68850.0</v>
      </c>
      <c r="AR508" s="4">
        <v>109200.0</v>
      </c>
      <c r="AS508" s="4">
        <v>40350.0</v>
      </c>
      <c r="AT508" s="4">
        <v>5.0</v>
      </c>
      <c r="AU508" s="4">
        <v>546000.0</v>
      </c>
      <c r="AV508" s="4">
        <v>0.05</v>
      </c>
      <c r="AW508" s="4">
        <v>27300.0</v>
      </c>
      <c r="AX508" s="4">
        <v>518700.0</v>
      </c>
      <c r="AY508" s="4">
        <v>344250.0</v>
      </c>
      <c r="AZ508" s="4">
        <v>174450.0</v>
      </c>
    </row>
    <row r="509" ht="15.75" customHeight="1">
      <c r="A509" s="2" t="s">
        <v>1706</v>
      </c>
      <c r="B509" s="5">
        <v>43250.0</v>
      </c>
      <c r="C509" s="6">
        <f t="shared" si="1"/>
        <v>2018</v>
      </c>
      <c r="D509" s="7" t="s">
        <v>652</v>
      </c>
      <c r="E509" s="7" t="s">
        <v>653</v>
      </c>
      <c r="F509" s="7" t="s">
        <v>289</v>
      </c>
      <c r="G509" s="5" t="s">
        <v>32</v>
      </c>
      <c r="H509" s="7" t="s">
        <v>360</v>
      </c>
      <c r="I509" s="7" t="s">
        <v>104</v>
      </c>
      <c r="J509" s="7" t="s">
        <v>1446</v>
      </c>
      <c r="K509" s="7" t="s">
        <v>36</v>
      </c>
      <c r="L509" s="7" t="s">
        <v>37</v>
      </c>
      <c r="M509" s="7" t="s">
        <v>38</v>
      </c>
      <c r="N509" s="5">
        <v>43251.0</v>
      </c>
      <c r="O509" s="8">
        <v>17850.0</v>
      </c>
      <c r="P509" s="8">
        <v>29700.0</v>
      </c>
      <c r="Q509" s="8">
        <f t="shared" si="2"/>
        <v>11850</v>
      </c>
      <c r="R509" s="8">
        <v>3.0</v>
      </c>
      <c r="S509" s="8">
        <f t="shared" si="3"/>
        <v>89100</v>
      </c>
      <c r="T509" s="9">
        <v>0.05</v>
      </c>
      <c r="U509" s="8">
        <f t="shared" si="4"/>
        <v>4455</v>
      </c>
      <c r="V509" s="8">
        <f t="shared" si="5"/>
        <v>84645</v>
      </c>
      <c r="W509" s="10">
        <f t="shared" si="6"/>
        <v>53550</v>
      </c>
      <c r="X509" s="10">
        <f t="shared" si="7"/>
        <v>31095</v>
      </c>
      <c r="Y509" s="10"/>
      <c r="Z509" s="10"/>
      <c r="AA509" s="10"/>
      <c r="AB509" s="4" t="s">
        <v>1707</v>
      </c>
      <c r="AC509" s="4" t="s">
        <v>1706</v>
      </c>
      <c r="AD509" s="4">
        <v>43250.0</v>
      </c>
      <c r="AE509" s="4">
        <v>2018.0</v>
      </c>
      <c r="AF509" s="4" t="s">
        <v>652</v>
      </c>
      <c r="AG509" s="4" t="s">
        <v>653</v>
      </c>
      <c r="AH509" s="4" t="s">
        <v>289</v>
      </c>
      <c r="AI509" s="4" t="s">
        <v>32</v>
      </c>
      <c r="AJ509" s="4" t="s">
        <v>360</v>
      </c>
      <c r="AK509" s="4" t="s">
        <v>104</v>
      </c>
      <c r="AL509" s="4" t="s">
        <v>1446</v>
      </c>
      <c r="AM509" s="4" t="s">
        <v>36</v>
      </c>
      <c r="AN509" s="4" t="s">
        <v>37</v>
      </c>
      <c r="AO509" s="4" t="s">
        <v>38</v>
      </c>
      <c r="AP509" s="4">
        <v>43251.0</v>
      </c>
      <c r="AQ509" s="4">
        <v>17850.0</v>
      </c>
      <c r="AR509" s="4">
        <v>29700.0</v>
      </c>
      <c r="AS509" s="4">
        <v>11850.0</v>
      </c>
      <c r="AT509" s="4">
        <v>3.0</v>
      </c>
      <c r="AU509" s="4">
        <v>89100.0</v>
      </c>
      <c r="AV509" s="4">
        <v>0.05</v>
      </c>
      <c r="AW509" s="4">
        <v>4455.0</v>
      </c>
      <c r="AX509" s="4">
        <v>84645.0</v>
      </c>
      <c r="AY509" s="4">
        <v>53550.0</v>
      </c>
      <c r="AZ509" s="4">
        <v>31095.0</v>
      </c>
    </row>
    <row r="510" ht="15.75" customHeight="1">
      <c r="A510" s="3" t="s">
        <v>1708</v>
      </c>
      <c r="B510" s="5">
        <v>43252.0</v>
      </c>
      <c r="C510" s="6">
        <f t="shared" si="1"/>
        <v>2018</v>
      </c>
      <c r="D510" s="7" t="s">
        <v>746</v>
      </c>
      <c r="E510" s="7" t="s">
        <v>747</v>
      </c>
      <c r="F510" s="7" t="s">
        <v>50</v>
      </c>
      <c r="G510" s="5" t="s">
        <v>51</v>
      </c>
      <c r="H510" s="7" t="s">
        <v>200</v>
      </c>
      <c r="I510" s="7" t="s">
        <v>104</v>
      </c>
      <c r="J510" s="7" t="s">
        <v>208</v>
      </c>
      <c r="K510" s="7" t="s">
        <v>36</v>
      </c>
      <c r="L510" s="7" t="s">
        <v>127</v>
      </c>
      <c r="M510" s="7" t="s">
        <v>38</v>
      </c>
      <c r="N510" s="5">
        <v>43254.0</v>
      </c>
      <c r="O510" s="8">
        <v>71850.0</v>
      </c>
      <c r="P510" s="8">
        <v>179550.0</v>
      </c>
      <c r="Q510" s="8">
        <f t="shared" si="2"/>
        <v>107700</v>
      </c>
      <c r="R510" s="8">
        <v>30.0</v>
      </c>
      <c r="S510" s="8">
        <f t="shared" si="3"/>
        <v>5386500</v>
      </c>
      <c r="T510" s="9">
        <v>0.08</v>
      </c>
      <c r="U510" s="8">
        <f t="shared" si="4"/>
        <v>430920</v>
      </c>
      <c r="V510" s="8">
        <f t="shared" si="5"/>
        <v>4955580</v>
      </c>
      <c r="W510" s="10">
        <f t="shared" si="6"/>
        <v>2155500</v>
      </c>
      <c r="X510" s="10">
        <f t="shared" si="7"/>
        <v>2800080</v>
      </c>
      <c r="Y510" s="10"/>
      <c r="Z510" s="10"/>
      <c r="AA510" s="10"/>
      <c r="AB510" s="4" t="s">
        <v>1709</v>
      </c>
      <c r="AC510" s="4" t="s">
        <v>1708</v>
      </c>
      <c r="AD510" s="4">
        <v>43252.0</v>
      </c>
      <c r="AE510" s="4">
        <v>2018.0</v>
      </c>
      <c r="AF510" s="4" t="s">
        <v>746</v>
      </c>
      <c r="AG510" s="4" t="s">
        <v>747</v>
      </c>
      <c r="AH510" s="4" t="s">
        <v>50</v>
      </c>
      <c r="AI510" s="4" t="s">
        <v>51</v>
      </c>
      <c r="AJ510" s="4" t="s">
        <v>200</v>
      </c>
      <c r="AK510" s="4" t="s">
        <v>104</v>
      </c>
      <c r="AL510" s="4" t="s">
        <v>208</v>
      </c>
      <c r="AM510" s="4" t="s">
        <v>36</v>
      </c>
      <c r="AN510" s="4" t="s">
        <v>127</v>
      </c>
      <c r="AO510" s="4" t="s">
        <v>38</v>
      </c>
      <c r="AP510" s="4">
        <v>43254.0</v>
      </c>
      <c r="AQ510" s="4">
        <v>71850.0</v>
      </c>
      <c r="AR510" s="4">
        <v>179550.0</v>
      </c>
      <c r="AS510" s="4">
        <v>107700.0</v>
      </c>
      <c r="AT510" s="4">
        <v>30.0</v>
      </c>
      <c r="AU510" s="4">
        <v>5386500.0</v>
      </c>
      <c r="AV510" s="4">
        <v>0.08</v>
      </c>
      <c r="AW510" s="4">
        <v>430920.0</v>
      </c>
      <c r="AX510" s="4">
        <v>4955580.0</v>
      </c>
      <c r="AY510" s="4">
        <v>2155500.0</v>
      </c>
      <c r="AZ510" s="4">
        <v>2800080.0</v>
      </c>
    </row>
    <row r="511" ht="15.75" customHeight="1">
      <c r="A511" s="3" t="s">
        <v>1710</v>
      </c>
      <c r="B511" s="5">
        <v>43253.0</v>
      </c>
      <c r="C511" s="6">
        <f t="shared" si="1"/>
        <v>2018</v>
      </c>
      <c r="D511" s="7" t="s">
        <v>1711</v>
      </c>
      <c r="E511" s="7" t="s">
        <v>369</v>
      </c>
      <c r="F511" s="7" t="s">
        <v>50</v>
      </c>
      <c r="G511" s="5" t="s">
        <v>51</v>
      </c>
      <c r="H511" s="7" t="s">
        <v>200</v>
      </c>
      <c r="I511" s="7" t="s">
        <v>34</v>
      </c>
      <c r="J511" s="7" t="s">
        <v>526</v>
      </c>
      <c r="K511" s="7" t="s">
        <v>36</v>
      </c>
      <c r="L511" s="7" t="s">
        <v>37</v>
      </c>
      <c r="M511" s="7" t="s">
        <v>38</v>
      </c>
      <c r="N511" s="5">
        <v>43255.0</v>
      </c>
      <c r="O511" s="8">
        <v>27600.0</v>
      </c>
      <c r="P511" s="8">
        <v>43200.0</v>
      </c>
      <c r="Q511" s="8">
        <f t="shared" si="2"/>
        <v>15600</v>
      </c>
      <c r="R511" s="8">
        <v>22.0</v>
      </c>
      <c r="S511" s="8">
        <f t="shared" si="3"/>
        <v>950400</v>
      </c>
      <c r="T511" s="9">
        <v>0.1</v>
      </c>
      <c r="U511" s="8">
        <f t="shared" si="4"/>
        <v>95040</v>
      </c>
      <c r="V511" s="8">
        <f t="shared" si="5"/>
        <v>855360</v>
      </c>
      <c r="W511" s="10">
        <f t="shared" si="6"/>
        <v>607200</v>
      </c>
      <c r="X511" s="10">
        <f t="shared" si="7"/>
        <v>248160</v>
      </c>
      <c r="Y511" s="10"/>
      <c r="Z511" s="10"/>
      <c r="AA511" s="10"/>
      <c r="AB511" s="4" t="s">
        <v>1712</v>
      </c>
      <c r="AC511" s="4" t="s">
        <v>1710</v>
      </c>
      <c r="AD511" s="4">
        <v>43253.0</v>
      </c>
      <c r="AE511" s="4">
        <v>2018.0</v>
      </c>
      <c r="AF511" s="4" t="s">
        <v>1711</v>
      </c>
      <c r="AG511" s="4" t="s">
        <v>369</v>
      </c>
      <c r="AH511" s="4" t="s">
        <v>50</v>
      </c>
      <c r="AI511" s="4" t="s">
        <v>51</v>
      </c>
      <c r="AJ511" s="4" t="s">
        <v>200</v>
      </c>
      <c r="AK511" s="4" t="s">
        <v>34</v>
      </c>
      <c r="AL511" s="4" t="s">
        <v>526</v>
      </c>
      <c r="AM511" s="4" t="s">
        <v>36</v>
      </c>
      <c r="AN511" s="4" t="s">
        <v>37</v>
      </c>
      <c r="AO511" s="4" t="s">
        <v>38</v>
      </c>
      <c r="AP511" s="4">
        <v>43255.0</v>
      </c>
      <c r="AQ511" s="4">
        <v>27600.0</v>
      </c>
      <c r="AR511" s="4">
        <v>43200.0</v>
      </c>
      <c r="AS511" s="4">
        <v>15600.0</v>
      </c>
      <c r="AT511" s="4">
        <v>22.0</v>
      </c>
      <c r="AU511" s="4">
        <v>950400.0</v>
      </c>
      <c r="AV511" s="4">
        <v>0.1</v>
      </c>
      <c r="AW511" s="4">
        <v>95040.0</v>
      </c>
      <c r="AX511" s="4">
        <v>855360.0</v>
      </c>
      <c r="AY511" s="4">
        <v>607200.0</v>
      </c>
      <c r="AZ511" s="4">
        <v>248160.0</v>
      </c>
    </row>
    <row r="512" ht="15.75" customHeight="1">
      <c r="A512" s="3" t="s">
        <v>1713</v>
      </c>
      <c r="B512" s="5">
        <v>43253.0</v>
      </c>
      <c r="C512" s="6">
        <f t="shared" si="1"/>
        <v>2018</v>
      </c>
      <c r="D512" s="7" t="s">
        <v>1001</v>
      </c>
      <c r="E512" s="7" t="s">
        <v>384</v>
      </c>
      <c r="F512" s="7" t="s">
        <v>31</v>
      </c>
      <c r="G512" s="5" t="s">
        <v>32</v>
      </c>
      <c r="H512" s="7" t="s">
        <v>43</v>
      </c>
      <c r="I512" s="7" t="s">
        <v>34</v>
      </c>
      <c r="J512" s="7" t="s">
        <v>787</v>
      </c>
      <c r="K512" s="7" t="s">
        <v>36</v>
      </c>
      <c r="L512" s="7" t="s">
        <v>37</v>
      </c>
      <c r="M512" s="7" t="s">
        <v>38</v>
      </c>
      <c r="N512" s="5">
        <v>43256.0</v>
      </c>
      <c r="O512" s="8">
        <v>50550.0</v>
      </c>
      <c r="P512" s="8">
        <v>82950.0</v>
      </c>
      <c r="Q512" s="8">
        <f t="shared" si="2"/>
        <v>32400</v>
      </c>
      <c r="R512" s="8">
        <v>12.0</v>
      </c>
      <c r="S512" s="8">
        <f t="shared" si="3"/>
        <v>995400</v>
      </c>
      <c r="T512" s="9">
        <v>0.06</v>
      </c>
      <c r="U512" s="8">
        <f t="shared" si="4"/>
        <v>59724</v>
      </c>
      <c r="V512" s="8">
        <f t="shared" si="5"/>
        <v>935676</v>
      </c>
      <c r="W512" s="10">
        <f t="shared" si="6"/>
        <v>606600</v>
      </c>
      <c r="X512" s="10">
        <f t="shared" si="7"/>
        <v>329076</v>
      </c>
      <c r="Y512" s="10"/>
      <c r="Z512" s="10"/>
      <c r="AA512" s="10"/>
      <c r="AB512" s="4" t="s">
        <v>1714</v>
      </c>
      <c r="AC512" s="4" t="s">
        <v>1713</v>
      </c>
      <c r="AD512" s="4">
        <v>43253.0</v>
      </c>
      <c r="AE512" s="4">
        <v>2018.0</v>
      </c>
      <c r="AF512" s="4" t="s">
        <v>1001</v>
      </c>
      <c r="AG512" s="4" t="s">
        <v>384</v>
      </c>
      <c r="AH512" s="4" t="s">
        <v>31</v>
      </c>
      <c r="AI512" s="4" t="s">
        <v>32</v>
      </c>
      <c r="AJ512" s="4" t="s">
        <v>43</v>
      </c>
      <c r="AK512" s="4" t="s">
        <v>34</v>
      </c>
      <c r="AL512" s="4" t="s">
        <v>787</v>
      </c>
      <c r="AM512" s="4" t="s">
        <v>36</v>
      </c>
      <c r="AN512" s="4" t="s">
        <v>37</v>
      </c>
      <c r="AO512" s="4" t="s">
        <v>38</v>
      </c>
      <c r="AP512" s="4">
        <v>43256.0</v>
      </c>
      <c r="AQ512" s="4">
        <v>50550.0</v>
      </c>
      <c r="AR512" s="4">
        <v>82950.0</v>
      </c>
      <c r="AS512" s="4">
        <v>32400.0</v>
      </c>
      <c r="AT512" s="4">
        <v>12.0</v>
      </c>
      <c r="AU512" s="4">
        <v>995400.0</v>
      </c>
      <c r="AV512" s="4">
        <v>0.06</v>
      </c>
      <c r="AW512" s="4">
        <v>59724.0</v>
      </c>
      <c r="AX512" s="4">
        <v>935676.0</v>
      </c>
      <c r="AY512" s="4">
        <v>606600.0</v>
      </c>
      <c r="AZ512" s="4">
        <v>329076.0</v>
      </c>
    </row>
    <row r="513" ht="15.75" customHeight="1">
      <c r="A513" s="3" t="s">
        <v>1715</v>
      </c>
      <c r="B513" s="5">
        <v>43253.0</v>
      </c>
      <c r="C513" s="6">
        <f t="shared" si="1"/>
        <v>2018</v>
      </c>
      <c r="D513" s="7" t="s">
        <v>1001</v>
      </c>
      <c r="E513" s="7" t="s">
        <v>384</v>
      </c>
      <c r="F513" s="7" t="s">
        <v>31</v>
      </c>
      <c r="G513" s="5" t="s">
        <v>32</v>
      </c>
      <c r="H513" s="7" t="s">
        <v>43</v>
      </c>
      <c r="I513" s="7" t="s">
        <v>34</v>
      </c>
      <c r="J513" s="7" t="s">
        <v>998</v>
      </c>
      <c r="K513" s="7" t="s">
        <v>36</v>
      </c>
      <c r="L513" s="7" t="s">
        <v>45</v>
      </c>
      <c r="M513" s="7" t="s">
        <v>38</v>
      </c>
      <c r="N513" s="5">
        <v>43254.0</v>
      </c>
      <c r="O513" s="8">
        <v>32400.000000000004</v>
      </c>
      <c r="P513" s="8">
        <v>57750.0</v>
      </c>
      <c r="Q513" s="8">
        <f t="shared" si="2"/>
        <v>25350</v>
      </c>
      <c r="R513" s="8">
        <v>12.0</v>
      </c>
      <c r="S513" s="8">
        <f t="shared" si="3"/>
        <v>693000</v>
      </c>
      <c r="T513" s="9">
        <v>0.1</v>
      </c>
      <c r="U513" s="8">
        <f t="shared" si="4"/>
        <v>69300</v>
      </c>
      <c r="V513" s="8">
        <f t="shared" si="5"/>
        <v>623700</v>
      </c>
      <c r="W513" s="10">
        <f t="shared" si="6"/>
        <v>388800</v>
      </c>
      <c r="X513" s="10">
        <f t="shared" si="7"/>
        <v>234900</v>
      </c>
      <c r="Y513" s="10"/>
      <c r="Z513" s="10"/>
      <c r="AA513" s="10"/>
      <c r="AB513" s="4" t="s">
        <v>1716</v>
      </c>
      <c r="AC513" s="4" t="s">
        <v>1715</v>
      </c>
      <c r="AD513" s="4">
        <v>43253.0</v>
      </c>
      <c r="AE513" s="4">
        <v>2018.0</v>
      </c>
      <c r="AF513" s="4" t="s">
        <v>1001</v>
      </c>
      <c r="AG513" s="4" t="s">
        <v>384</v>
      </c>
      <c r="AH513" s="4" t="s">
        <v>31</v>
      </c>
      <c r="AI513" s="4" t="s">
        <v>32</v>
      </c>
      <c r="AJ513" s="4" t="s">
        <v>43</v>
      </c>
      <c r="AK513" s="4" t="s">
        <v>34</v>
      </c>
      <c r="AL513" s="4" t="s">
        <v>998</v>
      </c>
      <c r="AM513" s="4" t="s">
        <v>36</v>
      </c>
      <c r="AN513" s="4" t="s">
        <v>45</v>
      </c>
      <c r="AO513" s="4" t="s">
        <v>38</v>
      </c>
      <c r="AP513" s="4">
        <v>43254.0</v>
      </c>
      <c r="AQ513" s="4">
        <v>32400.0</v>
      </c>
      <c r="AR513" s="4">
        <v>57750.0</v>
      </c>
      <c r="AS513" s="4">
        <v>25350.0</v>
      </c>
      <c r="AT513" s="4">
        <v>12.0</v>
      </c>
      <c r="AU513" s="4">
        <v>693000.0</v>
      </c>
      <c r="AV513" s="4">
        <v>0.1</v>
      </c>
      <c r="AW513" s="4">
        <v>69300.0</v>
      </c>
      <c r="AX513" s="4">
        <v>623700.0</v>
      </c>
      <c r="AY513" s="4">
        <v>388800.0</v>
      </c>
      <c r="AZ513" s="4">
        <v>234900.0</v>
      </c>
    </row>
    <row r="514" ht="15.75" customHeight="1">
      <c r="A514" s="2" t="s">
        <v>1717</v>
      </c>
      <c r="B514" s="5">
        <v>43258.0</v>
      </c>
      <c r="C514" s="6">
        <f t="shared" si="1"/>
        <v>2018</v>
      </c>
      <c r="D514" s="7" t="s">
        <v>1718</v>
      </c>
      <c r="E514" s="7" t="s">
        <v>1719</v>
      </c>
      <c r="F514" s="7" t="s">
        <v>50</v>
      </c>
      <c r="G514" s="5" t="s">
        <v>32</v>
      </c>
      <c r="H514" s="7" t="s">
        <v>110</v>
      </c>
      <c r="I514" s="7" t="s">
        <v>53</v>
      </c>
      <c r="J514" s="7" t="s">
        <v>105</v>
      </c>
      <c r="K514" s="7" t="s">
        <v>36</v>
      </c>
      <c r="L514" s="7" t="s">
        <v>37</v>
      </c>
      <c r="M514" s="7" t="s">
        <v>38</v>
      </c>
      <c r="N514" s="5">
        <v>43261.0</v>
      </c>
      <c r="O514" s="8">
        <v>73350.0</v>
      </c>
      <c r="P514" s="8">
        <v>114600.0</v>
      </c>
      <c r="Q514" s="8">
        <f t="shared" si="2"/>
        <v>41250</v>
      </c>
      <c r="R514" s="8">
        <v>32.0</v>
      </c>
      <c r="S514" s="8">
        <f t="shared" si="3"/>
        <v>3667200</v>
      </c>
      <c r="T514" s="9">
        <v>0.06</v>
      </c>
      <c r="U514" s="8">
        <f t="shared" si="4"/>
        <v>220032</v>
      </c>
      <c r="V514" s="8">
        <f t="shared" si="5"/>
        <v>3447168</v>
      </c>
      <c r="W514" s="10">
        <f t="shared" si="6"/>
        <v>2347200</v>
      </c>
      <c r="X514" s="10">
        <f t="shared" si="7"/>
        <v>1099968</v>
      </c>
      <c r="Y514" s="10"/>
      <c r="Z514" s="10"/>
      <c r="AA514" s="10"/>
      <c r="AB514" s="4" t="s">
        <v>1720</v>
      </c>
      <c r="AC514" s="4" t="s">
        <v>1717</v>
      </c>
      <c r="AD514" s="4">
        <v>43258.0</v>
      </c>
      <c r="AE514" s="4">
        <v>2018.0</v>
      </c>
      <c r="AF514" s="4" t="s">
        <v>1718</v>
      </c>
      <c r="AG514" s="4" t="s">
        <v>1719</v>
      </c>
      <c r="AH514" s="4" t="s">
        <v>50</v>
      </c>
      <c r="AI514" s="4" t="s">
        <v>32</v>
      </c>
      <c r="AJ514" s="4" t="s">
        <v>110</v>
      </c>
      <c r="AK514" s="4" t="s">
        <v>53</v>
      </c>
      <c r="AL514" s="4" t="s">
        <v>105</v>
      </c>
      <c r="AM514" s="4" t="s">
        <v>36</v>
      </c>
      <c r="AN514" s="4" t="s">
        <v>37</v>
      </c>
      <c r="AO514" s="4" t="s">
        <v>38</v>
      </c>
      <c r="AP514" s="4">
        <v>43261.0</v>
      </c>
      <c r="AQ514" s="4">
        <v>73350.0</v>
      </c>
      <c r="AR514" s="4">
        <v>114600.0</v>
      </c>
      <c r="AS514" s="4">
        <v>41250.0</v>
      </c>
      <c r="AT514" s="4">
        <v>32.0</v>
      </c>
      <c r="AU514" s="4">
        <v>3667200.0</v>
      </c>
      <c r="AV514" s="4">
        <v>0.06</v>
      </c>
      <c r="AW514" s="4">
        <v>220032.0</v>
      </c>
      <c r="AX514" s="4">
        <v>3447168.0</v>
      </c>
      <c r="AY514" s="4">
        <v>2347200.0</v>
      </c>
      <c r="AZ514" s="4">
        <v>1099968.0</v>
      </c>
    </row>
    <row r="515" ht="15.75" customHeight="1">
      <c r="A515" s="3" t="s">
        <v>1721</v>
      </c>
      <c r="B515" s="5">
        <v>43259.0</v>
      </c>
      <c r="C515" s="6">
        <f t="shared" si="1"/>
        <v>2018</v>
      </c>
      <c r="D515" s="7" t="s">
        <v>715</v>
      </c>
      <c r="E515" s="7" t="s">
        <v>716</v>
      </c>
      <c r="F515" s="7" t="s">
        <v>289</v>
      </c>
      <c r="G515" s="5" t="s">
        <v>51</v>
      </c>
      <c r="H515" s="7" t="s">
        <v>140</v>
      </c>
      <c r="I515" s="7" t="s">
        <v>104</v>
      </c>
      <c r="J515" s="7" t="s">
        <v>1143</v>
      </c>
      <c r="K515" s="7" t="s">
        <v>36</v>
      </c>
      <c r="L515" s="7" t="s">
        <v>45</v>
      </c>
      <c r="M515" s="7" t="s">
        <v>38</v>
      </c>
      <c r="N515" s="5">
        <v>43260.0</v>
      </c>
      <c r="O515" s="8">
        <v>13050.0</v>
      </c>
      <c r="P515" s="8">
        <v>27150.0</v>
      </c>
      <c r="Q515" s="8">
        <f t="shared" si="2"/>
        <v>14100</v>
      </c>
      <c r="R515" s="8">
        <v>41.0</v>
      </c>
      <c r="S515" s="8">
        <f t="shared" si="3"/>
        <v>1113150</v>
      </c>
      <c r="T515" s="9">
        <v>0.03</v>
      </c>
      <c r="U515" s="8">
        <f t="shared" si="4"/>
        <v>33394.5</v>
      </c>
      <c r="V515" s="8">
        <f t="shared" si="5"/>
        <v>1079755.5</v>
      </c>
      <c r="W515" s="10">
        <f t="shared" si="6"/>
        <v>535050</v>
      </c>
      <c r="X515" s="10">
        <f t="shared" si="7"/>
        <v>544705.5</v>
      </c>
      <c r="Y515" s="10"/>
      <c r="Z515" s="10"/>
      <c r="AA515" s="10"/>
      <c r="AB515" s="4" t="s">
        <v>1722</v>
      </c>
      <c r="AC515" s="4" t="s">
        <v>1721</v>
      </c>
      <c r="AD515" s="4">
        <v>43259.0</v>
      </c>
      <c r="AE515" s="4">
        <v>2018.0</v>
      </c>
      <c r="AF515" s="4" t="s">
        <v>715</v>
      </c>
      <c r="AG515" s="4" t="s">
        <v>716</v>
      </c>
      <c r="AH515" s="4" t="s">
        <v>289</v>
      </c>
      <c r="AI515" s="4" t="s">
        <v>51</v>
      </c>
      <c r="AJ515" s="4" t="s">
        <v>140</v>
      </c>
      <c r="AK515" s="4" t="s">
        <v>104</v>
      </c>
      <c r="AL515" s="4" t="s">
        <v>1143</v>
      </c>
      <c r="AM515" s="4" t="s">
        <v>36</v>
      </c>
      <c r="AN515" s="4" t="s">
        <v>45</v>
      </c>
      <c r="AO515" s="4" t="s">
        <v>38</v>
      </c>
      <c r="AP515" s="4">
        <v>43260.0</v>
      </c>
      <c r="AQ515" s="4">
        <v>13050.0</v>
      </c>
      <c r="AR515" s="4">
        <v>27150.0</v>
      </c>
      <c r="AS515" s="4">
        <v>14100.0</v>
      </c>
      <c r="AT515" s="4">
        <v>41.0</v>
      </c>
      <c r="AU515" s="4">
        <v>1113150.0</v>
      </c>
      <c r="AV515" s="4">
        <v>0.03</v>
      </c>
      <c r="AW515" s="4">
        <v>33394.5</v>
      </c>
      <c r="AX515" s="4">
        <v>1079755.5</v>
      </c>
      <c r="AY515" s="4">
        <v>535050.0</v>
      </c>
      <c r="AZ515" s="4">
        <v>544705.5</v>
      </c>
    </row>
    <row r="516" ht="15.75" customHeight="1">
      <c r="A516" s="3" t="s">
        <v>1723</v>
      </c>
      <c r="B516" s="5">
        <v>43259.0</v>
      </c>
      <c r="C516" s="6">
        <f t="shared" si="1"/>
        <v>2018</v>
      </c>
      <c r="D516" s="7" t="s">
        <v>1724</v>
      </c>
      <c r="E516" s="7" t="s">
        <v>1725</v>
      </c>
      <c r="F516" s="7" t="s">
        <v>31</v>
      </c>
      <c r="G516" s="5" t="s">
        <v>91</v>
      </c>
      <c r="H516" s="7" t="s">
        <v>43</v>
      </c>
      <c r="I516" s="7" t="s">
        <v>53</v>
      </c>
      <c r="J516" s="7" t="s">
        <v>771</v>
      </c>
      <c r="K516" s="7" t="s">
        <v>36</v>
      </c>
      <c r="L516" s="7" t="s">
        <v>37</v>
      </c>
      <c r="M516" s="7" t="s">
        <v>38</v>
      </c>
      <c r="N516" s="5">
        <v>43259.0</v>
      </c>
      <c r="O516" s="8">
        <v>34350.0</v>
      </c>
      <c r="P516" s="8">
        <v>55350.0</v>
      </c>
      <c r="Q516" s="8">
        <f t="shared" si="2"/>
        <v>21000</v>
      </c>
      <c r="R516" s="8">
        <v>12.0</v>
      </c>
      <c r="S516" s="8">
        <f t="shared" si="3"/>
        <v>664200</v>
      </c>
      <c r="T516" s="9">
        <v>0.02</v>
      </c>
      <c r="U516" s="8">
        <f t="shared" si="4"/>
        <v>13284</v>
      </c>
      <c r="V516" s="8">
        <f t="shared" si="5"/>
        <v>650916</v>
      </c>
      <c r="W516" s="10">
        <f t="shared" si="6"/>
        <v>412200</v>
      </c>
      <c r="X516" s="10">
        <f t="shared" si="7"/>
        <v>238716</v>
      </c>
      <c r="Y516" s="10"/>
      <c r="Z516" s="10"/>
      <c r="AA516" s="10"/>
      <c r="AB516" s="4" t="s">
        <v>1726</v>
      </c>
      <c r="AC516" s="4" t="s">
        <v>1723</v>
      </c>
      <c r="AD516" s="4">
        <v>43259.0</v>
      </c>
      <c r="AE516" s="4">
        <v>2018.0</v>
      </c>
      <c r="AF516" s="4" t="s">
        <v>1724</v>
      </c>
      <c r="AG516" s="4" t="s">
        <v>1725</v>
      </c>
      <c r="AH516" s="4" t="s">
        <v>31</v>
      </c>
      <c r="AI516" s="4" t="s">
        <v>91</v>
      </c>
      <c r="AJ516" s="4" t="s">
        <v>43</v>
      </c>
      <c r="AK516" s="4" t="s">
        <v>53</v>
      </c>
      <c r="AL516" s="4" t="s">
        <v>771</v>
      </c>
      <c r="AM516" s="4" t="s">
        <v>36</v>
      </c>
      <c r="AN516" s="4" t="s">
        <v>37</v>
      </c>
      <c r="AO516" s="4" t="s">
        <v>38</v>
      </c>
      <c r="AP516" s="4">
        <v>43259.0</v>
      </c>
      <c r="AQ516" s="4">
        <v>34350.0</v>
      </c>
      <c r="AR516" s="4">
        <v>55350.0</v>
      </c>
      <c r="AS516" s="4">
        <v>21000.0</v>
      </c>
      <c r="AT516" s="4">
        <v>12.0</v>
      </c>
      <c r="AU516" s="4">
        <v>664200.0</v>
      </c>
      <c r="AV516" s="4">
        <v>0.02</v>
      </c>
      <c r="AW516" s="4">
        <v>13284.0</v>
      </c>
      <c r="AX516" s="4">
        <v>650916.0</v>
      </c>
      <c r="AY516" s="4">
        <v>412200.0</v>
      </c>
      <c r="AZ516" s="4">
        <v>238716.0</v>
      </c>
    </row>
    <row r="517" ht="15.75" customHeight="1">
      <c r="A517" s="3" t="s">
        <v>1727</v>
      </c>
      <c r="B517" s="5">
        <v>43262.0</v>
      </c>
      <c r="C517" s="6">
        <f t="shared" si="1"/>
        <v>2018</v>
      </c>
      <c r="D517" s="7" t="s">
        <v>1728</v>
      </c>
      <c r="E517" s="7" t="s">
        <v>178</v>
      </c>
      <c r="F517" s="7" t="s">
        <v>50</v>
      </c>
      <c r="G517" s="5" t="s">
        <v>68</v>
      </c>
      <c r="H517" s="7" t="s">
        <v>80</v>
      </c>
      <c r="I517" s="7" t="s">
        <v>34</v>
      </c>
      <c r="J517" s="7" t="s">
        <v>1244</v>
      </c>
      <c r="K517" s="7" t="s">
        <v>36</v>
      </c>
      <c r="L517" s="7" t="s">
        <v>37</v>
      </c>
      <c r="M517" s="7" t="s">
        <v>55</v>
      </c>
      <c r="N517" s="5">
        <v>43263.0</v>
      </c>
      <c r="O517" s="8">
        <v>27600.0</v>
      </c>
      <c r="P517" s="8">
        <v>43200.0</v>
      </c>
      <c r="Q517" s="8">
        <f t="shared" si="2"/>
        <v>15600</v>
      </c>
      <c r="R517" s="8">
        <v>9.0</v>
      </c>
      <c r="S517" s="8">
        <f t="shared" si="3"/>
        <v>388800</v>
      </c>
      <c r="T517" s="9">
        <v>0.0</v>
      </c>
      <c r="U517" s="8">
        <f t="shared" si="4"/>
        <v>0</v>
      </c>
      <c r="V517" s="8">
        <f t="shared" si="5"/>
        <v>388800</v>
      </c>
      <c r="W517" s="10">
        <f t="shared" si="6"/>
        <v>248400</v>
      </c>
      <c r="X517" s="10">
        <f t="shared" si="7"/>
        <v>140400</v>
      </c>
      <c r="Y517" s="10"/>
      <c r="Z517" s="10"/>
      <c r="AA517" s="10"/>
      <c r="AB517" s="4" t="s">
        <v>1729</v>
      </c>
      <c r="AC517" s="4" t="s">
        <v>1727</v>
      </c>
      <c r="AD517" s="4">
        <v>43262.0</v>
      </c>
      <c r="AE517" s="4">
        <v>2018.0</v>
      </c>
      <c r="AF517" s="4" t="s">
        <v>1728</v>
      </c>
      <c r="AG517" s="4" t="s">
        <v>178</v>
      </c>
      <c r="AH517" s="4" t="s">
        <v>50</v>
      </c>
      <c r="AI517" s="4" t="s">
        <v>68</v>
      </c>
      <c r="AJ517" s="4" t="s">
        <v>80</v>
      </c>
      <c r="AK517" s="4" t="s">
        <v>34</v>
      </c>
      <c r="AL517" s="4" t="s">
        <v>1244</v>
      </c>
      <c r="AM517" s="4" t="s">
        <v>36</v>
      </c>
      <c r="AN517" s="4" t="s">
        <v>37</v>
      </c>
      <c r="AO517" s="4" t="s">
        <v>55</v>
      </c>
      <c r="AP517" s="4">
        <v>43263.0</v>
      </c>
      <c r="AQ517" s="4">
        <v>27600.0</v>
      </c>
      <c r="AR517" s="4">
        <v>43200.0</v>
      </c>
      <c r="AS517" s="4">
        <v>15600.0</v>
      </c>
      <c r="AT517" s="4">
        <v>9.0</v>
      </c>
      <c r="AU517" s="4">
        <v>388800.0</v>
      </c>
      <c r="AV517" s="4">
        <v>0.0</v>
      </c>
      <c r="AW517" s="4">
        <v>0.0</v>
      </c>
      <c r="AX517" s="4">
        <v>388800.0</v>
      </c>
      <c r="AY517" s="4">
        <v>248400.0</v>
      </c>
      <c r="AZ517" s="4">
        <v>140400.0</v>
      </c>
    </row>
    <row r="518" ht="15.75" customHeight="1">
      <c r="A518" s="3" t="s">
        <v>1730</v>
      </c>
      <c r="B518" s="5">
        <v>43264.0</v>
      </c>
      <c r="C518" s="6">
        <f t="shared" si="1"/>
        <v>2018</v>
      </c>
      <c r="D518" s="7" t="s">
        <v>1731</v>
      </c>
      <c r="E518" s="7" t="s">
        <v>364</v>
      </c>
      <c r="F518" s="7" t="s">
        <v>50</v>
      </c>
      <c r="G518" s="5" t="s">
        <v>68</v>
      </c>
      <c r="H518" s="7" t="s">
        <v>189</v>
      </c>
      <c r="I518" s="7" t="s">
        <v>74</v>
      </c>
      <c r="J518" s="7" t="s">
        <v>204</v>
      </c>
      <c r="K518" s="7" t="s">
        <v>61</v>
      </c>
      <c r="L518" s="7" t="s">
        <v>37</v>
      </c>
      <c r="M518" s="7" t="s">
        <v>38</v>
      </c>
      <c r="N518" s="5">
        <v>43264.0</v>
      </c>
      <c r="O518" s="8">
        <v>151050.0</v>
      </c>
      <c r="P518" s="8">
        <v>239700.0</v>
      </c>
      <c r="Q518" s="8">
        <f t="shared" si="2"/>
        <v>88650</v>
      </c>
      <c r="R518" s="8">
        <v>26.0</v>
      </c>
      <c r="S518" s="8">
        <f t="shared" si="3"/>
        <v>6232200</v>
      </c>
      <c r="T518" s="9">
        <v>0.01</v>
      </c>
      <c r="U518" s="8">
        <f t="shared" si="4"/>
        <v>62322</v>
      </c>
      <c r="V518" s="8">
        <f t="shared" si="5"/>
        <v>6169878</v>
      </c>
      <c r="W518" s="10">
        <f t="shared" si="6"/>
        <v>3927300</v>
      </c>
      <c r="X518" s="10">
        <f t="shared" si="7"/>
        <v>2242578</v>
      </c>
      <c r="Y518" s="10"/>
      <c r="Z518" s="10"/>
      <c r="AA518" s="10"/>
      <c r="AB518" s="4" t="s">
        <v>1732</v>
      </c>
      <c r="AC518" s="4" t="s">
        <v>1730</v>
      </c>
      <c r="AD518" s="4">
        <v>43264.0</v>
      </c>
      <c r="AE518" s="4">
        <v>2018.0</v>
      </c>
      <c r="AF518" s="4" t="s">
        <v>1731</v>
      </c>
      <c r="AG518" s="4" t="s">
        <v>364</v>
      </c>
      <c r="AH518" s="4" t="s">
        <v>50</v>
      </c>
      <c r="AI518" s="4" t="s">
        <v>68</v>
      </c>
      <c r="AJ518" s="4" t="s">
        <v>189</v>
      </c>
      <c r="AK518" s="4" t="s">
        <v>74</v>
      </c>
      <c r="AL518" s="4" t="s">
        <v>204</v>
      </c>
      <c r="AM518" s="4" t="s">
        <v>61</v>
      </c>
      <c r="AN518" s="4" t="s">
        <v>37</v>
      </c>
      <c r="AO518" s="4" t="s">
        <v>38</v>
      </c>
      <c r="AP518" s="4">
        <v>43264.0</v>
      </c>
      <c r="AQ518" s="4">
        <v>151050.0</v>
      </c>
      <c r="AR518" s="4">
        <v>239700.0</v>
      </c>
      <c r="AS518" s="4">
        <v>88650.0</v>
      </c>
      <c r="AT518" s="4">
        <v>26.0</v>
      </c>
      <c r="AU518" s="4">
        <v>6232200.0</v>
      </c>
      <c r="AV518" s="4">
        <v>0.01</v>
      </c>
      <c r="AW518" s="4">
        <v>62322.0</v>
      </c>
      <c r="AX518" s="4">
        <v>6169878.0</v>
      </c>
      <c r="AY518" s="4">
        <v>3927300.0</v>
      </c>
      <c r="AZ518" s="4">
        <v>2242578.0</v>
      </c>
    </row>
    <row r="519" ht="15.75" customHeight="1">
      <c r="A519" s="3" t="s">
        <v>1733</v>
      </c>
      <c r="B519" s="5">
        <v>43265.0</v>
      </c>
      <c r="C519" s="6">
        <f t="shared" si="1"/>
        <v>2018</v>
      </c>
      <c r="D519" s="7" t="s">
        <v>1734</v>
      </c>
      <c r="E519" s="7" t="s">
        <v>216</v>
      </c>
      <c r="F519" s="7" t="s">
        <v>50</v>
      </c>
      <c r="G519" s="5" t="s">
        <v>51</v>
      </c>
      <c r="H519" s="7" t="s">
        <v>151</v>
      </c>
      <c r="I519" s="7" t="s">
        <v>104</v>
      </c>
      <c r="J519" s="7" t="s">
        <v>1735</v>
      </c>
      <c r="K519" s="7" t="s">
        <v>36</v>
      </c>
      <c r="L519" s="7" t="s">
        <v>37</v>
      </c>
      <c r="M519" s="7" t="s">
        <v>55</v>
      </c>
      <c r="N519" s="5">
        <v>43266.0</v>
      </c>
      <c r="O519" s="8">
        <v>59850.0</v>
      </c>
      <c r="P519" s="8">
        <v>93450.0</v>
      </c>
      <c r="Q519" s="8">
        <f t="shared" si="2"/>
        <v>33600</v>
      </c>
      <c r="R519" s="8">
        <v>4.0</v>
      </c>
      <c r="S519" s="8">
        <f t="shared" si="3"/>
        <v>373800</v>
      </c>
      <c r="T519" s="9">
        <v>0.1</v>
      </c>
      <c r="U519" s="8">
        <f t="shared" si="4"/>
        <v>37380</v>
      </c>
      <c r="V519" s="8">
        <f t="shared" si="5"/>
        <v>336420</v>
      </c>
      <c r="W519" s="10">
        <f t="shared" si="6"/>
        <v>239400</v>
      </c>
      <c r="X519" s="10">
        <f t="shared" si="7"/>
        <v>97020</v>
      </c>
      <c r="Y519" s="10"/>
      <c r="Z519" s="10"/>
      <c r="AA519" s="10"/>
      <c r="AB519" s="4" t="s">
        <v>1736</v>
      </c>
      <c r="AC519" s="4" t="s">
        <v>1733</v>
      </c>
      <c r="AD519" s="4">
        <v>43265.0</v>
      </c>
      <c r="AE519" s="4">
        <v>2018.0</v>
      </c>
      <c r="AF519" s="4" t="s">
        <v>1734</v>
      </c>
      <c r="AG519" s="4" t="s">
        <v>216</v>
      </c>
      <c r="AH519" s="4" t="s">
        <v>50</v>
      </c>
      <c r="AI519" s="4" t="s">
        <v>51</v>
      </c>
      <c r="AJ519" s="4" t="s">
        <v>151</v>
      </c>
      <c r="AK519" s="4" t="s">
        <v>104</v>
      </c>
      <c r="AL519" s="4" t="s">
        <v>1735</v>
      </c>
      <c r="AM519" s="4" t="s">
        <v>36</v>
      </c>
      <c r="AN519" s="4" t="s">
        <v>37</v>
      </c>
      <c r="AO519" s="4" t="s">
        <v>55</v>
      </c>
      <c r="AP519" s="4">
        <v>43266.0</v>
      </c>
      <c r="AQ519" s="4">
        <v>59850.0</v>
      </c>
      <c r="AR519" s="4">
        <v>93450.0</v>
      </c>
      <c r="AS519" s="4">
        <v>33600.0</v>
      </c>
      <c r="AT519" s="4">
        <v>4.0</v>
      </c>
      <c r="AU519" s="4">
        <v>373800.0</v>
      </c>
      <c r="AV519" s="4">
        <v>0.1</v>
      </c>
      <c r="AW519" s="4">
        <v>37380.0</v>
      </c>
      <c r="AX519" s="4">
        <v>336420.0</v>
      </c>
      <c r="AY519" s="4">
        <v>239400.0</v>
      </c>
      <c r="AZ519" s="4">
        <v>97020.0</v>
      </c>
    </row>
    <row r="520" ht="15.75" customHeight="1">
      <c r="A520" s="3" t="s">
        <v>1737</v>
      </c>
      <c r="B520" s="5">
        <v>43265.0</v>
      </c>
      <c r="C520" s="6">
        <f t="shared" si="1"/>
        <v>2018</v>
      </c>
      <c r="D520" s="7" t="s">
        <v>1738</v>
      </c>
      <c r="E520" s="7" t="s">
        <v>977</v>
      </c>
      <c r="F520" s="7" t="s">
        <v>31</v>
      </c>
      <c r="G520" s="5" t="s">
        <v>68</v>
      </c>
      <c r="H520" s="7" t="s">
        <v>33</v>
      </c>
      <c r="I520" s="7" t="s">
        <v>53</v>
      </c>
      <c r="J520" s="7" t="s">
        <v>141</v>
      </c>
      <c r="K520" s="7" t="s">
        <v>36</v>
      </c>
      <c r="L520" s="7" t="s">
        <v>45</v>
      </c>
      <c r="M520" s="7" t="s">
        <v>38</v>
      </c>
      <c r="N520" s="5">
        <v>43267.0</v>
      </c>
      <c r="O520" s="8">
        <v>19500.0</v>
      </c>
      <c r="P520" s="8">
        <v>43200.0</v>
      </c>
      <c r="Q520" s="8">
        <f t="shared" si="2"/>
        <v>23700</v>
      </c>
      <c r="R520" s="8">
        <v>43.0</v>
      </c>
      <c r="S520" s="8">
        <f t="shared" si="3"/>
        <v>1857600</v>
      </c>
      <c r="T520" s="9">
        <v>0.1</v>
      </c>
      <c r="U520" s="8">
        <f t="shared" si="4"/>
        <v>185760</v>
      </c>
      <c r="V520" s="8">
        <f t="shared" si="5"/>
        <v>1671840</v>
      </c>
      <c r="W520" s="10">
        <f t="shared" si="6"/>
        <v>838500</v>
      </c>
      <c r="X520" s="10">
        <f t="shared" si="7"/>
        <v>833340</v>
      </c>
      <c r="Y520" s="10"/>
      <c r="Z520" s="10"/>
      <c r="AA520" s="10"/>
      <c r="AB520" s="4" t="s">
        <v>1739</v>
      </c>
      <c r="AC520" s="4" t="s">
        <v>1737</v>
      </c>
      <c r="AD520" s="4">
        <v>43265.0</v>
      </c>
      <c r="AE520" s="4">
        <v>2018.0</v>
      </c>
      <c r="AF520" s="4" t="s">
        <v>1738</v>
      </c>
      <c r="AG520" s="4" t="s">
        <v>977</v>
      </c>
      <c r="AH520" s="4" t="s">
        <v>31</v>
      </c>
      <c r="AI520" s="4" t="s">
        <v>68</v>
      </c>
      <c r="AJ520" s="4" t="s">
        <v>33</v>
      </c>
      <c r="AK520" s="4" t="s">
        <v>53</v>
      </c>
      <c r="AL520" s="4" t="s">
        <v>141</v>
      </c>
      <c r="AM520" s="4" t="s">
        <v>36</v>
      </c>
      <c r="AN520" s="4" t="s">
        <v>45</v>
      </c>
      <c r="AO520" s="4" t="s">
        <v>38</v>
      </c>
      <c r="AP520" s="4">
        <v>43267.0</v>
      </c>
      <c r="AQ520" s="4">
        <v>19500.0</v>
      </c>
      <c r="AR520" s="4">
        <v>43200.0</v>
      </c>
      <c r="AS520" s="4">
        <v>23700.0</v>
      </c>
      <c r="AT520" s="4">
        <v>43.0</v>
      </c>
      <c r="AU520" s="4">
        <v>1857600.0</v>
      </c>
      <c r="AV520" s="4">
        <v>0.1</v>
      </c>
      <c r="AW520" s="4">
        <v>185760.0</v>
      </c>
      <c r="AX520" s="4">
        <v>1671840.0</v>
      </c>
      <c r="AY520" s="4">
        <v>838500.0</v>
      </c>
      <c r="AZ520" s="4">
        <v>833340.0</v>
      </c>
    </row>
    <row r="521" ht="15.75" customHeight="1">
      <c r="A521" s="3" t="s">
        <v>1740</v>
      </c>
      <c r="B521" s="5">
        <v>43266.0</v>
      </c>
      <c r="C521" s="6">
        <f t="shared" si="1"/>
        <v>2018</v>
      </c>
      <c r="D521" s="7" t="s">
        <v>1741</v>
      </c>
      <c r="E521" s="7" t="s">
        <v>312</v>
      </c>
      <c r="F521" s="7" t="s">
        <v>50</v>
      </c>
      <c r="G521" s="5" t="s">
        <v>32</v>
      </c>
      <c r="H521" s="7" t="s">
        <v>151</v>
      </c>
      <c r="I521" s="7" t="s">
        <v>34</v>
      </c>
      <c r="J521" s="7" t="s">
        <v>776</v>
      </c>
      <c r="K521" s="7" t="s">
        <v>36</v>
      </c>
      <c r="L521" s="7" t="s">
        <v>45</v>
      </c>
      <c r="M521" s="7" t="s">
        <v>38</v>
      </c>
      <c r="N521" s="5">
        <v>43267.0</v>
      </c>
      <c r="O521" s="8">
        <v>78300.0</v>
      </c>
      <c r="P521" s="8">
        <v>147750.0</v>
      </c>
      <c r="Q521" s="8">
        <f t="shared" si="2"/>
        <v>69450</v>
      </c>
      <c r="R521" s="8">
        <v>41.0</v>
      </c>
      <c r="S521" s="8">
        <f t="shared" si="3"/>
        <v>6057750</v>
      </c>
      <c r="T521" s="9">
        <v>0.05</v>
      </c>
      <c r="U521" s="8">
        <f t="shared" si="4"/>
        <v>302887.5</v>
      </c>
      <c r="V521" s="8">
        <f t="shared" si="5"/>
        <v>5754862.5</v>
      </c>
      <c r="W521" s="10">
        <f t="shared" si="6"/>
        <v>3210300</v>
      </c>
      <c r="X521" s="10">
        <f t="shared" si="7"/>
        <v>2544562.5</v>
      </c>
      <c r="Y521" s="10"/>
      <c r="Z521" s="10"/>
      <c r="AA521" s="10"/>
      <c r="AB521" s="4" t="s">
        <v>1742</v>
      </c>
      <c r="AC521" s="4" t="s">
        <v>1740</v>
      </c>
      <c r="AD521" s="4">
        <v>43266.0</v>
      </c>
      <c r="AE521" s="4">
        <v>2018.0</v>
      </c>
      <c r="AF521" s="4" t="s">
        <v>1741</v>
      </c>
      <c r="AG521" s="4" t="s">
        <v>312</v>
      </c>
      <c r="AH521" s="4" t="s">
        <v>50</v>
      </c>
      <c r="AI521" s="4" t="s">
        <v>32</v>
      </c>
      <c r="AJ521" s="4" t="s">
        <v>151</v>
      </c>
      <c r="AK521" s="4" t="s">
        <v>34</v>
      </c>
      <c r="AL521" s="4" t="s">
        <v>776</v>
      </c>
      <c r="AM521" s="4" t="s">
        <v>36</v>
      </c>
      <c r="AN521" s="4" t="s">
        <v>45</v>
      </c>
      <c r="AO521" s="4" t="s">
        <v>38</v>
      </c>
      <c r="AP521" s="4">
        <v>43267.0</v>
      </c>
      <c r="AQ521" s="4">
        <v>78300.0</v>
      </c>
      <c r="AR521" s="4">
        <v>147750.0</v>
      </c>
      <c r="AS521" s="4">
        <v>69450.0</v>
      </c>
      <c r="AT521" s="4">
        <v>41.0</v>
      </c>
      <c r="AU521" s="4">
        <v>6057750.0</v>
      </c>
      <c r="AV521" s="4">
        <v>0.05</v>
      </c>
      <c r="AW521" s="4">
        <v>302887.5</v>
      </c>
      <c r="AX521" s="4">
        <v>5754862.5</v>
      </c>
      <c r="AY521" s="4">
        <v>3210300.0</v>
      </c>
      <c r="AZ521" s="4">
        <v>2544562.5</v>
      </c>
    </row>
    <row r="522" ht="15.75" customHeight="1">
      <c r="A522" s="3" t="s">
        <v>1743</v>
      </c>
      <c r="B522" s="5">
        <v>43267.0</v>
      </c>
      <c r="C522" s="6">
        <f t="shared" si="1"/>
        <v>2018</v>
      </c>
      <c r="D522" s="7" t="s">
        <v>1744</v>
      </c>
      <c r="E522" s="7" t="s">
        <v>1265</v>
      </c>
      <c r="F522" s="7" t="s">
        <v>50</v>
      </c>
      <c r="G522" s="5" t="s">
        <v>51</v>
      </c>
      <c r="H522" s="7" t="s">
        <v>189</v>
      </c>
      <c r="I522" s="7" t="s">
        <v>34</v>
      </c>
      <c r="J522" s="7" t="s">
        <v>998</v>
      </c>
      <c r="K522" s="7" t="s">
        <v>36</v>
      </c>
      <c r="L522" s="7" t="s">
        <v>45</v>
      </c>
      <c r="M522" s="7" t="s">
        <v>38</v>
      </c>
      <c r="N522" s="5">
        <v>43269.0</v>
      </c>
      <c r="O522" s="8">
        <v>32400.000000000004</v>
      </c>
      <c r="P522" s="8">
        <v>57750.0</v>
      </c>
      <c r="Q522" s="8">
        <f t="shared" si="2"/>
        <v>25350</v>
      </c>
      <c r="R522" s="8">
        <v>4.0</v>
      </c>
      <c r="S522" s="8">
        <f t="shared" si="3"/>
        <v>231000</v>
      </c>
      <c r="T522" s="9">
        <v>0.09</v>
      </c>
      <c r="U522" s="8">
        <f t="shared" si="4"/>
        <v>20790</v>
      </c>
      <c r="V522" s="8">
        <f t="shared" si="5"/>
        <v>210210</v>
      </c>
      <c r="W522" s="10">
        <f t="shared" si="6"/>
        <v>129600</v>
      </c>
      <c r="X522" s="10">
        <f t="shared" si="7"/>
        <v>80610</v>
      </c>
      <c r="Y522" s="10"/>
      <c r="Z522" s="10"/>
      <c r="AA522" s="10"/>
      <c r="AB522" s="4" t="s">
        <v>1745</v>
      </c>
      <c r="AC522" s="4" t="s">
        <v>1743</v>
      </c>
      <c r="AD522" s="4">
        <v>43267.0</v>
      </c>
      <c r="AE522" s="4">
        <v>2018.0</v>
      </c>
      <c r="AF522" s="4" t="s">
        <v>1744</v>
      </c>
      <c r="AG522" s="4" t="s">
        <v>1265</v>
      </c>
      <c r="AH522" s="4" t="s">
        <v>50</v>
      </c>
      <c r="AI522" s="4" t="s">
        <v>51</v>
      </c>
      <c r="AJ522" s="4" t="s">
        <v>189</v>
      </c>
      <c r="AK522" s="4" t="s">
        <v>34</v>
      </c>
      <c r="AL522" s="4" t="s">
        <v>998</v>
      </c>
      <c r="AM522" s="4" t="s">
        <v>36</v>
      </c>
      <c r="AN522" s="4" t="s">
        <v>45</v>
      </c>
      <c r="AO522" s="4" t="s">
        <v>38</v>
      </c>
      <c r="AP522" s="4">
        <v>43269.0</v>
      </c>
      <c r="AQ522" s="4">
        <v>32400.0</v>
      </c>
      <c r="AR522" s="4">
        <v>57750.0</v>
      </c>
      <c r="AS522" s="4">
        <v>25350.0</v>
      </c>
      <c r="AT522" s="4">
        <v>4.0</v>
      </c>
      <c r="AU522" s="4">
        <v>231000.0</v>
      </c>
      <c r="AV522" s="4">
        <v>0.09</v>
      </c>
      <c r="AW522" s="4">
        <v>20790.0</v>
      </c>
      <c r="AX522" s="4">
        <v>210210.0</v>
      </c>
      <c r="AY522" s="4">
        <v>129600.0</v>
      </c>
      <c r="AZ522" s="4">
        <v>80610.0</v>
      </c>
    </row>
    <row r="523" ht="15.75" customHeight="1">
      <c r="A523" s="3" t="s">
        <v>1746</v>
      </c>
      <c r="B523" s="5">
        <v>43269.0</v>
      </c>
      <c r="C523" s="6">
        <f t="shared" si="1"/>
        <v>2018</v>
      </c>
      <c r="D523" s="7" t="s">
        <v>836</v>
      </c>
      <c r="E523" s="7" t="s">
        <v>393</v>
      </c>
      <c r="F523" s="7" t="s">
        <v>31</v>
      </c>
      <c r="G523" s="5" t="s">
        <v>91</v>
      </c>
      <c r="H523" s="7" t="s">
        <v>43</v>
      </c>
      <c r="I523" s="7" t="s">
        <v>34</v>
      </c>
      <c r="J523" s="7" t="s">
        <v>99</v>
      </c>
      <c r="K523" s="7" t="s">
        <v>36</v>
      </c>
      <c r="L523" s="7" t="s">
        <v>37</v>
      </c>
      <c r="M523" s="7" t="s">
        <v>38</v>
      </c>
      <c r="N523" s="5">
        <v>43270.0</v>
      </c>
      <c r="O523" s="8">
        <v>79950.0</v>
      </c>
      <c r="P523" s="8">
        <v>129000.0</v>
      </c>
      <c r="Q523" s="8">
        <f t="shared" si="2"/>
        <v>49050</v>
      </c>
      <c r="R523" s="8">
        <v>2.0</v>
      </c>
      <c r="S523" s="8">
        <f t="shared" si="3"/>
        <v>258000</v>
      </c>
      <c r="T523" s="9">
        <v>0.05</v>
      </c>
      <c r="U523" s="8">
        <f t="shared" si="4"/>
        <v>12900</v>
      </c>
      <c r="V523" s="8">
        <f t="shared" si="5"/>
        <v>245100</v>
      </c>
      <c r="W523" s="10">
        <f t="shared" si="6"/>
        <v>159900</v>
      </c>
      <c r="X523" s="10">
        <f t="shared" si="7"/>
        <v>85200</v>
      </c>
      <c r="Y523" s="10"/>
      <c r="Z523" s="10"/>
      <c r="AA523" s="10"/>
      <c r="AB523" s="4" t="s">
        <v>1747</v>
      </c>
      <c r="AC523" s="4" t="s">
        <v>1746</v>
      </c>
      <c r="AD523" s="4">
        <v>43269.0</v>
      </c>
      <c r="AE523" s="4">
        <v>2018.0</v>
      </c>
      <c r="AF523" s="4" t="s">
        <v>836</v>
      </c>
      <c r="AG523" s="4" t="s">
        <v>393</v>
      </c>
      <c r="AH523" s="4" t="s">
        <v>31</v>
      </c>
      <c r="AI523" s="4" t="s">
        <v>91</v>
      </c>
      <c r="AJ523" s="4" t="s">
        <v>43</v>
      </c>
      <c r="AK523" s="4" t="s">
        <v>34</v>
      </c>
      <c r="AL523" s="4" t="s">
        <v>99</v>
      </c>
      <c r="AM523" s="4" t="s">
        <v>36</v>
      </c>
      <c r="AN523" s="4" t="s">
        <v>37</v>
      </c>
      <c r="AO523" s="4" t="s">
        <v>38</v>
      </c>
      <c r="AP523" s="4">
        <v>43270.0</v>
      </c>
      <c r="AQ523" s="4">
        <v>79950.0</v>
      </c>
      <c r="AR523" s="4">
        <v>129000.0</v>
      </c>
      <c r="AS523" s="4">
        <v>49050.0</v>
      </c>
      <c r="AT523" s="4">
        <v>2.0</v>
      </c>
      <c r="AU523" s="4">
        <v>258000.0</v>
      </c>
      <c r="AV523" s="4">
        <v>0.05</v>
      </c>
      <c r="AW523" s="4">
        <v>12900.0</v>
      </c>
      <c r="AX523" s="4">
        <v>245100.0</v>
      </c>
      <c r="AY523" s="4">
        <v>159900.0</v>
      </c>
      <c r="AZ523" s="4">
        <v>85200.0</v>
      </c>
    </row>
    <row r="524" ht="15.75" customHeight="1">
      <c r="A524" s="3" t="s">
        <v>1748</v>
      </c>
      <c r="B524" s="5">
        <v>43274.0</v>
      </c>
      <c r="C524" s="6">
        <f t="shared" si="1"/>
        <v>2018</v>
      </c>
      <c r="D524" s="7" t="s">
        <v>1749</v>
      </c>
      <c r="E524" s="7" t="s">
        <v>1750</v>
      </c>
      <c r="F524" s="7" t="s">
        <v>50</v>
      </c>
      <c r="G524" s="5" t="s">
        <v>91</v>
      </c>
      <c r="H524" s="7" t="s">
        <v>140</v>
      </c>
      <c r="I524" s="7" t="s">
        <v>34</v>
      </c>
      <c r="J524" s="7" t="s">
        <v>272</v>
      </c>
      <c r="K524" s="7" t="s">
        <v>36</v>
      </c>
      <c r="L524" s="7" t="s">
        <v>45</v>
      </c>
      <c r="M524" s="7" t="s">
        <v>38</v>
      </c>
      <c r="N524" s="5">
        <v>43275.0</v>
      </c>
      <c r="O524" s="8">
        <v>56250.0</v>
      </c>
      <c r="P524" s="8">
        <v>106200.0</v>
      </c>
      <c r="Q524" s="8">
        <f t="shared" si="2"/>
        <v>49950</v>
      </c>
      <c r="R524" s="8">
        <v>12.0</v>
      </c>
      <c r="S524" s="8">
        <f t="shared" si="3"/>
        <v>1274400</v>
      </c>
      <c r="T524" s="9">
        <v>0.1</v>
      </c>
      <c r="U524" s="8">
        <f t="shared" si="4"/>
        <v>127440</v>
      </c>
      <c r="V524" s="8">
        <f t="shared" si="5"/>
        <v>1146960</v>
      </c>
      <c r="W524" s="10">
        <f t="shared" si="6"/>
        <v>675000</v>
      </c>
      <c r="X524" s="10">
        <f t="shared" si="7"/>
        <v>471960</v>
      </c>
      <c r="Y524" s="10"/>
      <c r="Z524" s="10"/>
      <c r="AA524" s="10"/>
      <c r="AB524" s="4" t="s">
        <v>1751</v>
      </c>
      <c r="AC524" s="4" t="s">
        <v>1748</v>
      </c>
      <c r="AD524" s="4">
        <v>43274.0</v>
      </c>
      <c r="AE524" s="4">
        <v>2018.0</v>
      </c>
      <c r="AF524" s="4" t="s">
        <v>1749</v>
      </c>
      <c r="AG524" s="4" t="s">
        <v>1750</v>
      </c>
      <c r="AH524" s="4" t="s">
        <v>50</v>
      </c>
      <c r="AI524" s="4" t="s">
        <v>91</v>
      </c>
      <c r="AJ524" s="4" t="s">
        <v>140</v>
      </c>
      <c r="AK524" s="4" t="s">
        <v>34</v>
      </c>
      <c r="AL524" s="4" t="s">
        <v>272</v>
      </c>
      <c r="AM524" s="4" t="s">
        <v>36</v>
      </c>
      <c r="AN524" s="4" t="s">
        <v>45</v>
      </c>
      <c r="AO524" s="4" t="s">
        <v>38</v>
      </c>
      <c r="AP524" s="4">
        <v>43275.0</v>
      </c>
      <c r="AQ524" s="4">
        <v>56250.0</v>
      </c>
      <c r="AR524" s="4">
        <v>106200.0</v>
      </c>
      <c r="AS524" s="4">
        <v>49950.0</v>
      </c>
      <c r="AT524" s="4">
        <v>12.0</v>
      </c>
      <c r="AU524" s="4">
        <v>1274400.0</v>
      </c>
      <c r="AV524" s="4">
        <v>0.1</v>
      </c>
      <c r="AW524" s="4">
        <v>127440.0</v>
      </c>
      <c r="AX524" s="4">
        <v>1146960.0</v>
      </c>
      <c r="AY524" s="4">
        <v>675000.0</v>
      </c>
      <c r="AZ524" s="4">
        <v>471960.0</v>
      </c>
    </row>
    <row r="525" ht="15.75" customHeight="1">
      <c r="A525" s="3" t="s">
        <v>1752</v>
      </c>
      <c r="B525" s="5">
        <v>43275.0</v>
      </c>
      <c r="C525" s="6">
        <f t="shared" si="1"/>
        <v>2018</v>
      </c>
      <c r="D525" s="7" t="s">
        <v>1753</v>
      </c>
      <c r="E525" s="7" t="s">
        <v>962</v>
      </c>
      <c r="F525" s="7" t="s">
        <v>50</v>
      </c>
      <c r="G525" s="5" t="s">
        <v>32</v>
      </c>
      <c r="H525" s="7" t="s">
        <v>80</v>
      </c>
      <c r="I525" s="7" t="s">
        <v>53</v>
      </c>
      <c r="J525" s="7" t="s">
        <v>516</v>
      </c>
      <c r="K525" s="7" t="s">
        <v>36</v>
      </c>
      <c r="L525" s="7" t="s">
        <v>37</v>
      </c>
      <c r="M525" s="7" t="s">
        <v>38</v>
      </c>
      <c r="N525" s="5">
        <v>43276.0</v>
      </c>
      <c r="O525" s="8">
        <v>29100.0</v>
      </c>
      <c r="P525" s="8">
        <v>46200.0</v>
      </c>
      <c r="Q525" s="8">
        <f t="shared" si="2"/>
        <v>17100</v>
      </c>
      <c r="R525" s="8">
        <v>4.0</v>
      </c>
      <c r="S525" s="8">
        <f t="shared" si="3"/>
        <v>184800</v>
      </c>
      <c r="T525" s="9">
        <v>0.03</v>
      </c>
      <c r="U525" s="8">
        <f t="shared" si="4"/>
        <v>5544</v>
      </c>
      <c r="V525" s="8">
        <f t="shared" si="5"/>
        <v>179256</v>
      </c>
      <c r="W525" s="10">
        <f t="shared" si="6"/>
        <v>116400</v>
      </c>
      <c r="X525" s="10">
        <f t="shared" si="7"/>
        <v>62856</v>
      </c>
      <c r="Y525" s="10"/>
      <c r="Z525" s="10"/>
      <c r="AA525" s="10"/>
      <c r="AB525" s="4" t="s">
        <v>1754</v>
      </c>
      <c r="AC525" s="4" t="s">
        <v>1752</v>
      </c>
      <c r="AD525" s="4">
        <v>43275.0</v>
      </c>
      <c r="AE525" s="4">
        <v>2018.0</v>
      </c>
      <c r="AF525" s="4" t="s">
        <v>1753</v>
      </c>
      <c r="AG525" s="4" t="s">
        <v>962</v>
      </c>
      <c r="AH525" s="4" t="s">
        <v>50</v>
      </c>
      <c r="AI525" s="4" t="s">
        <v>32</v>
      </c>
      <c r="AJ525" s="4" t="s">
        <v>80</v>
      </c>
      <c r="AK525" s="4" t="s">
        <v>53</v>
      </c>
      <c r="AL525" s="4" t="s">
        <v>516</v>
      </c>
      <c r="AM525" s="4" t="s">
        <v>36</v>
      </c>
      <c r="AN525" s="4" t="s">
        <v>37</v>
      </c>
      <c r="AO525" s="4" t="s">
        <v>38</v>
      </c>
      <c r="AP525" s="4">
        <v>43276.0</v>
      </c>
      <c r="AQ525" s="4">
        <v>29100.0</v>
      </c>
      <c r="AR525" s="4">
        <v>46200.0</v>
      </c>
      <c r="AS525" s="4">
        <v>17100.0</v>
      </c>
      <c r="AT525" s="4">
        <v>4.0</v>
      </c>
      <c r="AU525" s="4">
        <v>184800.0</v>
      </c>
      <c r="AV525" s="4">
        <v>0.03</v>
      </c>
      <c r="AW525" s="4">
        <v>5544.0</v>
      </c>
      <c r="AX525" s="4">
        <v>179256.0</v>
      </c>
      <c r="AY525" s="4">
        <v>116400.0</v>
      </c>
      <c r="AZ525" s="4">
        <v>62856.0</v>
      </c>
    </row>
    <row r="526" ht="15.75" customHeight="1">
      <c r="A526" s="3" t="s">
        <v>1755</v>
      </c>
      <c r="B526" s="5">
        <v>43278.0</v>
      </c>
      <c r="C526" s="6">
        <f t="shared" si="1"/>
        <v>2018</v>
      </c>
      <c r="D526" s="7" t="s">
        <v>1692</v>
      </c>
      <c r="E526" s="7" t="s">
        <v>1205</v>
      </c>
      <c r="F526" s="7" t="s">
        <v>50</v>
      </c>
      <c r="G526" s="5" t="s">
        <v>68</v>
      </c>
      <c r="H526" s="7" t="s">
        <v>189</v>
      </c>
      <c r="I526" s="7" t="s">
        <v>34</v>
      </c>
      <c r="J526" s="7" t="s">
        <v>574</v>
      </c>
      <c r="K526" s="7" t="s">
        <v>36</v>
      </c>
      <c r="L526" s="7" t="s">
        <v>37</v>
      </c>
      <c r="M526" s="7" t="s">
        <v>38</v>
      </c>
      <c r="N526" s="5">
        <v>43280.0</v>
      </c>
      <c r="O526" s="8">
        <v>32700.000000000004</v>
      </c>
      <c r="P526" s="8">
        <v>52800.0</v>
      </c>
      <c r="Q526" s="8">
        <f t="shared" si="2"/>
        <v>20100</v>
      </c>
      <c r="R526" s="8">
        <v>49.0</v>
      </c>
      <c r="S526" s="8">
        <f t="shared" si="3"/>
        <v>2587200</v>
      </c>
      <c r="T526" s="9">
        <v>0.08</v>
      </c>
      <c r="U526" s="8">
        <f t="shared" si="4"/>
        <v>206976</v>
      </c>
      <c r="V526" s="8">
        <f t="shared" si="5"/>
        <v>2380224</v>
      </c>
      <c r="W526" s="10">
        <f t="shared" si="6"/>
        <v>1602300</v>
      </c>
      <c r="X526" s="10">
        <f t="shared" si="7"/>
        <v>777924</v>
      </c>
      <c r="Y526" s="10"/>
      <c r="Z526" s="10"/>
      <c r="AA526" s="10"/>
      <c r="AB526" s="4" t="s">
        <v>1756</v>
      </c>
      <c r="AC526" s="4" t="s">
        <v>1755</v>
      </c>
      <c r="AD526" s="4">
        <v>43278.0</v>
      </c>
      <c r="AE526" s="4">
        <v>2018.0</v>
      </c>
      <c r="AF526" s="4" t="s">
        <v>1692</v>
      </c>
      <c r="AG526" s="4" t="s">
        <v>1205</v>
      </c>
      <c r="AH526" s="4" t="s">
        <v>50</v>
      </c>
      <c r="AI526" s="4" t="s">
        <v>68</v>
      </c>
      <c r="AJ526" s="4" t="s">
        <v>189</v>
      </c>
      <c r="AK526" s="4" t="s">
        <v>34</v>
      </c>
      <c r="AL526" s="4" t="s">
        <v>574</v>
      </c>
      <c r="AM526" s="4" t="s">
        <v>36</v>
      </c>
      <c r="AN526" s="4" t="s">
        <v>37</v>
      </c>
      <c r="AO526" s="4" t="s">
        <v>38</v>
      </c>
      <c r="AP526" s="4">
        <v>43280.0</v>
      </c>
      <c r="AQ526" s="4">
        <v>32700.0</v>
      </c>
      <c r="AR526" s="4">
        <v>52800.0</v>
      </c>
      <c r="AS526" s="4">
        <v>20100.0</v>
      </c>
      <c r="AT526" s="4">
        <v>49.0</v>
      </c>
      <c r="AU526" s="4">
        <v>2587200.0</v>
      </c>
      <c r="AV526" s="4">
        <v>0.08</v>
      </c>
      <c r="AW526" s="4">
        <v>206976.0</v>
      </c>
      <c r="AX526" s="4">
        <v>2380224.0</v>
      </c>
      <c r="AY526" s="4">
        <v>1602300.0</v>
      </c>
      <c r="AZ526" s="4">
        <v>777924.0</v>
      </c>
    </row>
    <row r="527" ht="15.75" customHeight="1">
      <c r="A527" s="3" t="s">
        <v>1757</v>
      </c>
      <c r="B527" s="5">
        <v>43279.0</v>
      </c>
      <c r="C527" s="6">
        <f t="shared" si="1"/>
        <v>2018</v>
      </c>
      <c r="D527" s="7" t="s">
        <v>1758</v>
      </c>
      <c r="E527" s="7" t="s">
        <v>134</v>
      </c>
      <c r="F527" s="7" t="s">
        <v>50</v>
      </c>
      <c r="G527" s="5" t="s">
        <v>32</v>
      </c>
      <c r="H527" s="7" t="s">
        <v>98</v>
      </c>
      <c r="I527" s="7" t="s">
        <v>92</v>
      </c>
      <c r="J527" s="7" t="s">
        <v>1105</v>
      </c>
      <c r="K527" s="7" t="s">
        <v>61</v>
      </c>
      <c r="L527" s="7" t="s">
        <v>62</v>
      </c>
      <c r="M527" s="7" t="s">
        <v>63</v>
      </c>
      <c r="N527" s="5">
        <v>43280.0</v>
      </c>
      <c r="O527" s="8">
        <v>4734150.0</v>
      </c>
      <c r="P527" s="8">
        <v>7514550.0</v>
      </c>
      <c r="Q527" s="8">
        <f t="shared" si="2"/>
        <v>2780400</v>
      </c>
      <c r="R527" s="8">
        <v>3.0</v>
      </c>
      <c r="S527" s="8">
        <f t="shared" si="3"/>
        <v>22543650</v>
      </c>
      <c r="T527" s="9">
        <v>0.06</v>
      </c>
      <c r="U527" s="8">
        <f t="shared" si="4"/>
        <v>1352619</v>
      </c>
      <c r="V527" s="8">
        <f t="shared" si="5"/>
        <v>21191031</v>
      </c>
      <c r="W527" s="10">
        <f t="shared" si="6"/>
        <v>14202450</v>
      </c>
      <c r="X527" s="10">
        <f t="shared" si="7"/>
        <v>6988581</v>
      </c>
      <c r="Y527" s="10"/>
      <c r="Z527" s="10"/>
      <c r="AA527" s="10"/>
      <c r="AB527" s="4" t="s">
        <v>1759</v>
      </c>
      <c r="AC527" s="4" t="s">
        <v>1757</v>
      </c>
      <c r="AD527" s="4">
        <v>43279.0</v>
      </c>
      <c r="AE527" s="4">
        <v>2018.0</v>
      </c>
      <c r="AF527" s="4" t="s">
        <v>1758</v>
      </c>
      <c r="AG527" s="4" t="s">
        <v>134</v>
      </c>
      <c r="AH527" s="4" t="s">
        <v>50</v>
      </c>
      <c r="AI527" s="4" t="s">
        <v>32</v>
      </c>
      <c r="AJ527" s="4" t="s">
        <v>98</v>
      </c>
      <c r="AK527" s="4" t="s">
        <v>92</v>
      </c>
      <c r="AL527" s="4" t="s">
        <v>1105</v>
      </c>
      <c r="AM527" s="4" t="s">
        <v>61</v>
      </c>
      <c r="AN527" s="4" t="s">
        <v>62</v>
      </c>
      <c r="AO527" s="4" t="s">
        <v>63</v>
      </c>
      <c r="AP527" s="4">
        <v>43280.0</v>
      </c>
      <c r="AQ527" s="4">
        <v>4734150.0</v>
      </c>
      <c r="AR527" s="4">
        <v>7514550.0</v>
      </c>
      <c r="AS527" s="4">
        <v>2780400.0</v>
      </c>
      <c r="AT527" s="4">
        <v>3.0</v>
      </c>
      <c r="AU527" s="4">
        <v>2.254365E7</v>
      </c>
      <c r="AV527" s="4">
        <v>0.06</v>
      </c>
      <c r="AW527" s="4">
        <v>1352619.0</v>
      </c>
      <c r="AX527" s="4">
        <v>2.1191031E7</v>
      </c>
      <c r="AY527" s="4">
        <v>1.420245E7</v>
      </c>
      <c r="AZ527" s="4">
        <v>6988581.0</v>
      </c>
    </row>
    <row r="528" ht="15.75" customHeight="1">
      <c r="A528" s="3" t="s">
        <v>1760</v>
      </c>
      <c r="B528" s="5">
        <v>43279.0</v>
      </c>
      <c r="C528" s="6">
        <f t="shared" si="1"/>
        <v>2018</v>
      </c>
      <c r="D528" s="7" t="s">
        <v>1761</v>
      </c>
      <c r="E528" s="7" t="s">
        <v>393</v>
      </c>
      <c r="F528" s="7" t="s">
        <v>31</v>
      </c>
      <c r="G528" s="5" t="s">
        <v>91</v>
      </c>
      <c r="H528" s="7" t="s">
        <v>43</v>
      </c>
      <c r="I528" s="7" t="s">
        <v>34</v>
      </c>
      <c r="J528" s="7" t="s">
        <v>677</v>
      </c>
      <c r="K528" s="7" t="s">
        <v>36</v>
      </c>
      <c r="L528" s="7" t="s">
        <v>37</v>
      </c>
      <c r="M528" s="7" t="s">
        <v>38</v>
      </c>
      <c r="N528" s="5">
        <v>43279.0</v>
      </c>
      <c r="O528" s="8">
        <v>224250.0</v>
      </c>
      <c r="P528" s="8">
        <v>521399.99999999994</v>
      </c>
      <c r="Q528" s="8">
        <f t="shared" si="2"/>
        <v>297150</v>
      </c>
      <c r="R528" s="8">
        <v>43.0</v>
      </c>
      <c r="S528" s="8">
        <f t="shared" si="3"/>
        <v>22420200</v>
      </c>
      <c r="T528" s="9">
        <v>0.0</v>
      </c>
      <c r="U528" s="8">
        <f t="shared" si="4"/>
        <v>0</v>
      </c>
      <c r="V528" s="8">
        <f t="shared" si="5"/>
        <v>22420200</v>
      </c>
      <c r="W528" s="10">
        <f t="shared" si="6"/>
        <v>9642750</v>
      </c>
      <c r="X528" s="10">
        <f t="shared" si="7"/>
        <v>12777450</v>
      </c>
      <c r="Y528" s="10"/>
      <c r="Z528" s="10"/>
      <c r="AA528" s="10"/>
      <c r="AB528" s="4" t="s">
        <v>1762</v>
      </c>
      <c r="AC528" s="4" t="s">
        <v>1760</v>
      </c>
      <c r="AD528" s="4">
        <v>43279.0</v>
      </c>
      <c r="AE528" s="4">
        <v>2018.0</v>
      </c>
      <c r="AF528" s="4" t="s">
        <v>1761</v>
      </c>
      <c r="AG528" s="4" t="s">
        <v>393</v>
      </c>
      <c r="AH528" s="4" t="s">
        <v>31</v>
      </c>
      <c r="AI528" s="4" t="s">
        <v>91</v>
      </c>
      <c r="AJ528" s="4" t="s">
        <v>43</v>
      </c>
      <c r="AK528" s="4" t="s">
        <v>34</v>
      </c>
      <c r="AL528" s="4" t="s">
        <v>677</v>
      </c>
      <c r="AM528" s="4" t="s">
        <v>36</v>
      </c>
      <c r="AN528" s="4" t="s">
        <v>37</v>
      </c>
      <c r="AO528" s="4" t="s">
        <v>38</v>
      </c>
      <c r="AP528" s="4">
        <v>43279.0</v>
      </c>
      <c r="AQ528" s="4">
        <v>224250.0</v>
      </c>
      <c r="AR528" s="4">
        <v>521400.0</v>
      </c>
      <c r="AS528" s="4">
        <v>297150.0</v>
      </c>
      <c r="AT528" s="4">
        <v>43.0</v>
      </c>
      <c r="AU528" s="4">
        <v>2.24202E7</v>
      </c>
      <c r="AV528" s="4">
        <v>0.0</v>
      </c>
      <c r="AW528" s="4">
        <v>0.0</v>
      </c>
      <c r="AX528" s="4">
        <v>2.24202E7</v>
      </c>
      <c r="AY528" s="4">
        <v>9642750.0</v>
      </c>
      <c r="AZ528" s="4">
        <v>1.277745E7</v>
      </c>
    </row>
    <row r="529" ht="15.75" customHeight="1">
      <c r="A529" s="3" t="s">
        <v>1763</v>
      </c>
      <c r="B529" s="5">
        <v>43280.0</v>
      </c>
      <c r="C529" s="6">
        <f t="shared" si="1"/>
        <v>2018</v>
      </c>
      <c r="D529" s="7" t="s">
        <v>1764</v>
      </c>
      <c r="E529" s="7" t="s">
        <v>393</v>
      </c>
      <c r="F529" s="7" t="s">
        <v>31</v>
      </c>
      <c r="G529" s="5" t="s">
        <v>68</v>
      </c>
      <c r="H529" s="7" t="s">
        <v>43</v>
      </c>
      <c r="I529" s="7" t="s">
        <v>104</v>
      </c>
      <c r="J529" s="7" t="s">
        <v>322</v>
      </c>
      <c r="K529" s="7" t="s">
        <v>36</v>
      </c>
      <c r="L529" s="7" t="s">
        <v>37</v>
      </c>
      <c r="M529" s="7" t="s">
        <v>38</v>
      </c>
      <c r="N529" s="5">
        <v>43280.0</v>
      </c>
      <c r="O529" s="8">
        <v>185850.0</v>
      </c>
      <c r="P529" s="8">
        <v>299700.0</v>
      </c>
      <c r="Q529" s="8">
        <f t="shared" si="2"/>
        <v>113850</v>
      </c>
      <c r="R529" s="8">
        <v>32.0</v>
      </c>
      <c r="S529" s="8">
        <f t="shared" si="3"/>
        <v>9590400</v>
      </c>
      <c r="T529" s="9">
        <v>0.05</v>
      </c>
      <c r="U529" s="8">
        <f t="shared" si="4"/>
        <v>479520</v>
      </c>
      <c r="V529" s="8">
        <f t="shared" si="5"/>
        <v>9110880</v>
      </c>
      <c r="W529" s="10">
        <f t="shared" si="6"/>
        <v>5947200</v>
      </c>
      <c r="X529" s="10">
        <f t="shared" si="7"/>
        <v>3163680</v>
      </c>
      <c r="Y529" s="10"/>
      <c r="Z529" s="10"/>
      <c r="AA529" s="10"/>
      <c r="AB529" s="4" t="s">
        <v>1765</v>
      </c>
      <c r="AC529" s="4" t="s">
        <v>1763</v>
      </c>
      <c r="AD529" s="4">
        <v>43280.0</v>
      </c>
      <c r="AE529" s="4">
        <v>2018.0</v>
      </c>
      <c r="AF529" s="4" t="s">
        <v>1764</v>
      </c>
      <c r="AG529" s="4" t="s">
        <v>393</v>
      </c>
      <c r="AH529" s="4" t="s">
        <v>31</v>
      </c>
      <c r="AI529" s="4" t="s">
        <v>68</v>
      </c>
      <c r="AJ529" s="4" t="s">
        <v>43</v>
      </c>
      <c r="AK529" s="4" t="s">
        <v>104</v>
      </c>
      <c r="AL529" s="4" t="s">
        <v>322</v>
      </c>
      <c r="AM529" s="4" t="s">
        <v>36</v>
      </c>
      <c r="AN529" s="4" t="s">
        <v>37</v>
      </c>
      <c r="AO529" s="4" t="s">
        <v>38</v>
      </c>
      <c r="AP529" s="4">
        <v>43280.0</v>
      </c>
      <c r="AQ529" s="4">
        <v>185850.0</v>
      </c>
      <c r="AR529" s="4">
        <v>299700.0</v>
      </c>
      <c r="AS529" s="4">
        <v>113850.0</v>
      </c>
      <c r="AT529" s="4">
        <v>32.0</v>
      </c>
      <c r="AU529" s="4">
        <v>9590400.0</v>
      </c>
      <c r="AV529" s="4">
        <v>0.05</v>
      </c>
      <c r="AW529" s="4">
        <v>479520.0</v>
      </c>
      <c r="AX529" s="4">
        <v>9110880.0</v>
      </c>
      <c r="AY529" s="4">
        <v>5947200.0</v>
      </c>
      <c r="AZ529" s="4">
        <v>3163680.0</v>
      </c>
    </row>
    <row r="530" ht="15.75" customHeight="1">
      <c r="A530" s="3" t="s">
        <v>1766</v>
      </c>
      <c r="B530" s="5">
        <v>43281.0</v>
      </c>
      <c r="C530" s="6">
        <f t="shared" si="1"/>
        <v>2018</v>
      </c>
      <c r="D530" s="7" t="s">
        <v>1767</v>
      </c>
      <c r="E530" s="7" t="s">
        <v>150</v>
      </c>
      <c r="F530" s="7" t="s">
        <v>50</v>
      </c>
      <c r="G530" s="5" t="s">
        <v>51</v>
      </c>
      <c r="H530" s="7" t="s">
        <v>151</v>
      </c>
      <c r="I530" s="7" t="s">
        <v>53</v>
      </c>
      <c r="J530" s="7" t="s">
        <v>1605</v>
      </c>
      <c r="K530" s="7" t="s">
        <v>36</v>
      </c>
      <c r="L530" s="7" t="s">
        <v>127</v>
      </c>
      <c r="M530" s="7" t="s">
        <v>38</v>
      </c>
      <c r="N530" s="5">
        <v>43284.0</v>
      </c>
      <c r="O530" s="8">
        <v>43050.0</v>
      </c>
      <c r="P530" s="8">
        <v>102600.0</v>
      </c>
      <c r="Q530" s="8">
        <f t="shared" si="2"/>
        <v>59550</v>
      </c>
      <c r="R530" s="8">
        <v>35.0</v>
      </c>
      <c r="S530" s="8">
        <f t="shared" si="3"/>
        <v>3591000</v>
      </c>
      <c r="T530" s="9">
        <v>0.02</v>
      </c>
      <c r="U530" s="8">
        <f t="shared" si="4"/>
        <v>71820</v>
      </c>
      <c r="V530" s="8">
        <f t="shared" si="5"/>
        <v>3519180</v>
      </c>
      <c r="W530" s="10">
        <f t="shared" si="6"/>
        <v>1506750</v>
      </c>
      <c r="X530" s="10">
        <f t="shared" si="7"/>
        <v>2012430</v>
      </c>
      <c r="Y530" s="10"/>
      <c r="Z530" s="10"/>
      <c r="AA530" s="10"/>
      <c r="AB530" s="4" t="s">
        <v>1768</v>
      </c>
      <c r="AC530" s="4" t="s">
        <v>1766</v>
      </c>
      <c r="AD530" s="4">
        <v>43281.0</v>
      </c>
      <c r="AE530" s="4">
        <v>2018.0</v>
      </c>
      <c r="AF530" s="4" t="s">
        <v>1767</v>
      </c>
      <c r="AG530" s="4" t="s">
        <v>150</v>
      </c>
      <c r="AH530" s="4" t="s">
        <v>50</v>
      </c>
      <c r="AI530" s="4" t="s">
        <v>51</v>
      </c>
      <c r="AJ530" s="4" t="s">
        <v>151</v>
      </c>
      <c r="AK530" s="4" t="s">
        <v>53</v>
      </c>
      <c r="AL530" s="4" t="s">
        <v>1605</v>
      </c>
      <c r="AM530" s="4" t="s">
        <v>36</v>
      </c>
      <c r="AN530" s="4" t="s">
        <v>127</v>
      </c>
      <c r="AO530" s="4" t="s">
        <v>38</v>
      </c>
      <c r="AP530" s="4">
        <v>43284.0</v>
      </c>
      <c r="AQ530" s="4">
        <v>43050.0</v>
      </c>
      <c r="AR530" s="4">
        <v>102600.0</v>
      </c>
      <c r="AS530" s="4">
        <v>59550.0</v>
      </c>
      <c r="AT530" s="4">
        <v>35.0</v>
      </c>
      <c r="AU530" s="4">
        <v>3591000.0</v>
      </c>
      <c r="AV530" s="4">
        <v>0.02</v>
      </c>
      <c r="AW530" s="4">
        <v>71820.0</v>
      </c>
      <c r="AX530" s="4">
        <v>3519180.0</v>
      </c>
      <c r="AY530" s="4">
        <v>1506750.0</v>
      </c>
      <c r="AZ530" s="4">
        <v>2012430.0</v>
      </c>
    </row>
    <row r="531" ht="15.75" customHeight="1">
      <c r="A531" s="3" t="s">
        <v>1769</v>
      </c>
      <c r="B531" s="5">
        <v>43283.0</v>
      </c>
      <c r="C531" s="6">
        <f t="shared" si="1"/>
        <v>2018</v>
      </c>
      <c r="D531" s="7" t="s">
        <v>1770</v>
      </c>
      <c r="E531" s="7" t="s">
        <v>393</v>
      </c>
      <c r="F531" s="7" t="s">
        <v>31</v>
      </c>
      <c r="G531" s="5" t="s">
        <v>91</v>
      </c>
      <c r="H531" s="7" t="s">
        <v>43</v>
      </c>
      <c r="I531" s="7" t="s">
        <v>53</v>
      </c>
      <c r="J531" s="7" t="s">
        <v>299</v>
      </c>
      <c r="K531" s="7" t="s">
        <v>61</v>
      </c>
      <c r="L531" s="7" t="s">
        <v>37</v>
      </c>
      <c r="M531" s="7" t="s">
        <v>55</v>
      </c>
      <c r="N531" s="5">
        <v>43284.0</v>
      </c>
      <c r="O531" s="8">
        <v>96000.0</v>
      </c>
      <c r="P531" s="8">
        <v>436500.0</v>
      </c>
      <c r="Q531" s="8">
        <f t="shared" si="2"/>
        <v>340500</v>
      </c>
      <c r="R531" s="8">
        <v>50.0</v>
      </c>
      <c r="S531" s="8">
        <f t="shared" si="3"/>
        <v>21825000</v>
      </c>
      <c r="T531" s="9">
        <v>0.09</v>
      </c>
      <c r="U531" s="8">
        <f t="shared" si="4"/>
        <v>1964250</v>
      </c>
      <c r="V531" s="8">
        <f t="shared" si="5"/>
        <v>19860750</v>
      </c>
      <c r="W531" s="10">
        <f t="shared" si="6"/>
        <v>4800000</v>
      </c>
      <c r="X531" s="10">
        <f t="shared" si="7"/>
        <v>15060750</v>
      </c>
      <c r="Y531" s="10"/>
      <c r="Z531" s="10"/>
      <c r="AA531" s="10"/>
      <c r="AB531" s="4" t="s">
        <v>1771</v>
      </c>
      <c r="AC531" s="4" t="s">
        <v>1769</v>
      </c>
      <c r="AD531" s="4">
        <v>43283.0</v>
      </c>
      <c r="AE531" s="4">
        <v>2018.0</v>
      </c>
      <c r="AF531" s="4" t="s">
        <v>1770</v>
      </c>
      <c r="AG531" s="4" t="s">
        <v>393</v>
      </c>
      <c r="AH531" s="4" t="s">
        <v>31</v>
      </c>
      <c r="AI531" s="4" t="s">
        <v>91</v>
      </c>
      <c r="AJ531" s="4" t="s">
        <v>43</v>
      </c>
      <c r="AK531" s="4" t="s">
        <v>53</v>
      </c>
      <c r="AL531" s="4" t="s">
        <v>299</v>
      </c>
      <c r="AM531" s="4" t="s">
        <v>61</v>
      </c>
      <c r="AN531" s="4" t="s">
        <v>37</v>
      </c>
      <c r="AO531" s="4" t="s">
        <v>55</v>
      </c>
      <c r="AP531" s="4">
        <v>43284.0</v>
      </c>
      <c r="AQ531" s="4">
        <v>96000.0</v>
      </c>
      <c r="AR531" s="4">
        <v>436500.0</v>
      </c>
      <c r="AS531" s="4">
        <v>340500.0</v>
      </c>
      <c r="AT531" s="4">
        <v>50.0</v>
      </c>
      <c r="AU531" s="4">
        <v>2.1825E7</v>
      </c>
      <c r="AV531" s="4">
        <v>0.09</v>
      </c>
      <c r="AW531" s="4">
        <v>1964250.0</v>
      </c>
      <c r="AX531" s="4">
        <v>1.986075E7</v>
      </c>
      <c r="AY531" s="4">
        <v>4800000.0</v>
      </c>
      <c r="AZ531" s="4">
        <v>1.506075E7</v>
      </c>
    </row>
    <row r="532" ht="15.75" customHeight="1">
      <c r="A532" s="2" t="s">
        <v>1772</v>
      </c>
      <c r="B532" s="5">
        <v>43284.0</v>
      </c>
      <c r="C532" s="6">
        <f t="shared" si="1"/>
        <v>2018</v>
      </c>
      <c r="D532" s="7" t="s">
        <v>287</v>
      </c>
      <c r="E532" s="7" t="s">
        <v>288</v>
      </c>
      <c r="F532" s="7" t="s">
        <v>289</v>
      </c>
      <c r="G532" s="5" t="s">
        <v>91</v>
      </c>
      <c r="H532" s="7" t="s">
        <v>140</v>
      </c>
      <c r="I532" s="7" t="s">
        <v>74</v>
      </c>
      <c r="J532" s="7" t="s">
        <v>277</v>
      </c>
      <c r="K532" s="7" t="s">
        <v>278</v>
      </c>
      <c r="L532" s="7" t="s">
        <v>127</v>
      </c>
      <c r="M532" s="7" t="s">
        <v>38</v>
      </c>
      <c r="N532" s="5">
        <v>43291.0</v>
      </c>
      <c r="O532" s="8">
        <v>82500.0</v>
      </c>
      <c r="P532" s="8">
        <v>183300.0</v>
      </c>
      <c r="Q532" s="8">
        <f t="shared" si="2"/>
        <v>100800</v>
      </c>
      <c r="R532" s="8">
        <v>5.0</v>
      </c>
      <c r="S532" s="8">
        <f t="shared" si="3"/>
        <v>916500</v>
      </c>
      <c r="T532" s="9">
        <v>0.04</v>
      </c>
      <c r="U532" s="8">
        <f t="shared" si="4"/>
        <v>36660</v>
      </c>
      <c r="V532" s="8">
        <f t="shared" si="5"/>
        <v>879840</v>
      </c>
      <c r="W532" s="10">
        <f t="shared" si="6"/>
        <v>412500</v>
      </c>
      <c r="X532" s="10">
        <f t="shared" si="7"/>
        <v>467340</v>
      </c>
      <c r="Y532" s="10"/>
      <c r="Z532" s="10"/>
      <c r="AA532" s="10"/>
      <c r="AB532" s="4" t="s">
        <v>1773</v>
      </c>
      <c r="AC532" s="4" t="s">
        <v>1772</v>
      </c>
      <c r="AD532" s="4">
        <v>43284.0</v>
      </c>
      <c r="AE532" s="4">
        <v>2018.0</v>
      </c>
      <c r="AF532" s="4" t="s">
        <v>287</v>
      </c>
      <c r="AG532" s="4" t="s">
        <v>288</v>
      </c>
      <c r="AH532" s="4" t="s">
        <v>289</v>
      </c>
      <c r="AI532" s="4" t="s">
        <v>91</v>
      </c>
      <c r="AJ532" s="4" t="s">
        <v>140</v>
      </c>
      <c r="AK532" s="4" t="s">
        <v>74</v>
      </c>
      <c r="AL532" s="4" t="s">
        <v>277</v>
      </c>
      <c r="AM532" s="4" t="s">
        <v>278</v>
      </c>
      <c r="AN532" s="4" t="s">
        <v>127</v>
      </c>
      <c r="AO532" s="4" t="s">
        <v>38</v>
      </c>
      <c r="AP532" s="4">
        <v>43291.0</v>
      </c>
      <c r="AQ532" s="4">
        <v>82500.0</v>
      </c>
      <c r="AR532" s="4">
        <v>183300.0</v>
      </c>
      <c r="AS532" s="4">
        <v>100800.0</v>
      </c>
      <c r="AT532" s="4">
        <v>5.0</v>
      </c>
      <c r="AU532" s="4">
        <v>916500.0</v>
      </c>
      <c r="AV532" s="4">
        <v>0.04</v>
      </c>
      <c r="AW532" s="4">
        <v>36660.0</v>
      </c>
      <c r="AX532" s="4">
        <v>879840.0</v>
      </c>
      <c r="AY532" s="4">
        <v>412500.0</v>
      </c>
      <c r="AZ532" s="4">
        <v>467340.0</v>
      </c>
    </row>
    <row r="533" ht="15.75" customHeight="1">
      <c r="A533" s="3" t="s">
        <v>1774</v>
      </c>
      <c r="B533" s="5">
        <v>43284.0</v>
      </c>
      <c r="C533" s="6">
        <f t="shared" si="1"/>
        <v>2018</v>
      </c>
      <c r="D533" s="7" t="s">
        <v>554</v>
      </c>
      <c r="E533" s="7" t="s">
        <v>194</v>
      </c>
      <c r="F533" s="7" t="s">
        <v>31</v>
      </c>
      <c r="G533" s="5" t="s">
        <v>91</v>
      </c>
      <c r="H533" s="7" t="s">
        <v>33</v>
      </c>
      <c r="I533" s="7" t="s">
        <v>53</v>
      </c>
      <c r="J533" s="7" t="s">
        <v>272</v>
      </c>
      <c r="K533" s="7" t="s">
        <v>36</v>
      </c>
      <c r="L533" s="7" t="s">
        <v>45</v>
      </c>
      <c r="M533" s="7" t="s">
        <v>38</v>
      </c>
      <c r="N533" s="5">
        <v>43285.0</v>
      </c>
      <c r="O533" s="8">
        <v>56250.0</v>
      </c>
      <c r="P533" s="8">
        <v>106200.0</v>
      </c>
      <c r="Q533" s="8">
        <f t="shared" si="2"/>
        <v>49950</v>
      </c>
      <c r="R533" s="8">
        <v>31.0</v>
      </c>
      <c r="S533" s="8">
        <f t="shared" si="3"/>
        <v>3292200</v>
      </c>
      <c r="T533" s="9">
        <v>0.01</v>
      </c>
      <c r="U533" s="8">
        <f t="shared" si="4"/>
        <v>32922</v>
      </c>
      <c r="V533" s="8">
        <f t="shared" si="5"/>
        <v>3259278</v>
      </c>
      <c r="W533" s="10">
        <f t="shared" si="6"/>
        <v>1743750</v>
      </c>
      <c r="X533" s="10">
        <f t="shared" si="7"/>
        <v>1515528</v>
      </c>
      <c r="Y533" s="10"/>
      <c r="Z533" s="10"/>
      <c r="AA533" s="10"/>
      <c r="AB533" s="4" t="s">
        <v>1775</v>
      </c>
      <c r="AC533" s="4" t="s">
        <v>1774</v>
      </c>
      <c r="AD533" s="4">
        <v>43284.0</v>
      </c>
      <c r="AE533" s="4">
        <v>2018.0</v>
      </c>
      <c r="AF533" s="4" t="s">
        <v>554</v>
      </c>
      <c r="AG533" s="4" t="s">
        <v>194</v>
      </c>
      <c r="AH533" s="4" t="s">
        <v>31</v>
      </c>
      <c r="AI533" s="4" t="s">
        <v>91</v>
      </c>
      <c r="AJ533" s="4" t="s">
        <v>33</v>
      </c>
      <c r="AK533" s="4" t="s">
        <v>53</v>
      </c>
      <c r="AL533" s="4" t="s">
        <v>272</v>
      </c>
      <c r="AM533" s="4" t="s">
        <v>36</v>
      </c>
      <c r="AN533" s="4" t="s">
        <v>45</v>
      </c>
      <c r="AO533" s="4" t="s">
        <v>38</v>
      </c>
      <c r="AP533" s="4">
        <v>43285.0</v>
      </c>
      <c r="AQ533" s="4">
        <v>56250.0</v>
      </c>
      <c r="AR533" s="4">
        <v>106200.0</v>
      </c>
      <c r="AS533" s="4">
        <v>49950.0</v>
      </c>
      <c r="AT533" s="4">
        <v>31.0</v>
      </c>
      <c r="AU533" s="4">
        <v>3292200.0</v>
      </c>
      <c r="AV533" s="4">
        <v>0.01</v>
      </c>
      <c r="AW533" s="4">
        <v>32922.0</v>
      </c>
      <c r="AX533" s="4">
        <v>3259278.0</v>
      </c>
      <c r="AY533" s="4">
        <v>1743750.0</v>
      </c>
      <c r="AZ533" s="4">
        <v>1515528.0</v>
      </c>
    </row>
    <row r="534" ht="15.75" customHeight="1">
      <c r="A534" s="3" t="s">
        <v>1776</v>
      </c>
      <c r="B534" s="5">
        <v>43285.0</v>
      </c>
      <c r="C534" s="6">
        <f t="shared" si="1"/>
        <v>2018</v>
      </c>
      <c r="D534" s="7" t="s">
        <v>1777</v>
      </c>
      <c r="E534" s="7" t="s">
        <v>559</v>
      </c>
      <c r="F534" s="7" t="s">
        <v>50</v>
      </c>
      <c r="G534" s="5" t="s">
        <v>32</v>
      </c>
      <c r="H534" s="7" t="s">
        <v>98</v>
      </c>
      <c r="I534" s="7" t="s">
        <v>34</v>
      </c>
      <c r="J534" s="7" t="s">
        <v>135</v>
      </c>
      <c r="K534" s="7" t="s">
        <v>36</v>
      </c>
      <c r="L534" s="7" t="s">
        <v>37</v>
      </c>
      <c r="M534" s="7" t="s">
        <v>55</v>
      </c>
      <c r="N534" s="5">
        <v>43286.0</v>
      </c>
      <c r="O534" s="8">
        <v>68850.0</v>
      </c>
      <c r="P534" s="8">
        <v>109200.0</v>
      </c>
      <c r="Q534" s="8">
        <f t="shared" si="2"/>
        <v>40350</v>
      </c>
      <c r="R534" s="8">
        <v>40.0</v>
      </c>
      <c r="S534" s="8">
        <f t="shared" si="3"/>
        <v>4368000</v>
      </c>
      <c r="T534" s="9">
        <v>0.04</v>
      </c>
      <c r="U534" s="8">
        <f t="shared" si="4"/>
        <v>174720</v>
      </c>
      <c r="V534" s="8">
        <f t="shared" si="5"/>
        <v>4193280</v>
      </c>
      <c r="W534" s="10">
        <f t="shared" si="6"/>
        <v>2754000</v>
      </c>
      <c r="X534" s="10">
        <f t="shared" si="7"/>
        <v>1439280</v>
      </c>
      <c r="Y534" s="10"/>
      <c r="Z534" s="10"/>
      <c r="AA534" s="10"/>
      <c r="AB534" s="4" t="s">
        <v>1778</v>
      </c>
      <c r="AC534" s="4" t="s">
        <v>1776</v>
      </c>
      <c r="AD534" s="4">
        <v>43285.0</v>
      </c>
      <c r="AE534" s="4">
        <v>2018.0</v>
      </c>
      <c r="AF534" s="4" t="s">
        <v>1777</v>
      </c>
      <c r="AG534" s="4" t="s">
        <v>559</v>
      </c>
      <c r="AH534" s="4" t="s">
        <v>50</v>
      </c>
      <c r="AI534" s="4" t="s">
        <v>32</v>
      </c>
      <c r="AJ534" s="4" t="s">
        <v>98</v>
      </c>
      <c r="AK534" s="4" t="s">
        <v>34</v>
      </c>
      <c r="AL534" s="4" t="s">
        <v>135</v>
      </c>
      <c r="AM534" s="4" t="s">
        <v>36</v>
      </c>
      <c r="AN534" s="4" t="s">
        <v>37</v>
      </c>
      <c r="AO534" s="4" t="s">
        <v>55</v>
      </c>
      <c r="AP534" s="4">
        <v>43286.0</v>
      </c>
      <c r="AQ534" s="4">
        <v>68850.0</v>
      </c>
      <c r="AR534" s="4">
        <v>109200.0</v>
      </c>
      <c r="AS534" s="4">
        <v>40350.0</v>
      </c>
      <c r="AT534" s="4">
        <v>40.0</v>
      </c>
      <c r="AU534" s="4">
        <v>4368000.0</v>
      </c>
      <c r="AV534" s="4">
        <v>0.04</v>
      </c>
      <c r="AW534" s="4">
        <v>174720.0</v>
      </c>
      <c r="AX534" s="4">
        <v>4193280.0</v>
      </c>
      <c r="AY534" s="4">
        <v>2754000.0</v>
      </c>
      <c r="AZ534" s="4">
        <v>1439280.0</v>
      </c>
    </row>
    <row r="535" ht="15.75" customHeight="1">
      <c r="A535" s="3" t="s">
        <v>1779</v>
      </c>
      <c r="B535" s="5">
        <v>43287.0</v>
      </c>
      <c r="C535" s="6">
        <f t="shared" si="1"/>
        <v>2018</v>
      </c>
      <c r="D535" s="7" t="s">
        <v>1780</v>
      </c>
      <c r="E535" s="7" t="s">
        <v>1781</v>
      </c>
      <c r="F535" s="7" t="s">
        <v>50</v>
      </c>
      <c r="G535" s="5" t="s">
        <v>51</v>
      </c>
      <c r="H535" s="7" t="s">
        <v>52</v>
      </c>
      <c r="I535" s="7" t="s">
        <v>104</v>
      </c>
      <c r="J535" s="7" t="s">
        <v>787</v>
      </c>
      <c r="K535" s="7" t="s">
        <v>36</v>
      </c>
      <c r="L535" s="7" t="s">
        <v>37</v>
      </c>
      <c r="M535" s="7" t="s">
        <v>38</v>
      </c>
      <c r="N535" s="5">
        <v>43289.0</v>
      </c>
      <c r="O535" s="8">
        <v>50550.0</v>
      </c>
      <c r="P535" s="8">
        <v>82950.0</v>
      </c>
      <c r="Q535" s="8">
        <f t="shared" si="2"/>
        <v>32400</v>
      </c>
      <c r="R535" s="8">
        <v>23.0</v>
      </c>
      <c r="S535" s="8">
        <f t="shared" si="3"/>
        <v>1907850</v>
      </c>
      <c r="T535" s="9">
        <v>0.1</v>
      </c>
      <c r="U535" s="8">
        <f t="shared" si="4"/>
        <v>190785</v>
      </c>
      <c r="V535" s="8">
        <f t="shared" si="5"/>
        <v>1717065</v>
      </c>
      <c r="W535" s="10">
        <f t="shared" si="6"/>
        <v>1162650</v>
      </c>
      <c r="X535" s="10">
        <f t="shared" si="7"/>
        <v>554415</v>
      </c>
      <c r="Y535" s="10"/>
      <c r="Z535" s="10"/>
      <c r="AA535" s="10"/>
      <c r="AB535" s="4" t="s">
        <v>1782</v>
      </c>
      <c r="AC535" s="4" t="s">
        <v>1779</v>
      </c>
      <c r="AD535" s="4">
        <v>43287.0</v>
      </c>
      <c r="AE535" s="4">
        <v>2018.0</v>
      </c>
      <c r="AF535" s="4" t="s">
        <v>1780</v>
      </c>
      <c r="AG535" s="4" t="s">
        <v>1781</v>
      </c>
      <c r="AH535" s="4" t="s">
        <v>50</v>
      </c>
      <c r="AI535" s="4" t="s">
        <v>51</v>
      </c>
      <c r="AJ535" s="4" t="s">
        <v>52</v>
      </c>
      <c r="AK535" s="4" t="s">
        <v>104</v>
      </c>
      <c r="AL535" s="4" t="s">
        <v>787</v>
      </c>
      <c r="AM535" s="4" t="s">
        <v>36</v>
      </c>
      <c r="AN535" s="4" t="s">
        <v>37</v>
      </c>
      <c r="AO535" s="4" t="s">
        <v>38</v>
      </c>
      <c r="AP535" s="4">
        <v>43289.0</v>
      </c>
      <c r="AQ535" s="4">
        <v>50550.0</v>
      </c>
      <c r="AR535" s="4">
        <v>82950.0</v>
      </c>
      <c r="AS535" s="4">
        <v>32400.0</v>
      </c>
      <c r="AT535" s="4">
        <v>23.0</v>
      </c>
      <c r="AU535" s="4">
        <v>1907850.0</v>
      </c>
      <c r="AV535" s="4">
        <v>0.1</v>
      </c>
      <c r="AW535" s="4">
        <v>190785.0</v>
      </c>
      <c r="AX535" s="4">
        <v>1717065.0</v>
      </c>
      <c r="AY535" s="4">
        <v>1162650.0</v>
      </c>
      <c r="AZ535" s="4">
        <v>554415.0</v>
      </c>
    </row>
    <row r="536" ht="15.75" customHeight="1">
      <c r="A536" s="3" t="s">
        <v>1783</v>
      </c>
      <c r="B536" s="5">
        <v>43287.0</v>
      </c>
      <c r="C536" s="6">
        <f t="shared" si="1"/>
        <v>2018</v>
      </c>
      <c r="D536" s="7" t="s">
        <v>1784</v>
      </c>
      <c r="E536" s="7" t="s">
        <v>103</v>
      </c>
      <c r="F536" s="7" t="s">
        <v>31</v>
      </c>
      <c r="G536" s="5" t="s">
        <v>51</v>
      </c>
      <c r="H536" s="7" t="s">
        <v>33</v>
      </c>
      <c r="I536" s="7" t="s">
        <v>53</v>
      </c>
      <c r="J536" s="7" t="s">
        <v>160</v>
      </c>
      <c r="K536" s="7" t="s">
        <v>36</v>
      </c>
      <c r="L536" s="7" t="s">
        <v>37</v>
      </c>
      <c r="M536" s="7" t="s">
        <v>38</v>
      </c>
      <c r="N536" s="5">
        <v>43288.0</v>
      </c>
      <c r="O536" s="8">
        <v>52800.0</v>
      </c>
      <c r="P536" s="8">
        <v>85200.0</v>
      </c>
      <c r="Q536" s="8">
        <f t="shared" si="2"/>
        <v>32400</v>
      </c>
      <c r="R536" s="8">
        <v>8.0</v>
      </c>
      <c r="S536" s="8">
        <f t="shared" si="3"/>
        <v>681600</v>
      </c>
      <c r="T536" s="9">
        <v>0.02</v>
      </c>
      <c r="U536" s="8">
        <f t="shared" si="4"/>
        <v>13632</v>
      </c>
      <c r="V536" s="8">
        <f t="shared" si="5"/>
        <v>667968</v>
      </c>
      <c r="W536" s="10">
        <f t="shared" si="6"/>
        <v>422400</v>
      </c>
      <c r="X536" s="10">
        <f t="shared" si="7"/>
        <v>245568</v>
      </c>
      <c r="Y536" s="10"/>
      <c r="Z536" s="10"/>
      <c r="AA536" s="10"/>
      <c r="AB536" s="4" t="s">
        <v>1785</v>
      </c>
      <c r="AC536" s="4" t="s">
        <v>1783</v>
      </c>
      <c r="AD536" s="4">
        <v>43287.0</v>
      </c>
      <c r="AE536" s="4">
        <v>2018.0</v>
      </c>
      <c r="AF536" s="4" t="s">
        <v>1784</v>
      </c>
      <c r="AG536" s="4" t="s">
        <v>103</v>
      </c>
      <c r="AH536" s="4" t="s">
        <v>31</v>
      </c>
      <c r="AI536" s="4" t="s">
        <v>51</v>
      </c>
      <c r="AJ536" s="4" t="s">
        <v>33</v>
      </c>
      <c r="AK536" s="4" t="s">
        <v>53</v>
      </c>
      <c r="AL536" s="4" t="s">
        <v>160</v>
      </c>
      <c r="AM536" s="4" t="s">
        <v>36</v>
      </c>
      <c r="AN536" s="4" t="s">
        <v>37</v>
      </c>
      <c r="AO536" s="4" t="s">
        <v>38</v>
      </c>
      <c r="AP536" s="4">
        <v>43288.0</v>
      </c>
      <c r="AQ536" s="4">
        <v>52800.0</v>
      </c>
      <c r="AR536" s="4">
        <v>85200.0</v>
      </c>
      <c r="AS536" s="4">
        <v>32400.0</v>
      </c>
      <c r="AT536" s="4">
        <v>8.0</v>
      </c>
      <c r="AU536" s="4">
        <v>681600.0</v>
      </c>
      <c r="AV536" s="4">
        <v>0.02</v>
      </c>
      <c r="AW536" s="4">
        <v>13632.0</v>
      </c>
      <c r="AX536" s="4">
        <v>667968.0</v>
      </c>
      <c r="AY536" s="4">
        <v>422400.0</v>
      </c>
      <c r="AZ536" s="4">
        <v>245568.0</v>
      </c>
    </row>
    <row r="537" ht="15.75" customHeight="1">
      <c r="A537" s="3" t="s">
        <v>1786</v>
      </c>
      <c r="B537" s="5">
        <v>43288.0</v>
      </c>
      <c r="C537" s="6">
        <f t="shared" si="1"/>
        <v>2018</v>
      </c>
      <c r="D537" s="7" t="s">
        <v>1551</v>
      </c>
      <c r="E537" s="7" t="s">
        <v>194</v>
      </c>
      <c r="F537" s="7" t="s">
        <v>31</v>
      </c>
      <c r="G537" s="5" t="s">
        <v>32</v>
      </c>
      <c r="H537" s="7" t="s">
        <v>33</v>
      </c>
      <c r="I537" s="7" t="s">
        <v>92</v>
      </c>
      <c r="J537" s="7" t="s">
        <v>243</v>
      </c>
      <c r="K537" s="7" t="s">
        <v>61</v>
      </c>
      <c r="L537" s="7" t="s">
        <v>244</v>
      </c>
      <c r="M537" s="7" t="s">
        <v>38</v>
      </c>
      <c r="N537" s="5">
        <v>43290.0</v>
      </c>
      <c r="O537" s="8">
        <v>132300.0</v>
      </c>
      <c r="P537" s="8">
        <v>314850.0</v>
      </c>
      <c r="Q537" s="8">
        <f t="shared" si="2"/>
        <v>182550</v>
      </c>
      <c r="R537" s="8">
        <v>45.0</v>
      </c>
      <c r="S537" s="8">
        <f t="shared" si="3"/>
        <v>14168250</v>
      </c>
      <c r="T537" s="9">
        <v>0.03</v>
      </c>
      <c r="U537" s="8">
        <f t="shared" si="4"/>
        <v>425047.5</v>
      </c>
      <c r="V537" s="8">
        <f t="shared" si="5"/>
        <v>13743202.5</v>
      </c>
      <c r="W537" s="10">
        <f t="shared" si="6"/>
        <v>5953500</v>
      </c>
      <c r="X537" s="10">
        <f t="shared" si="7"/>
        <v>7789702.5</v>
      </c>
      <c r="Y537" s="10"/>
      <c r="Z537" s="10"/>
      <c r="AA537" s="10"/>
      <c r="AB537" s="4" t="s">
        <v>1787</v>
      </c>
      <c r="AC537" s="4" t="s">
        <v>1786</v>
      </c>
      <c r="AD537" s="4">
        <v>43288.0</v>
      </c>
      <c r="AE537" s="4">
        <v>2018.0</v>
      </c>
      <c r="AF537" s="4" t="s">
        <v>1551</v>
      </c>
      <c r="AG537" s="4" t="s">
        <v>194</v>
      </c>
      <c r="AH537" s="4" t="s">
        <v>31</v>
      </c>
      <c r="AI537" s="4" t="s">
        <v>32</v>
      </c>
      <c r="AJ537" s="4" t="s">
        <v>33</v>
      </c>
      <c r="AK537" s="4" t="s">
        <v>92</v>
      </c>
      <c r="AL537" s="4" t="s">
        <v>243</v>
      </c>
      <c r="AM537" s="4" t="s">
        <v>61</v>
      </c>
      <c r="AN537" s="4" t="s">
        <v>244</v>
      </c>
      <c r="AO537" s="4" t="s">
        <v>38</v>
      </c>
      <c r="AP537" s="4">
        <v>43290.0</v>
      </c>
      <c r="AQ537" s="4">
        <v>132300.0</v>
      </c>
      <c r="AR537" s="4">
        <v>314850.0</v>
      </c>
      <c r="AS537" s="4">
        <v>182550.0</v>
      </c>
      <c r="AT537" s="4">
        <v>45.0</v>
      </c>
      <c r="AU537" s="4">
        <v>1.416825E7</v>
      </c>
      <c r="AV537" s="4">
        <v>0.03</v>
      </c>
      <c r="AW537" s="4">
        <v>425047.5</v>
      </c>
      <c r="AX537" s="4">
        <v>1.37432025E7</v>
      </c>
      <c r="AY537" s="4">
        <v>5953500.0</v>
      </c>
      <c r="AZ537" s="4">
        <v>7789702.5</v>
      </c>
    </row>
    <row r="538" ht="15.75" customHeight="1">
      <c r="A538" s="3" t="s">
        <v>1788</v>
      </c>
      <c r="B538" s="5">
        <v>43288.0</v>
      </c>
      <c r="C538" s="6">
        <f t="shared" si="1"/>
        <v>2018</v>
      </c>
      <c r="D538" s="7" t="s">
        <v>1767</v>
      </c>
      <c r="E538" s="7" t="s">
        <v>150</v>
      </c>
      <c r="F538" s="7" t="s">
        <v>50</v>
      </c>
      <c r="G538" s="5" t="s">
        <v>51</v>
      </c>
      <c r="H538" s="7" t="s">
        <v>151</v>
      </c>
      <c r="I538" s="7" t="s">
        <v>92</v>
      </c>
      <c r="J538" s="7" t="s">
        <v>533</v>
      </c>
      <c r="K538" s="7" t="s">
        <v>36</v>
      </c>
      <c r="L538" s="7" t="s">
        <v>45</v>
      </c>
      <c r="M538" s="7" t="s">
        <v>55</v>
      </c>
      <c r="N538" s="5">
        <v>43290.0</v>
      </c>
      <c r="O538" s="8">
        <v>22950.0</v>
      </c>
      <c r="P538" s="8">
        <v>41700.0</v>
      </c>
      <c r="Q538" s="8">
        <f t="shared" si="2"/>
        <v>18750</v>
      </c>
      <c r="R538" s="8">
        <v>34.0</v>
      </c>
      <c r="S538" s="8">
        <f t="shared" si="3"/>
        <v>1417800</v>
      </c>
      <c r="T538" s="9">
        <v>0.0</v>
      </c>
      <c r="U538" s="8">
        <f t="shared" si="4"/>
        <v>0</v>
      </c>
      <c r="V538" s="8">
        <f t="shared" si="5"/>
        <v>1417800</v>
      </c>
      <c r="W538" s="10">
        <f t="shared" si="6"/>
        <v>780300</v>
      </c>
      <c r="X538" s="10">
        <f t="shared" si="7"/>
        <v>637500</v>
      </c>
      <c r="Y538" s="10"/>
      <c r="Z538" s="10"/>
      <c r="AA538" s="10"/>
      <c r="AB538" s="4" t="s">
        <v>1789</v>
      </c>
      <c r="AC538" s="4" t="s">
        <v>1788</v>
      </c>
      <c r="AD538" s="4">
        <v>43288.0</v>
      </c>
      <c r="AE538" s="4">
        <v>2018.0</v>
      </c>
      <c r="AF538" s="4" t="s">
        <v>1767</v>
      </c>
      <c r="AG538" s="4" t="s">
        <v>150</v>
      </c>
      <c r="AH538" s="4" t="s">
        <v>50</v>
      </c>
      <c r="AI538" s="4" t="s">
        <v>51</v>
      </c>
      <c r="AJ538" s="4" t="s">
        <v>151</v>
      </c>
      <c r="AK538" s="4" t="s">
        <v>92</v>
      </c>
      <c r="AL538" s="4" t="s">
        <v>533</v>
      </c>
      <c r="AM538" s="4" t="s">
        <v>36</v>
      </c>
      <c r="AN538" s="4" t="s">
        <v>45</v>
      </c>
      <c r="AO538" s="4" t="s">
        <v>55</v>
      </c>
      <c r="AP538" s="4">
        <v>43290.0</v>
      </c>
      <c r="AQ538" s="4">
        <v>22950.0</v>
      </c>
      <c r="AR538" s="4">
        <v>41700.0</v>
      </c>
      <c r="AS538" s="4">
        <v>18750.0</v>
      </c>
      <c r="AT538" s="4">
        <v>34.0</v>
      </c>
      <c r="AU538" s="4">
        <v>1417800.0</v>
      </c>
      <c r="AV538" s="4">
        <v>0.0</v>
      </c>
      <c r="AW538" s="4">
        <v>0.0</v>
      </c>
      <c r="AX538" s="4">
        <v>1417800.0</v>
      </c>
      <c r="AY538" s="4">
        <v>780300.0</v>
      </c>
      <c r="AZ538" s="4">
        <v>637500.0</v>
      </c>
    </row>
    <row r="539" ht="15.75" customHeight="1">
      <c r="A539" s="3" t="s">
        <v>1790</v>
      </c>
      <c r="B539" s="5">
        <v>43293.0</v>
      </c>
      <c r="C539" s="6">
        <f t="shared" si="1"/>
        <v>2018</v>
      </c>
      <c r="D539" s="7" t="s">
        <v>1102</v>
      </c>
      <c r="E539" s="7" t="s">
        <v>169</v>
      </c>
      <c r="F539" s="7" t="s">
        <v>31</v>
      </c>
      <c r="G539" s="5" t="s">
        <v>91</v>
      </c>
      <c r="H539" s="7" t="s">
        <v>43</v>
      </c>
      <c r="I539" s="7" t="s">
        <v>104</v>
      </c>
      <c r="J539" s="7" t="s">
        <v>473</v>
      </c>
      <c r="K539" s="7" t="s">
        <v>61</v>
      </c>
      <c r="L539" s="7" t="s">
        <v>37</v>
      </c>
      <c r="M539" s="7" t="s">
        <v>38</v>
      </c>
      <c r="N539" s="5">
        <v>43295.0</v>
      </c>
      <c r="O539" s="8">
        <v>817800.0</v>
      </c>
      <c r="P539" s="8">
        <v>1514550.0</v>
      </c>
      <c r="Q539" s="8">
        <f t="shared" si="2"/>
        <v>696750</v>
      </c>
      <c r="R539" s="8">
        <v>13.0</v>
      </c>
      <c r="S539" s="8">
        <f t="shared" si="3"/>
        <v>19689150</v>
      </c>
      <c r="T539" s="9">
        <v>0.06</v>
      </c>
      <c r="U539" s="8">
        <f t="shared" si="4"/>
        <v>1181349</v>
      </c>
      <c r="V539" s="8">
        <f t="shared" si="5"/>
        <v>18507801</v>
      </c>
      <c r="W539" s="10">
        <f t="shared" si="6"/>
        <v>10631400</v>
      </c>
      <c r="X539" s="10">
        <f t="shared" si="7"/>
        <v>7876401</v>
      </c>
      <c r="Y539" s="10"/>
      <c r="Z539" s="10"/>
      <c r="AA539" s="10"/>
      <c r="AB539" s="4" t="s">
        <v>1791</v>
      </c>
      <c r="AC539" s="4" t="s">
        <v>1790</v>
      </c>
      <c r="AD539" s="4">
        <v>43293.0</v>
      </c>
      <c r="AE539" s="4">
        <v>2018.0</v>
      </c>
      <c r="AF539" s="4" t="s">
        <v>1102</v>
      </c>
      <c r="AG539" s="4" t="s">
        <v>169</v>
      </c>
      <c r="AH539" s="4" t="s">
        <v>31</v>
      </c>
      <c r="AI539" s="4" t="s">
        <v>91</v>
      </c>
      <c r="AJ539" s="4" t="s">
        <v>43</v>
      </c>
      <c r="AK539" s="4" t="s">
        <v>104</v>
      </c>
      <c r="AL539" s="4" t="s">
        <v>473</v>
      </c>
      <c r="AM539" s="4" t="s">
        <v>61</v>
      </c>
      <c r="AN539" s="4" t="s">
        <v>37</v>
      </c>
      <c r="AO539" s="4" t="s">
        <v>38</v>
      </c>
      <c r="AP539" s="4">
        <v>43295.0</v>
      </c>
      <c r="AQ539" s="4">
        <v>817800.0</v>
      </c>
      <c r="AR539" s="4">
        <v>1514550.0</v>
      </c>
      <c r="AS539" s="4">
        <v>696750.0</v>
      </c>
      <c r="AT539" s="4">
        <v>13.0</v>
      </c>
      <c r="AU539" s="4">
        <v>1.968915E7</v>
      </c>
      <c r="AV539" s="4">
        <v>0.06</v>
      </c>
      <c r="AW539" s="4">
        <v>1181349.0</v>
      </c>
      <c r="AX539" s="4">
        <v>1.8507801E7</v>
      </c>
      <c r="AY539" s="4">
        <v>1.06314E7</v>
      </c>
      <c r="AZ539" s="4">
        <v>7876401.0</v>
      </c>
    </row>
    <row r="540" ht="15.75" customHeight="1">
      <c r="A540" s="3" t="s">
        <v>1792</v>
      </c>
      <c r="B540" s="5">
        <v>43298.0</v>
      </c>
      <c r="C540" s="6">
        <f t="shared" si="1"/>
        <v>2018</v>
      </c>
      <c r="D540" s="7" t="s">
        <v>1793</v>
      </c>
      <c r="E540" s="7" t="s">
        <v>770</v>
      </c>
      <c r="F540" s="7" t="s">
        <v>289</v>
      </c>
      <c r="G540" s="5" t="s">
        <v>32</v>
      </c>
      <c r="H540" s="7" t="s">
        <v>98</v>
      </c>
      <c r="I540" s="7" t="s">
        <v>104</v>
      </c>
      <c r="J540" s="7" t="s">
        <v>60</v>
      </c>
      <c r="K540" s="7" t="s">
        <v>61</v>
      </c>
      <c r="L540" s="7" t="s">
        <v>62</v>
      </c>
      <c r="M540" s="7" t="s">
        <v>63</v>
      </c>
      <c r="N540" s="5">
        <v>43299.0</v>
      </c>
      <c r="O540" s="8">
        <v>1125000.0</v>
      </c>
      <c r="P540" s="8">
        <v>1814550.0</v>
      </c>
      <c r="Q540" s="8">
        <f t="shared" si="2"/>
        <v>689550</v>
      </c>
      <c r="R540" s="8">
        <v>38.0</v>
      </c>
      <c r="S540" s="8">
        <f t="shared" si="3"/>
        <v>68952900</v>
      </c>
      <c r="T540" s="9">
        <v>0.09</v>
      </c>
      <c r="U540" s="8">
        <f t="shared" si="4"/>
        <v>6205761</v>
      </c>
      <c r="V540" s="8">
        <f t="shared" si="5"/>
        <v>62747139</v>
      </c>
      <c r="W540" s="10">
        <f t="shared" si="6"/>
        <v>42750000</v>
      </c>
      <c r="X540" s="10">
        <f t="shared" si="7"/>
        <v>19997139</v>
      </c>
      <c r="Y540" s="10"/>
      <c r="Z540" s="10"/>
      <c r="AA540" s="10"/>
      <c r="AB540" s="4" t="s">
        <v>1794</v>
      </c>
      <c r="AC540" s="4" t="s">
        <v>1792</v>
      </c>
      <c r="AD540" s="4">
        <v>43298.0</v>
      </c>
      <c r="AE540" s="4">
        <v>2018.0</v>
      </c>
      <c r="AF540" s="4" t="s">
        <v>1793</v>
      </c>
      <c r="AG540" s="4" t="s">
        <v>770</v>
      </c>
      <c r="AH540" s="4" t="s">
        <v>289</v>
      </c>
      <c r="AI540" s="4" t="s">
        <v>32</v>
      </c>
      <c r="AJ540" s="4" t="s">
        <v>98</v>
      </c>
      <c r="AK540" s="4" t="s">
        <v>104</v>
      </c>
      <c r="AL540" s="4" t="s">
        <v>60</v>
      </c>
      <c r="AM540" s="4" t="s">
        <v>61</v>
      </c>
      <c r="AN540" s="4" t="s">
        <v>62</v>
      </c>
      <c r="AO540" s="4" t="s">
        <v>63</v>
      </c>
      <c r="AP540" s="4">
        <v>43299.0</v>
      </c>
      <c r="AQ540" s="4">
        <v>1125000.0</v>
      </c>
      <c r="AR540" s="4">
        <v>1814550.0</v>
      </c>
      <c r="AS540" s="4">
        <v>689550.0</v>
      </c>
      <c r="AT540" s="4">
        <v>38.0</v>
      </c>
      <c r="AU540" s="4">
        <v>6.89529E7</v>
      </c>
      <c r="AV540" s="4">
        <v>0.09</v>
      </c>
      <c r="AW540" s="4">
        <v>6205761.0</v>
      </c>
      <c r="AX540" s="4">
        <v>6.2747139E7</v>
      </c>
      <c r="AY540" s="4">
        <v>4.275E7</v>
      </c>
      <c r="AZ540" s="4">
        <v>1.9997139E7</v>
      </c>
    </row>
    <row r="541" ht="15.75" customHeight="1">
      <c r="A541" s="3" t="s">
        <v>1795</v>
      </c>
      <c r="B541" s="5">
        <v>43298.0</v>
      </c>
      <c r="C541" s="6">
        <f t="shared" si="1"/>
        <v>2018</v>
      </c>
      <c r="D541" s="7" t="s">
        <v>1068</v>
      </c>
      <c r="E541" s="7" t="s">
        <v>1069</v>
      </c>
      <c r="F541" s="7" t="s">
        <v>31</v>
      </c>
      <c r="G541" s="5" t="s">
        <v>91</v>
      </c>
      <c r="H541" s="7" t="s">
        <v>43</v>
      </c>
      <c r="I541" s="7" t="s">
        <v>34</v>
      </c>
      <c r="J541" s="7" t="s">
        <v>981</v>
      </c>
      <c r="K541" s="7" t="s">
        <v>36</v>
      </c>
      <c r="L541" s="7" t="s">
        <v>45</v>
      </c>
      <c r="M541" s="7" t="s">
        <v>38</v>
      </c>
      <c r="N541" s="5">
        <v>43299.0</v>
      </c>
      <c r="O541" s="8">
        <v>38850.0</v>
      </c>
      <c r="P541" s="8">
        <v>59700.0</v>
      </c>
      <c r="Q541" s="8">
        <f t="shared" si="2"/>
        <v>20850</v>
      </c>
      <c r="R541" s="8">
        <v>2.0</v>
      </c>
      <c r="S541" s="8">
        <f t="shared" si="3"/>
        <v>119400</v>
      </c>
      <c r="T541" s="9">
        <v>0.04</v>
      </c>
      <c r="U541" s="8">
        <f t="shared" si="4"/>
        <v>4776</v>
      </c>
      <c r="V541" s="8">
        <f t="shared" si="5"/>
        <v>114624</v>
      </c>
      <c r="W541" s="10">
        <f t="shared" si="6"/>
        <v>77700</v>
      </c>
      <c r="X541" s="10">
        <f t="shared" si="7"/>
        <v>36924</v>
      </c>
      <c r="Y541" s="10"/>
      <c r="Z541" s="10"/>
      <c r="AA541" s="10"/>
      <c r="AB541" s="4" t="s">
        <v>1796</v>
      </c>
      <c r="AC541" s="4" t="s">
        <v>1795</v>
      </c>
      <c r="AD541" s="4">
        <v>43298.0</v>
      </c>
      <c r="AE541" s="4">
        <v>2018.0</v>
      </c>
      <c r="AF541" s="4" t="s">
        <v>1068</v>
      </c>
      <c r="AG541" s="4" t="s">
        <v>1069</v>
      </c>
      <c r="AH541" s="4" t="s">
        <v>31</v>
      </c>
      <c r="AI541" s="4" t="s">
        <v>91</v>
      </c>
      <c r="AJ541" s="4" t="s">
        <v>43</v>
      </c>
      <c r="AK541" s="4" t="s">
        <v>34</v>
      </c>
      <c r="AL541" s="4" t="s">
        <v>981</v>
      </c>
      <c r="AM541" s="4" t="s">
        <v>36</v>
      </c>
      <c r="AN541" s="4" t="s">
        <v>45</v>
      </c>
      <c r="AO541" s="4" t="s">
        <v>38</v>
      </c>
      <c r="AP541" s="4">
        <v>43299.0</v>
      </c>
      <c r="AQ541" s="4">
        <v>38850.0</v>
      </c>
      <c r="AR541" s="4">
        <v>59700.0</v>
      </c>
      <c r="AS541" s="4">
        <v>20850.0</v>
      </c>
      <c r="AT541" s="4">
        <v>2.0</v>
      </c>
      <c r="AU541" s="4">
        <v>119400.0</v>
      </c>
      <c r="AV541" s="4">
        <v>0.04</v>
      </c>
      <c r="AW541" s="4">
        <v>4776.0</v>
      </c>
      <c r="AX541" s="4">
        <v>114624.0</v>
      </c>
      <c r="AY541" s="4">
        <v>77700.0</v>
      </c>
      <c r="AZ541" s="4">
        <v>36924.0</v>
      </c>
    </row>
    <row r="542" ht="15.75" customHeight="1">
      <c r="A542" s="3" t="s">
        <v>1797</v>
      </c>
      <c r="B542" s="5">
        <v>43302.0</v>
      </c>
      <c r="C542" s="6">
        <f t="shared" si="1"/>
        <v>2018</v>
      </c>
      <c r="D542" s="7" t="s">
        <v>616</v>
      </c>
      <c r="E542" s="7" t="s">
        <v>617</v>
      </c>
      <c r="F542" s="7" t="s">
        <v>289</v>
      </c>
      <c r="G542" s="5" t="s">
        <v>32</v>
      </c>
      <c r="H542" s="7" t="s">
        <v>360</v>
      </c>
      <c r="I542" s="7" t="s">
        <v>53</v>
      </c>
      <c r="J542" s="7" t="s">
        <v>787</v>
      </c>
      <c r="K542" s="7" t="s">
        <v>36</v>
      </c>
      <c r="L542" s="7" t="s">
        <v>37</v>
      </c>
      <c r="M542" s="7" t="s">
        <v>38</v>
      </c>
      <c r="N542" s="5">
        <v>43303.0</v>
      </c>
      <c r="O542" s="8">
        <v>50550.0</v>
      </c>
      <c r="P542" s="8">
        <v>82950.0</v>
      </c>
      <c r="Q542" s="8">
        <f t="shared" si="2"/>
        <v>32400</v>
      </c>
      <c r="R542" s="8">
        <v>9.0</v>
      </c>
      <c r="S542" s="8">
        <f t="shared" si="3"/>
        <v>746550</v>
      </c>
      <c r="T542" s="9">
        <v>0.09</v>
      </c>
      <c r="U542" s="8">
        <f t="shared" si="4"/>
        <v>67189.5</v>
      </c>
      <c r="V542" s="8">
        <f t="shared" si="5"/>
        <v>679360.5</v>
      </c>
      <c r="W542" s="10">
        <f t="shared" si="6"/>
        <v>454950</v>
      </c>
      <c r="X542" s="10">
        <f t="shared" si="7"/>
        <v>224410.5</v>
      </c>
      <c r="Y542" s="10"/>
      <c r="Z542" s="10"/>
      <c r="AA542" s="10"/>
      <c r="AB542" s="4" t="s">
        <v>1798</v>
      </c>
      <c r="AC542" s="4" t="s">
        <v>1797</v>
      </c>
      <c r="AD542" s="4">
        <v>43302.0</v>
      </c>
      <c r="AE542" s="4">
        <v>2018.0</v>
      </c>
      <c r="AF542" s="4" t="s">
        <v>616</v>
      </c>
      <c r="AG542" s="4" t="s">
        <v>617</v>
      </c>
      <c r="AH542" s="4" t="s">
        <v>289</v>
      </c>
      <c r="AI542" s="4" t="s">
        <v>32</v>
      </c>
      <c r="AJ542" s="4" t="s">
        <v>360</v>
      </c>
      <c r="AK542" s="4" t="s">
        <v>53</v>
      </c>
      <c r="AL542" s="4" t="s">
        <v>787</v>
      </c>
      <c r="AM542" s="4" t="s">
        <v>36</v>
      </c>
      <c r="AN542" s="4" t="s">
        <v>37</v>
      </c>
      <c r="AO542" s="4" t="s">
        <v>38</v>
      </c>
      <c r="AP542" s="4">
        <v>43303.0</v>
      </c>
      <c r="AQ542" s="4">
        <v>50550.0</v>
      </c>
      <c r="AR542" s="4">
        <v>82950.0</v>
      </c>
      <c r="AS542" s="4">
        <v>32400.0</v>
      </c>
      <c r="AT542" s="4">
        <v>9.0</v>
      </c>
      <c r="AU542" s="4">
        <v>746550.0</v>
      </c>
      <c r="AV542" s="4">
        <v>0.09</v>
      </c>
      <c r="AW542" s="4">
        <v>67189.5</v>
      </c>
      <c r="AX542" s="4">
        <v>679360.5</v>
      </c>
      <c r="AY542" s="4">
        <v>454950.0</v>
      </c>
      <c r="AZ542" s="4">
        <v>224410.5</v>
      </c>
    </row>
    <row r="543" ht="15.75" customHeight="1">
      <c r="A543" s="3" t="s">
        <v>1799</v>
      </c>
      <c r="B543" s="5">
        <v>43302.0</v>
      </c>
      <c r="C543" s="6">
        <f t="shared" si="1"/>
        <v>2018</v>
      </c>
      <c r="D543" s="7" t="s">
        <v>1800</v>
      </c>
      <c r="E543" s="7" t="s">
        <v>1243</v>
      </c>
      <c r="F543" s="7" t="s">
        <v>50</v>
      </c>
      <c r="G543" s="5" t="s">
        <v>91</v>
      </c>
      <c r="H543" s="7" t="s">
        <v>80</v>
      </c>
      <c r="I543" s="7" t="s">
        <v>92</v>
      </c>
      <c r="J543" s="7" t="s">
        <v>335</v>
      </c>
      <c r="K543" s="7" t="s">
        <v>36</v>
      </c>
      <c r="L543" s="7" t="s">
        <v>45</v>
      </c>
      <c r="M543" s="7" t="s">
        <v>38</v>
      </c>
      <c r="N543" s="5">
        <v>43303.0</v>
      </c>
      <c r="O543" s="8">
        <v>52200.0</v>
      </c>
      <c r="P543" s="8">
        <v>81450.0</v>
      </c>
      <c r="Q543" s="8">
        <f t="shared" si="2"/>
        <v>29250</v>
      </c>
      <c r="R543" s="8">
        <v>13.0</v>
      </c>
      <c r="S543" s="8">
        <f t="shared" si="3"/>
        <v>1058850</v>
      </c>
      <c r="T543" s="9">
        <v>0.02</v>
      </c>
      <c r="U543" s="8">
        <f t="shared" si="4"/>
        <v>21177</v>
      </c>
      <c r="V543" s="8">
        <f t="shared" si="5"/>
        <v>1037673</v>
      </c>
      <c r="W543" s="10">
        <f t="shared" si="6"/>
        <v>678600</v>
      </c>
      <c r="X543" s="10">
        <f t="shared" si="7"/>
        <v>359073</v>
      </c>
      <c r="Y543" s="10"/>
      <c r="Z543" s="10"/>
      <c r="AA543" s="10"/>
      <c r="AB543" s="4" t="s">
        <v>1801</v>
      </c>
      <c r="AC543" s="4" t="s">
        <v>1799</v>
      </c>
      <c r="AD543" s="4">
        <v>43302.0</v>
      </c>
      <c r="AE543" s="4">
        <v>2018.0</v>
      </c>
      <c r="AF543" s="4" t="s">
        <v>1800</v>
      </c>
      <c r="AG543" s="4" t="s">
        <v>1243</v>
      </c>
      <c r="AH543" s="4" t="s">
        <v>50</v>
      </c>
      <c r="AI543" s="4" t="s">
        <v>91</v>
      </c>
      <c r="AJ543" s="4" t="s">
        <v>80</v>
      </c>
      <c r="AK543" s="4" t="s">
        <v>92</v>
      </c>
      <c r="AL543" s="4" t="s">
        <v>335</v>
      </c>
      <c r="AM543" s="4" t="s">
        <v>36</v>
      </c>
      <c r="AN543" s="4" t="s">
        <v>45</v>
      </c>
      <c r="AO543" s="4" t="s">
        <v>38</v>
      </c>
      <c r="AP543" s="4">
        <v>43303.0</v>
      </c>
      <c r="AQ543" s="4">
        <v>52200.0</v>
      </c>
      <c r="AR543" s="4">
        <v>81450.0</v>
      </c>
      <c r="AS543" s="4">
        <v>29250.0</v>
      </c>
      <c r="AT543" s="4">
        <v>13.0</v>
      </c>
      <c r="AU543" s="4">
        <v>1058850.0</v>
      </c>
      <c r="AV543" s="4">
        <v>0.02</v>
      </c>
      <c r="AW543" s="4">
        <v>21177.0</v>
      </c>
      <c r="AX543" s="4">
        <v>1037673.0</v>
      </c>
      <c r="AY543" s="4">
        <v>678600.0</v>
      </c>
      <c r="AZ543" s="4">
        <v>359073.0</v>
      </c>
    </row>
    <row r="544" ht="15.75" customHeight="1">
      <c r="A544" s="3" t="s">
        <v>1802</v>
      </c>
      <c r="B544" s="5">
        <v>43304.0</v>
      </c>
      <c r="C544" s="6">
        <f t="shared" si="1"/>
        <v>2018</v>
      </c>
      <c r="D544" s="7" t="s">
        <v>1803</v>
      </c>
      <c r="E544" s="7" t="s">
        <v>456</v>
      </c>
      <c r="F544" s="7" t="s">
        <v>50</v>
      </c>
      <c r="G544" s="5" t="s">
        <v>68</v>
      </c>
      <c r="H544" s="7" t="s">
        <v>200</v>
      </c>
      <c r="I544" s="7" t="s">
        <v>34</v>
      </c>
      <c r="J544" s="7" t="s">
        <v>1804</v>
      </c>
      <c r="K544" s="7" t="s">
        <v>36</v>
      </c>
      <c r="L544" s="7" t="s">
        <v>37</v>
      </c>
      <c r="M544" s="7" t="s">
        <v>38</v>
      </c>
      <c r="N544" s="5">
        <v>43307.0</v>
      </c>
      <c r="O544" s="8">
        <v>52950.0</v>
      </c>
      <c r="P544" s="8">
        <v>129299.99999999999</v>
      </c>
      <c r="Q544" s="8">
        <f t="shared" si="2"/>
        <v>76350</v>
      </c>
      <c r="R544" s="8">
        <v>50.0</v>
      </c>
      <c r="S544" s="8">
        <f t="shared" si="3"/>
        <v>6465000</v>
      </c>
      <c r="T544" s="9">
        <v>0.07</v>
      </c>
      <c r="U544" s="8">
        <f t="shared" si="4"/>
        <v>452550</v>
      </c>
      <c r="V544" s="8">
        <f t="shared" si="5"/>
        <v>6012450</v>
      </c>
      <c r="W544" s="10">
        <f t="shared" si="6"/>
        <v>2647500</v>
      </c>
      <c r="X544" s="10">
        <f t="shared" si="7"/>
        <v>3364950</v>
      </c>
      <c r="Y544" s="10"/>
      <c r="Z544" s="10"/>
      <c r="AA544" s="10"/>
      <c r="AB544" s="4" t="s">
        <v>1805</v>
      </c>
      <c r="AC544" s="4" t="s">
        <v>1802</v>
      </c>
      <c r="AD544" s="4">
        <v>43304.0</v>
      </c>
      <c r="AE544" s="4">
        <v>2018.0</v>
      </c>
      <c r="AF544" s="4" t="s">
        <v>1803</v>
      </c>
      <c r="AG544" s="4" t="s">
        <v>456</v>
      </c>
      <c r="AH544" s="4" t="s">
        <v>50</v>
      </c>
      <c r="AI544" s="4" t="s">
        <v>68</v>
      </c>
      <c r="AJ544" s="4" t="s">
        <v>200</v>
      </c>
      <c r="AK544" s="4" t="s">
        <v>34</v>
      </c>
      <c r="AL544" s="4" t="s">
        <v>1804</v>
      </c>
      <c r="AM544" s="4" t="s">
        <v>36</v>
      </c>
      <c r="AN544" s="4" t="s">
        <v>37</v>
      </c>
      <c r="AO544" s="4" t="s">
        <v>38</v>
      </c>
      <c r="AP544" s="4">
        <v>43307.0</v>
      </c>
      <c r="AQ544" s="4">
        <v>52950.0</v>
      </c>
      <c r="AR544" s="4">
        <v>129300.0</v>
      </c>
      <c r="AS544" s="4">
        <v>76350.0</v>
      </c>
      <c r="AT544" s="4">
        <v>50.0</v>
      </c>
      <c r="AU544" s="4">
        <v>6465000.0</v>
      </c>
      <c r="AV544" s="4">
        <v>0.07</v>
      </c>
      <c r="AW544" s="4">
        <v>452550.0</v>
      </c>
      <c r="AX544" s="4">
        <v>6012450.0</v>
      </c>
      <c r="AY544" s="4">
        <v>2647500.0</v>
      </c>
      <c r="AZ544" s="4">
        <v>3364950.0</v>
      </c>
    </row>
    <row r="545" ht="15.75" customHeight="1">
      <c r="A545" s="3" t="s">
        <v>1806</v>
      </c>
      <c r="B545" s="5">
        <v>43304.0</v>
      </c>
      <c r="C545" s="6">
        <f t="shared" si="1"/>
        <v>2018</v>
      </c>
      <c r="D545" s="7" t="s">
        <v>1807</v>
      </c>
      <c r="E545" s="7" t="s">
        <v>795</v>
      </c>
      <c r="F545" s="7" t="s">
        <v>50</v>
      </c>
      <c r="G545" s="5" t="s">
        <v>51</v>
      </c>
      <c r="H545" s="7" t="s">
        <v>344</v>
      </c>
      <c r="I545" s="7" t="s">
        <v>53</v>
      </c>
      <c r="J545" s="7" t="s">
        <v>533</v>
      </c>
      <c r="K545" s="7" t="s">
        <v>36</v>
      </c>
      <c r="L545" s="7" t="s">
        <v>45</v>
      </c>
      <c r="M545" s="7" t="s">
        <v>38</v>
      </c>
      <c r="N545" s="5">
        <v>43305.0</v>
      </c>
      <c r="O545" s="8">
        <v>22950.0</v>
      </c>
      <c r="P545" s="8">
        <v>41700.0</v>
      </c>
      <c r="Q545" s="8">
        <f t="shared" si="2"/>
        <v>18750</v>
      </c>
      <c r="R545" s="8">
        <v>19.0</v>
      </c>
      <c r="S545" s="8">
        <f t="shared" si="3"/>
        <v>792300</v>
      </c>
      <c r="T545" s="9">
        <v>0.06</v>
      </c>
      <c r="U545" s="8">
        <f t="shared" si="4"/>
        <v>47538</v>
      </c>
      <c r="V545" s="8">
        <f t="shared" si="5"/>
        <v>744762</v>
      </c>
      <c r="W545" s="10">
        <f t="shared" si="6"/>
        <v>436050</v>
      </c>
      <c r="X545" s="10">
        <f t="shared" si="7"/>
        <v>308712</v>
      </c>
      <c r="Y545" s="10"/>
      <c r="Z545" s="10"/>
      <c r="AA545" s="10"/>
      <c r="AB545" s="4" t="s">
        <v>1808</v>
      </c>
      <c r="AC545" s="4" t="s">
        <v>1806</v>
      </c>
      <c r="AD545" s="4">
        <v>43304.0</v>
      </c>
      <c r="AE545" s="4">
        <v>2018.0</v>
      </c>
      <c r="AF545" s="4" t="s">
        <v>1807</v>
      </c>
      <c r="AG545" s="4" t="s">
        <v>795</v>
      </c>
      <c r="AH545" s="4" t="s">
        <v>50</v>
      </c>
      <c r="AI545" s="4" t="s">
        <v>51</v>
      </c>
      <c r="AJ545" s="4" t="s">
        <v>344</v>
      </c>
      <c r="AK545" s="4" t="s">
        <v>53</v>
      </c>
      <c r="AL545" s="4" t="s">
        <v>533</v>
      </c>
      <c r="AM545" s="4" t="s">
        <v>36</v>
      </c>
      <c r="AN545" s="4" t="s">
        <v>45</v>
      </c>
      <c r="AO545" s="4" t="s">
        <v>38</v>
      </c>
      <c r="AP545" s="4">
        <v>43305.0</v>
      </c>
      <c r="AQ545" s="4">
        <v>22950.0</v>
      </c>
      <c r="AR545" s="4">
        <v>41700.0</v>
      </c>
      <c r="AS545" s="4">
        <v>18750.0</v>
      </c>
      <c r="AT545" s="4">
        <v>19.0</v>
      </c>
      <c r="AU545" s="4">
        <v>792300.0</v>
      </c>
      <c r="AV545" s="4">
        <v>0.06</v>
      </c>
      <c r="AW545" s="4">
        <v>47538.0</v>
      </c>
      <c r="AX545" s="4">
        <v>744762.0</v>
      </c>
      <c r="AY545" s="4">
        <v>436050.0</v>
      </c>
      <c r="AZ545" s="4">
        <v>308712.0</v>
      </c>
    </row>
    <row r="546" ht="15.75" customHeight="1">
      <c r="A546" s="3" t="s">
        <v>1809</v>
      </c>
      <c r="B546" s="5">
        <v>43305.0</v>
      </c>
      <c r="C546" s="6">
        <f t="shared" si="1"/>
        <v>2018</v>
      </c>
      <c r="D546" s="7" t="s">
        <v>321</v>
      </c>
      <c r="E546" s="7" t="s">
        <v>1750</v>
      </c>
      <c r="F546" s="7" t="s">
        <v>289</v>
      </c>
      <c r="G546" s="5" t="s">
        <v>91</v>
      </c>
      <c r="H546" s="7" t="s">
        <v>200</v>
      </c>
      <c r="I546" s="7" t="s">
        <v>104</v>
      </c>
      <c r="J546" s="7" t="s">
        <v>204</v>
      </c>
      <c r="K546" s="7" t="s">
        <v>61</v>
      </c>
      <c r="L546" s="7" t="s">
        <v>37</v>
      </c>
      <c r="M546" s="7" t="s">
        <v>38</v>
      </c>
      <c r="N546" s="5">
        <v>43306.0</v>
      </c>
      <c r="O546" s="8">
        <v>151050.0</v>
      </c>
      <c r="P546" s="8">
        <v>239700.0</v>
      </c>
      <c r="Q546" s="8">
        <f t="shared" si="2"/>
        <v>88650</v>
      </c>
      <c r="R546" s="8">
        <v>40.0</v>
      </c>
      <c r="S546" s="8">
        <f t="shared" si="3"/>
        <v>9588000</v>
      </c>
      <c r="T546" s="9">
        <v>0.01</v>
      </c>
      <c r="U546" s="8">
        <f t="shared" si="4"/>
        <v>95880</v>
      </c>
      <c r="V546" s="8">
        <f t="shared" si="5"/>
        <v>9492120</v>
      </c>
      <c r="W546" s="10">
        <f t="shared" si="6"/>
        <v>6042000</v>
      </c>
      <c r="X546" s="10">
        <f t="shared" si="7"/>
        <v>3450120</v>
      </c>
      <c r="Y546" s="10"/>
      <c r="Z546" s="10"/>
      <c r="AA546" s="10"/>
      <c r="AB546" s="4" t="s">
        <v>1810</v>
      </c>
      <c r="AC546" s="4" t="s">
        <v>1809</v>
      </c>
      <c r="AD546" s="4">
        <v>43305.0</v>
      </c>
      <c r="AE546" s="4">
        <v>2018.0</v>
      </c>
      <c r="AF546" s="4" t="s">
        <v>321</v>
      </c>
      <c r="AG546" s="4" t="s">
        <v>1750</v>
      </c>
      <c r="AH546" s="4" t="s">
        <v>289</v>
      </c>
      <c r="AI546" s="4" t="s">
        <v>91</v>
      </c>
      <c r="AJ546" s="4" t="s">
        <v>200</v>
      </c>
      <c r="AK546" s="4" t="s">
        <v>104</v>
      </c>
      <c r="AL546" s="4" t="s">
        <v>204</v>
      </c>
      <c r="AM546" s="4" t="s">
        <v>61</v>
      </c>
      <c r="AN546" s="4" t="s">
        <v>37</v>
      </c>
      <c r="AO546" s="4" t="s">
        <v>38</v>
      </c>
      <c r="AP546" s="4">
        <v>43306.0</v>
      </c>
      <c r="AQ546" s="4">
        <v>151050.0</v>
      </c>
      <c r="AR546" s="4">
        <v>239700.0</v>
      </c>
      <c r="AS546" s="4">
        <v>88650.0</v>
      </c>
      <c r="AT546" s="4">
        <v>40.0</v>
      </c>
      <c r="AU546" s="4">
        <v>9588000.0</v>
      </c>
      <c r="AV546" s="4">
        <v>0.01</v>
      </c>
      <c r="AW546" s="4">
        <v>95880.0</v>
      </c>
      <c r="AX546" s="4">
        <v>9492120.0</v>
      </c>
      <c r="AY546" s="4">
        <v>6042000.0</v>
      </c>
      <c r="AZ546" s="4">
        <v>3450120.0</v>
      </c>
    </row>
    <row r="547" ht="15.75" customHeight="1">
      <c r="A547" s="3" t="s">
        <v>1811</v>
      </c>
      <c r="B547" s="5">
        <v>43307.0</v>
      </c>
      <c r="C547" s="6">
        <f t="shared" si="1"/>
        <v>2018</v>
      </c>
      <c r="D547" s="7" t="s">
        <v>1812</v>
      </c>
      <c r="E547" s="7" t="s">
        <v>1813</v>
      </c>
      <c r="F547" s="7" t="s">
        <v>50</v>
      </c>
      <c r="G547" s="5" t="s">
        <v>51</v>
      </c>
      <c r="H547" s="7" t="s">
        <v>110</v>
      </c>
      <c r="I547" s="7" t="s">
        <v>34</v>
      </c>
      <c r="J547" s="7" t="s">
        <v>998</v>
      </c>
      <c r="K547" s="7" t="s">
        <v>36</v>
      </c>
      <c r="L547" s="7" t="s">
        <v>45</v>
      </c>
      <c r="M547" s="7" t="s">
        <v>38</v>
      </c>
      <c r="N547" s="5">
        <v>43308.0</v>
      </c>
      <c r="O547" s="8">
        <v>32400.000000000004</v>
      </c>
      <c r="P547" s="8">
        <v>57750.0</v>
      </c>
      <c r="Q547" s="8">
        <f t="shared" si="2"/>
        <v>25350</v>
      </c>
      <c r="R547" s="8">
        <v>42.0</v>
      </c>
      <c r="S547" s="8">
        <f t="shared" si="3"/>
        <v>2425500</v>
      </c>
      <c r="T547" s="9">
        <v>0.01</v>
      </c>
      <c r="U547" s="8">
        <f t="shared" si="4"/>
        <v>24255</v>
      </c>
      <c r="V547" s="8">
        <f t="shared" si="5"/>
        <v>2401245</v>
      </c>
      <c r="W547" s="10">
        <f t="shared" si="6"/>
        <v>1360800</v>
      </c>
      <c r="X547" s="10">
        <f t="shared" si="7"/>
        <v>1040445</v>
      </c>
      <c r="Y547" s="10"/>
      <c r="Z547" s="10"/>
      <c r="AA547" s="10"/>
      <c r="AB547" s="4" t="s">
        <v>1814</v>
      </c>
      <c r="AC547" s="4" t="s">
        <v>1811</v>
      </c>
      <c r="AD547" s="4">
        <v>43307.0</v>
      </c>
      <c r="AE547" s="4">
        <v>2018.0</v>
      </c>
      <c r="AF547" s="4" t="s">
        <v>1812</v>
      </c>
      <c r="AG547" s="4" t="s">
        <v>1813</v>
      </c>
      <c r="AH547" s="4" t="s">
        <v>50</v>
      </c>
      <c r="AI547" s="4" t="s">
        <v>51</v>
      </c>
      <c r="AJ547" s="4" t="s">
        <v>110</v>
      </c>
      <c r="AK547" s="4" t="s">
        <v>34</v>
      </c>
      <c r="AL547" s="4" t="s">
        <v>998</v>
      </c>
      <c r="AM547" s="4" t="s">
        <v>36</v>
      </c>
      <c r="AN547" s="4" t="s">
        <v>45</v>
      </c>
      <c r="AO547" s="4" t="s">
        <v>38</v>
      </c>
      <c r="AP547" s="4">
        <v>43308.0</v>
      </c>
      <c r="AQ547" s="4">
        <v>32400.0</v>
      </c>
      <c r="AR547" s="4">
        <v>57750.0</v>
      </c>
      <c r="AS547" s="4">
        <v>25350.0</v>
      </c>
      <c r="AT547" s="4">
        <v>42.0</v>
      </c>
      <c r="AU547" s="4">
        <v>2425500.0</v>
      </c>
      <c r="AV547" s="4">
        <v>0.01</v>
      </c>
      <c r="AW547" s="4">
        <v>24255.0</v>
      </c>
      <c r="AX547" s="4">
        <v>2401245.0</v>
      </c>
      <c r="AY547" s="4">
        <v>1360800.0</v>
      </c>
      <c r="AZ547" s="4">
        <v>1040445.0</v>
      </c>
    </row>
    <row r="548" ht="15.75" customHeight="1">
      <c r="A548" s="3" t="s">
        <v>1815</v>
      </c>
      <c r="B548" s="5">
        <v>43312.0</v>
      </c>
      <c r="C548" s="6">
        <f t="shared" si="1"/>
        <v>2018</v>
      </c>
      <c r="D548" s="7" t="s">
        <v>1303</v>
      </c>
      <c r="E548" s="7" t="s">
        <v>194</v>
      </c>
      <c r="F548" s="7" t="s">
        <v>31</v>
      </c>
      <c r="G548" s="5" t="s">
        <v>51</v>
      </c>
      <c r="H548" s="7" t="s">
        <v>33</v>
      </c>
      <c r="I548" s="7" t="s">
        <v>104</v>
      </c>
      <c r="J548" s="7" t="s">
        <v>787</v>
      </c>
      <c r="K548" s="7" t="s">
        <v>36</v>
      </c>
      <c r="L548" s="7" t="s">
        <v>37</v>
      </c>
      <c r="M548" s="7" t="s">
        <v>38</v>
      </c>
      <c r="N548" s="5">
        <v>43313.0</v>
      </c>
      <c r="O548" s="8">
        <v>50550.0</v>
      </c>
      <c r="P548" s="8">
        <v>82950.0</v>
      </c>
      <c r="Q548" s="8">
        <f t="shared" si="2"/>
        <v>32400</v>
      </c>
      <c r="R548" s="8">
        <v>30.0</v>
      </c>
      <c r="S548" s="8">
        <f t="shared" si="3"/>
        <v>2488500</v>
      </c>
      <c r="T548" s="9">
        <v>0.01</v>
      </c>
      <c r="U548" s="8">
        <f t="shared" si="4"/>
        <v>24885</v>
      </c>
      <c r="V548" s="8">
        <f t="shared" si="5"/>
        <v>2463615</v>
      </c>
      <c r="W548" s="10">
        <f t="shared" si="6"/>
        <v>1516500</v>
      </c>
      <c r="X548" s="10">
        <f t="shared" si="7"/>
        <v>947115</v>
      </c>
      <c r="Y548" s="10"/>
      <c r="Z548" s="10"/>
      <c r="AA548" s="10"/>
      <c r="AB548" s="4" t="s">
        <v>1816</v>
      </c>
      <c r="AC548" s="4" t="s">
        <v>1815</v>
      </c>
      <c r="AD548" s="4">
        <v>43312.0</v>
      </c>
      <c r="AE548" s="4">
        <v>2018.0</v>
      </c>
      <c r="AF548" s="4" t="s">
        <v>1303</v>
      </c>
      <c r="AG548" s="4" t="s">
        <v>194</v>
      </c>
      <c r="AH548" s="4" t="s">
        <v>31</v>
      </c>
      <c r="AI548" s="4" t="s">
        <v>51</v>
      </c>
      <c r="AJ548" s="4" t="s">
        <v>33</v>
      </c>
      <c r="AK548" s="4" t="s">
        <v>104</v>
      </c>
      <c r="AL548" s="4" t="s">
        <v>787</v>
      </c>
      <c r="AM548" s="4" t="s">
        <v>36</v>
      </c>
      <c r="AN548" s="4" t="s">
        <v>37</v>
      </c>
      <c r="AO548" s="4" t="s">
        <v>38</v>
      </c>
      <c r="AP548" s="4">
        <v>43313.0</v>
      </c>
      <c r="AQ548" s="4">
        <v>50550.0</v>
      </c>
      <c r="AR548" s="4">
        <v>82950.0</v>
      </c>
      <c r="AS548" s="4">
        <v>32400.0</v>
      </c>
      <c r="AT548" s="4">
        <v>30.0</v>
      </c>
      <c r="AU548" s="4">
        <v>2488500.0</v>
      </c>
      <c r="AV548" s="4">
        <v>0.01</v>
      </c>
      <c r="AW548" s="4">
        <v>24885.0</v>
      </c>
      <c r="AX548" s="4">
        <v>2463615.0</v>
      </c>
      <c r="AY548" s="4">
        <v>1516500.0</v>
      </c>
      <c r="AZ548" s="4">
        <v>947115.0</v>
      </c>
    </row>
    <row r="549" ht="15.75" customHeight="1">
      <c r="A549" s="3" t="s">
        <v>1817</v>
      </c>
      <c r="B549" s="5">
        <v>43312.0</v>
      </c>
      <c r="C549" s="6">
        <f t="shared" si="1"/>
        <v>2018</v>
      </c>
      <c r="D549" s="7" t="s">
        <v>1185</v>
      </c>
      <c r="E549" s="7" t="s">
        <v>1186</v>
      </c>
      <c r="F549" s="7" t="s">
        <v>31</v>
      </c>
      <c r="G549" s="5" t="s">
        <v>51</v>
      </c>
      <c r="H549" s="7" t="s">
        <v>43</v>
      </c>
      <c r="I549" s="7" t="s">
        <v>104</v>
      </c>
      <c r="J549" s="7" t="s">
        <v>787</v>
      </c>
      <c r="K549" s="7" t="s">
        <v>36</v>
      </c>
      <c r="L549" s="7" t="s">
        <v>37</v>
      </c>
      <c r="M549" s="7" t="s">
        <v>38</v>
      </c>
      <c r="N549" s="5">
        <v>43313.0</v>
      </c>
      <c r="O549" s="8">
        <v>50550.0</v>
      </c>
      <c r="P549" s="8">
        <v>82950.0</v>
      </c>
      <c r="Q549" s="8">
        <f t="shared" si="2"/>
        <v>32400</v>
      </c>
      <c r="R549" s="8">
        <v>27.0</v>
      </c>
      <c r="S549" s="8">
        <f t="shared" si="3"/>
        <v>2239650</v>
      </c>
      <c r="T549" s="9">
        <v>0.04</v>
      </c>
      <c r="U549" s="8">
        <f t="shared" si="4"/>
        <v>89586</v>
      </c>
      <c r="V549" s="8">
        <f t="shared" si="5"/>
        <v>2150064</v>
      </c>
      <c r="W549" s="10">
        <f t="shared" si="6"/>
        <v>1364850</v>
      </c>
      <c r="X549" s="10">
        <f t="shared" si="7"/>
        <v>785214</v>
      </c>
      <c r="Y549" s="10"/>
      <c r="Z549" s="10"/>
      <c r="AA549" s="10"/>
      <c r="AB549" s="4" t="s">
        <v>1818</v>
      </c>
      <c r="AC549" s="4" t="s">
        <v>1817</v>
      </c>
      <c r="AD549" s="4">
        <v>43312.0</v>
      </c>
      <c r="AE549" s="4">
        <v>2018.0</v>
      </c>
      <c r="AF549" s="4" t="s">
        <v>1185</v>
      </c>
      <c r="AG549" s="4" t="s">
        <v>1186</v>
      </c>
      <c r="AH549" s="4" t="s">
        <v>31</v>
      </c>
      <c r="AI549" s="4" t="s">
        <v>51</v>
      </c>
      <c r="AJ549" s="4" t="s">
        <v>43</v>
      </c>
      <c r="AK549" s="4" t="s">
        <v>104</v>
      </c>
      <c r="AL549" s="4" t="s">
        <v>787</v>
      </c>
      <c r="AM549" s="4" t="s">
        <v>36</v>
      </c>
      <c r="AN549" s="4" t="s">
        <v>37</v>
      </c>
      <c r="AO549" s="4" t="s">
        <v>38</v>
      </c>
      <c r="AP549" s="4">
        <v>43313.0</v>
      </c>
      <c r="AQ549" s="4">
        <v>50550.0</v>
      </c>
      <c r="AR549" s="4">
        <v>82950.0</v>
      </c>
      <c r="AS549" s="4">
        <v>32400.0</v>
      </c>
      <c r="AT549" s="4">
        <v>27.0</v>
      </c>
      <c r="AU549" s="4">
        <v>2239650.0</v>
      </c>
      <c r="AV549" s="4">
        <v>0.04</v>
      </c>
      <c r="AW549" s="4">
        <v>89586.0</v>
      </c>
      <c r="AX549" s="4">
        <v>2150064.0</v>
      </c>
      <c r="AY549" s="4">
        <v>1364850.0</v>
      </c>
      <c r="AZ549" s="4">
        <v>785214.0</v>
      </c>
    </row>
    <row r="550" ht="15.75" customHeight="1">
      <c r="A550" s="3" t="s">
        <v>1819</v>
      </c>
      <c r="B550" s="5">
        <v>43312.0</v>
      </c>
      <c r="C550" s="6">
        <f t="shared" si="1"/>
        <v>2018</v>
      </c>
      <c r="D550" s="7" t="s">
        <v>1820</v>
      </c>
      <c r="E550" s="7" t="s">
        <v>1821</v>
      </c>
      <c r="F550" s="7" t="s">
        <v>50</v>
      </c>
      <c r="G550" s="5" t="s">
        <v>91</v>
      </c>
      <c r="H550" s="7" t="s">
        <v>344</v>
      </c>
      <c r="I550" s="7" t="s">
        <v>104</v>
      </c>
      <c r="J550" s="7" t="s">
        <v>563</v>
      </c>
      <c r="K550" s="7" t="s">
        <v>36</v>
      </c>
      <c r="L550" s="7" t="s">
        <v>37</v>
      </c>
      <c r="M550" s="7" t="s">
        <v>38</v>
      </c>
      <c r="N550" s="5">
        <v>43312.0</v>
      </c>
      <c r="O550" s="8">
        <v>52500.0</v>
      </c>
      <c r="P550" s="8">
        <v>86100.0</v>
      </c>
      <c r="Q550" s="8">
        <f t="shared" si="2"/>
        <v>33600</v>
      </c>
      <c r="R550" s="8">
        <v>23.0</v>
      </c>
      <c r="S550" s="8">
        <f t="shared" si="3"/>
        <v>1980300</v>
      </c>
      <c r="T550" s="9">
        <v>0.06</v>
      </c>
      <c r="U550" s="8">
        <f t="shared" si="4"/>
        <v>118818</v>
      </c>
      <c r="V550" s="8">
        <f t="shared" si="5"/>
        <v>1861482</v>
      </c>
      <c r="W550" s="10">
        <f t="shared" si="6"/>
        <v>1207500</v>
      </c>
      <c r="X550" s="10">
        <f t="shared" si="7"/>
        <v>653982</v>
      </c>
      <c r="Y550" s="10"/>
      <c r="Z550" s="10"/>
      <c r="AA550" s="10"/>
      <c r="AB550" s="4" t="s">
        <v>1822</v>
      </c>
      <c r="AC550" s="4" t="s">
        <v>1819</v>
      </c>
      <c r="AD550" s="4">
        <v>43312.0</v>
      </c>
      <c r="AE550" s="4">
        <v>2018.0</v>
      </c>
      <c r="AF550" s="4" t="s">
        <v>1820</v>
      </c>
      <c r="AG550" s="4" t="s">
        <v>1821</v>
      </c>
      <c r="AH550" s="4" t="s">
        <v>50</v>
      </c>
      <c r="AI550" s="4" t="s">
        <v>91</v>
      </c>
      <c r="AJ550" s="4" t="s">
        <v>344</v>
      </c>
      <c r="AK550" s="4" t="s">
        <v>104</v>
      </c>
      <c r="AL550" s="4" t="s">
        <v>563</v>
      </c>
      <c r="AM550" s="4" t="s">
        <v>36</v>
      </c>
      <c r="AN550" s="4" t="s">
        <v>37</v>
      </c>
      <c r="AO550" s="4" t="s">
        <v>38</v>
      </c>
      <c r="AP550" s="4">
        <v>43312.0</v>
      </c>
      <c r="AQ550" s="4">
        <v>52500.0</v>
      </c>
      <c r="AR550" s="4">
        <v>86100.0</v>
      </c>
      <c r="AS550" s="4">
        <v>33600.0</v>
      </c>
      <c r="AT550" s="4">
        <v>23.0</v>
      </c>
      <c r="AU550" s="4">
        <v>1980300.0</v>
      </c>
      <c r="AV550" s="4">
        <v>0.06</v>
      </c>
      <c r="AW550" s="4">
        <v>118818.0</v>
      </c>
      <c r="AX550" s="4">
        <v>1861482.0</v>
      </c>
      <c r="AY550" s="4">
        <v>1207500.0</v>
      </c>
      <c r="AZ550" s="4">
        <v>653982.0</v>
      </c>
    </row>
    <row r="551" ht="15.75" customHeight="1">
      <c r="A551" s="3" t="s">
        <v>1823</v>
      </c>
      <c r="B551" s="5">
        <v>43313.0</v>
      </c>
      <c r="C551" s="6">
        <f t="shared" si="1"/>
        <v>2018</v>
      </c>
      <c r="D551" s="7" t="s">
        <v>287</v>
      </c>
      <c r="E551" s="7" t="s">
        <v>288</v>
      </c>
      <c r="F551" s="7" t="s">
        <v>289</v>
      </c>
      <c r="G551" s="5" t="s">
        <v>51</v>
      </c>
      <c r="H551" s="7" t="s">
        <v>140</v>
      </c>
      <c r="I551" s="7" t="s">
        <v>92</v>
      </c>
      <c r="J551" s="7" t="s">
        <v>190</v>
      </c>
      <c r="K551" s="7" t="s">
        <v>61</v>
      </c>
      <c r="L551" s="7" t="s">
        <v>37</v>
      </c>
      <c r="M551" s="7" t="s">
        <v>55</v>
      </c>
      <c r="N551" s="5">
        <v>43313.0</v>
      </c>
      <c r="O551" s="8">
        <v>95850.0</v>
      </c>
      <c r="P551" s="8">
        <v>299700.0</v>
      </c>
      <c r="Q551" s="8">
        <f t="shared" si="2"/>
        <v>203850</v>
      </c>
      <c r="R551" s="8">
        <v>6.0</v>
      </c>
      <c r="S551" s="8">
        <f t="shared" si="3"/>
        <v>1798200</v>
      </c>
      <c r="T551" s="9">
        <v>0.08</v>
      </c>
      <c r="U551" s="8">
        <f t="shared" si="4"/>
        <v>143856</v>
      </c>
      <c r="V551" s="8">
        <f t="shared" si="5"/>
        <v>1654344</v>
      </c>
      <c r="W551" s="10">
        <f t="shared" si="6"/>
        <v>575100</v>
      </c>
      <c r="X551" s="10">
        <f t="shared" si="7"/>
        <v>1079244</v>
      </c>
      <c r="Y551" s="10"/>
      <c r="Z551" s="10"/>
      <c r="AA551" s="10"/>
      <c r="AB551" s="4" t="s">
        <v>1824</v>
      </c>
      <c r="AC551" s="4" t="s">
        <v>1823</v>
      </c>
      <c r="AD551" s="4">
        <v>43313.0</v>
      </c>
      <c r="AE551" s="4">
        <v>2018.0</v>
      </c>
      <c r="AF551" s="4" t="s">
        <v>287</v>
      </c>
      <c r="AG551" s="4" t="s">
        <v>288</v>
      </c>
      <c r="AH551" s="4" t="s">
        <v>289</v>
      </c>
      <c r="AI551" s="4" t="s">
        <v>51</v>
      </c>
      <c r="AJ551" s="4" t="s">
        <v>140</v>
      </c>
      <c r="AK551" s="4" t="s">
        <v>92</v>
      </c>
      <c r="AL551" s="4" t="s">
        <v>190</v>
      </c>
      <c r="AM551" s="4" t="s">
        <v>61</v>
      </c>
      <c r="AN551" s="4" t="s">
        <v>37</v>
      </c>
      <c r="AO551" s="4" t="s">
        <v>55</v>
      </c>
      <c r="AP551" s="4">
        <v>43313.0</v>
      </c>
      <c r="AQ551" s="4">
        <v>95850.0</v>
      </c>
      <c r="AR551" s="4">
        <v>299700.0</v>
      </c>
      <c r="AS551" s="4">
        <v>203850.0</v>
      </c>
      <c r="AT551" s="4">
        <v>6.0</v>
      </c>
      <c r="AU551" s="4">
        <v>1798200.0</v>
      </c>
      <c r="AV551" s="4">
        <v>0.08</v>
      </c>
      <c r="AW551" s="4">
        <v>143856.0</v>
      </c>
      <c r="AX551" s="4">
        <v>1654344.0</v>
      </c>
      <c r="AY551" s="4">
        <v>575100.0</v>
      </c>
      <c r="AZ551" s="4">
        <v>1079244.0</v>
      </c>
    </row>
    <row r="552" ht="15.75" customHeight="1">
      <c r="A552" s="3" t="s">
        <v>1825</v>
      </c>
      <c r="B552" s="5">
        <v>43314.0</v>
      </c>
      <c r="C552" s="6">
        <f t="shared" si="1"/>
        <v>2018</v>
      </c>
      <c r="D552" s="7" t="s">
        <v>1826</v>
      </c>
      <c r="E552" s="7" t="s">
        <v>124</v>
      </c>
      <c r="F552" s="7" t="s">
        <v>50</v>
      </c>
      <c r="G552" s="5" t="s">
        <v>51</v>
      </c>
      <c r="H552" s="7" t="s">
        <v>200</v>
      </c>
      <c r="I552" s="7" t="s">
        <v>34</v>
      </c>
      <c r="J552" s="7" t="s">
        <v>493</v>
      </c>
      <c r="K552" s="7" t="s">
        <v>36</v>
      </c>
      <c r="L552" s="7" t="s">
        <v>45</v>
      </c>
      <c r="M552" s="7" t="s">
        <v>55</v>
      </c>
      <c r="N552" s="5">
        <v>43316.0</v>
      </c>
      <c r="O552" s="8">
        <v>44700.0</v>
      </c>
      <c r="P552" s="8">
        <v>87600.0</v>
      </c>
      <c r="Q552" s="8">
        <f t="shared" si="2"/>
        <v>42900</v>
      </c>
      <c r="R552" s="8">
        <v>12.0</v>
      </c>
      <c r="S552" s="8">
        <f t="shared" si="3"/>
        <v>1051200</v>
      </c>
      <c r="T552" s="9">
        <v>0.02</v>
      </c>
      <c r="U552" s="8">
        <f t="shared" si="4"/>
        <v>21024</v>
      </c>
      <c r="V552" s="8">
        <f t="shared" si="5"/>
        <v>1030176</v>
      </c>
      <c r="W552" s="10">
        <f t="shared" si="6"/>
        <v>536400</v>
      </c>
      <c r="X552" s="10">
        <f t="shared" si="7"/>
        <v>493776</v>
      </c>
      <c r="Y552" s="10"/>
      <c r="Z552" s="10"/>
      <c r="AA552" s="10"/>
      <c r="AB552" s="4" t="s">
        <v>1827</v>
      </c>
      <c r="AC552" s="4" t="s">
        <v>1825</v>
      </c>
      <c r="AD552" s="4">
        <v>43314.0</v>
      </c>
      <c r="AE552" s="4">
        <v>2018.0</v>
      </c>
      <c r="AF552" s="4" t="s">
        <v>1826</v>
      </c>
      <c r="AG552" s="4" t="s">
        <v>124</v>
      </c>
      <c r="AH552" s="4" t="s">
        <v>50</v>
      </c>
      <c r="AI552" s="4" t="s">
        <v>51</v>
      </c>
      <c r="AJ552" s="4" t="s">
        <v>200</v>
      </c>
      <c r="AK552" s="4" t="s">
        <v>34</v>
      </c>
      <c r="AL552" s="4" t="s">
        <v>493</v>
      </c>
      <c r="AM552" s="4" t="s">
        <v>36</v>
      </c>
      <c r="AN552" s="4" t="s">
        <v>45</v>
      </c>
      <c r="AO552" s="4" t="s">
        <v>55</v>
      </c>
      <c r="AP552" s="4">
        <v>43316.0</v>
      </c>
      <c r="AQ552" s="4">
        <v>44700.0</v>
      </c>
      <c r="AR552" s="4">
        <v>87600.0</v>
      </c>
      <c r="AS552" s="4">
        <v>42900.0</v>
      </c>
      <c r="AT552" s="4">
        <v>12.0</v>
      </c>
      <c r="AU552" s="4">
        <v>1051200.0</v>
      </c>
      <c r="AV552" s="4">
        <v>0.02</v>
      </c>
      <c r="AW552" s="4">
        <v>21024.0</v>
      </c>
      <c r="AX552" s="4">
        <v>1030176.0</v>
      </c>
      <c r="AY552" s="4">
        <v>536400.0</v>
      </c>
      <c r="AZ552" s="4">
        <v>493776.0</v>
      </c>
    </row>
    <row r="553" ht="15.75" customHeight="1">
      <c r="A553" s="3" t="s">
        <v>1828</v>
      </c>
      <c r="B553" s="5">
        <v>43317.0</v>
      </c>
      <c r="C553" s="6">
        <f t="shared" si="1"/>
        <v>2018</v>
      </c>
      <c r="D553" s="7" t="s">
        <v>351</v>
      </c>
      <c r="E553" s="7" t="s">
        <v>156</v>
      </c>
      <c r="F553" s="7" t="s">
        <v>50</v>
      </c>
      <c r="G553" s="5" t="s">
        <v>91</v>
      </c>
      <c r="H553" s="7" t="s">
        <v>110</v>
      </c>
      <c r="I553" s="7" t="s">
        <v>34</v>
      </c>
      <c r="J553" s="7" t="s">
        <v>978</v>
      </c>
      <c r="K553" s="7" t="s">
        <v>61</v>
      </c>
      <c r="L553" s="7" t="s">
        <v>555</v>
      </c>
      <c r="M553" s="7" t="s">
        <v>38</v>
      </c>
      <c r="N553" s="5">
        <v>43317.0</v>
      </c>
      <c r="O553" s="8">
        <v>5669850.0</v>
      </c>
      <c r="P553" s="8">
        <v>8999850.0</v>
      </c>
      <c r="Q553" s="8">
        <f t="shared" si="2"/>
        <v>3330000</v>
      </c>
      <c r="R553" s="8">
        <v>50.0</v>
      </c>
      <c r="S553" s="8">
        <f t="shared" si="3"/>
        <v>449992500</v>
      </c>
      <c r="T553" s="9">
        <v>0.09</v>
      </c>
      <c r="U553" s="8">
        <f t="shared" si="4"/>
        <v>40499325</v>
      </c>
      <c r="V553" s="8">
        <f t="shared" si="5"/>
        <v>409493175</v>
      </c>
      <c r="W553" s="10">
        <f t="shared" si="6"/>
        <v>283492500</v>
      </c>
      <c r="X553" s="10">
        <f t="shared" si="7"/>
        <v>126000675</v>
      </c>
      <c r="Y553" s="10"/>
      <c r="Z553" s="10"/>
      <c r="AA553" s="10"/>
      <c r="AB553" s="4" t="s">
        <v>1829</v>
      </c>
      <c r="AC553" s="4" t="s">
        <v>1828</v>
      </c>
      <c r="AD553" s="4">
        <v>43317.0</v>
      </c>
      <c r="AE553" s="4">
        <v>2018.0</v>
      </c>
      <c r="AF553" s="4" t="s">
        <v>351</v>
      </c>
      <c r="AG553" s="4" t="s">
        <v>156</v>
      </c>
      <c r="AH553" s="4" t="s">
        <v>50</v>
      </c>
      <c r="AI553" s="4" t="s">
        <v>91</v>
      </c>
      <c r="AJ553" s="4" t="s">
        <v>110</v>
      </c>
      <c r="AK553" s="4" t="s">
        <v>34</v>
      </c>
      <c r="AL553" s="4" t="s">
        <v>978</v>
      </c>
      <c r="AM553" s="4" t="s">
        <v>61</v>
      </c>
      <c r="AN553" s="4" t="s">
        <v>555</v>
      </c>
      <c r="AO553" s="4" t="s">
        <v>38</v>
      </c>
      <c r="AP553" s="4">
        <v>43317.0</v>
      </c>
      <c r="AQ553" s="4">
        <v>5669850.0</v>
      </c>
      <c r="AR553" s="4">
        <v>8999850.0</v>
      </c>
      <c r="AS553" s="4">
        <v>3330000.0</v>
      </c>
      <c r="AT553" s="4">
        <v>50.0</v>
      </c>
      <c r="AU553" s="4">
        <v>4.499925E8</v>
      </c>
      <c r="AV553" s="4">
        <v>0.09</v>
      </c>
      <c r="AW553" s="4">
        <v>4.0499325E7</v>
      </c>
      <c r="AX553" s="4">
        <v>4.09493175E8</v>
      </c>
      <c r="AY553" s="4">
        <v>2.834925E8</v>
      </c>
      <c r="AZ553" s="4">
        <v>1.26000675E8</v>
      </c>
    </row>
    <row r="554" ht="15.75" customHeight="1">
      <c r="A554" s="3" t="s">
        <v>1830</v>
      </c>
      <c r="B554" s="5">
        <v>43318.0</v>
      </c>
      <c r="C554" s="6">
        <f t="shared" si="1"/>
        <v>2018</v>
      </c>
      <c r="D554" s="7" t="s">
        <v>227</v>
      </c>
      <c r="E554" s="7" t="s">
        <v>228</v>
      </c>
      <c r="F554" s="7" t="s">
        <v>50</v>
      </c>
      <c r="G554" s="5" t="s">
        <v>51</v>
      </c>
      <c r="H554" s="7" t="s">
        <v>140</v>
      </c>
      <c r="I554" s="7" t="s">
        <v>74</v>
      </c>
      <c r="J554" s="7" t="s">
        <v>345</v>
      </c>
      <c r="K554" s="7" t="s">
        <v>36</v>
      </c>
      <c r="L554" s="7" t="s">
        <v>45</v>
      </c>
      <c r="M554" s="7" t="s">
        <v>38</v>
      </c>
      <c r="N554" s="5">
        <v>43318.0</v>
      </c>
      <c r="O554" s="8">
        <v>26400.0</v>
      </c>
      <c r="P554" s="8">
        <v>50700.0</v>
      </c>
      <c r="Q554" s="8">
        <f t="shared" si="2"/>
        <v>24300</v>
      </c>
      <c r="R554" s="8">
        <v>31.0</v>
      </c>
      <c r="S554" s="8">
        <f t="shared" si="3"/>
        <v>1571700</v>
      </c>
      <c r="T554" s="9">
        <v>0.04</v>
      </c>
      <c r="U554" s="8">
        <f t="shared" si="4"/>
        <v>62868</v>
      </c>
      <c r="V554" s="8">
        <f t="shared" si="5"/>
        <v>1508832</v>
      </c>
      <c r="W554" s="10">
        <f t="shared" si="6"/>
        <v>818400</v>
      </c>
      <c r="X554" s="10">
        <f t="shared" si="7"/>
        <v>690432</v>
      </c>
      <c r="Y554" s="10"/>
      <c r="Z554" s="10"/>
      <c r="AA554" s="10"/>
      <c r="AB554" s="4" t="s">
        <v>1831</v>
      </c>
      <c r="AC554" s="4" t="s">
        <v>1830</v>
      </c>
      <c r="AD554" s="4">
        <v>43318.0</v>
      </c>
      <c r="AE554" s="4">
        <v>2018.0</v>
      </c>
      <c r="AF554" s="4" t="s">
        <v>227</v>
      </c>
      <c r="AG554" s="4" t="s">
        <v>228</v>
      </c>
      <c r="AH554" s="4" t="s">
        <v>50</v>
      </c>
      <c r="AI554" s="4" t="s">
        <v>51</v>
      </c>
      <c r="AJ554" s="4" t="s">
        <v>140</v>
      </c>
      <c r="AK554" s="4" t="s">
        <v>74</v>
      </c>
      <c r="AL554" s="4" t="s">
        <v>345</v>
      </c>
      <c r="AM554" s="4" t="s">
        <v>36</v>
      </c>
      <c r="AN554" s="4" t="s">
        <v>45</v>
      </c>
      <c r="AO554" s="4" t="s">
        <v>38</v>
      </c>
      <c r="AP554" s="4">
        <v>43318.0</v>
      </c>
      <c r="AQ554" s="4">
        <v>26400.0</v>
      </c>
      <c r="AR554" s="4">
        <v>50700.0</v>
      </c>
      <c r="AS554" s="4">
        <v>24300.0</v>
      </c>
      <c r="AT554" s="4">
        <v>31.0</v>
      </c>
      <c r="AU554" s="4">
        <v>1571700.0</v>
      </c>
      <c r="AV554" s="4">
        <v>0.04</v>
      </c>
      <c r="AW554" s="4">
        <v>62868.0</v>
      </c>
      <c r="AX554" s="4">
        <v>1508832.0</v>
      </c>
      <c r="AY554" s="4">
        <v>818400.0</v>
      </c>
      <c r="AZ554" s="4">
        <v>690432.0</v>
      </c>
    </row>
    <row r="555" ht="15.75" customHeight="1">
      <c r="A555" s="3" t="s">
        <v>1832</v>
      </c>
      <c r="B555" s="5">
        <v>43319.0</v>
      </c>
      <c r="C555" s="6">
        <f t="shared" si="1"/>
        <v>2018</v>
      </c>
      <c r="D555" s="7" t="s">
        <v>1833</v>
      </c>
      <c r="E555" s="7" t="s">
        <v>183</v>
      </c>
      <c r="F555" s="7" t="s">
        <v>31</v>
      </c>
      <c r="G555" s="5" t="s">
        <v>91</v>
      </c>
      <c r="H555" s="7" t="s">
        <v>43</v>
      </c>
      <c r="I555" s="7" t="s">
        <v>53</v>
      </c>
      <c r="J555" s="7" t="s">
        <v>467</v>
      </c>
      <c r="K555" s="7" t="s">
        <v>36</v>
      </c>
      <c r="L555" s="7" t="s">
        <v>45</v>
      </c>
      <c r="M555" s="7" t="s">
        <v>38</v>
      </c>
      <c r="N555" s="5">
        <v>43320.0</v>
      </c>
      <c r="O555" s="8">
        <v>3600.0</v>
      </c>
      <c r="P555" s="8">
        <v>18900.0</v>
      </c>
      <c r="Q555" s="8">
        <f t="shared" si="2"/>
        <v>15300</v>
      </c>
      <c r="R555" s="8">
        <v>35.0</v>
      </c>
      <c r="S555" s="8">
        <f t="shared" si="3"/>
        <v>661500</v>
      </c>
      <c r="T555" s="9">
        <v>0.1</v>
      </c>
      <c r="U555" s="8">
        <f t="shared" si="4"/>
        <v>66150</v>
      </c>
      <c r="V555" s="8">
        <f t="shared" si="5"/>
        <v>595350</v>
      </c>
      <c r="W555" s="10">
        <f t="shared" si="6"/>
        <v>126000</v>
      </c>
      <c r="X555" s="10">
        <f t="shared" si="7"/>
        <v>469350</v>
      </c>
      <c r="Y555" s="10"/>
      <c r="Z555" s="10"/>
      <c r="AA555" s="10"/>
      <c r="AB555" s="4" t="s">
        <v>1834</v>
      </c>
      <c r="AC555" s="4" t="s">
        <v>1832</v>
      </c>
      <c r="AD555" s="4">
        <v>43319.0</v>
      </c>
      <c r="AE555" s="4">
        <v>2018.0</v>
      </c>
      <c r="AF555" s="4" t="s">
        <v>1833</v>
      </c>
      <c r="AG555" s="4" t="s">
        <v>183</v>
      </c>
      <c r="AH555" s="4" t="s">
        <v>31</v>
      </c>
      <c r="AI555" s="4" t="s">
        <v>91</v>
      </c>
      <c r="AJ555" s="4" t="s">
        <v>43</v>
      </c>
      <c r="AK555" s="4" t="s">
        <v>53</v>
      </c>
      <c r="AL555" s="4" t="s">
        <v>467</v>
      </c>
      <c r="AM555" s="4" t="s">
        <v>36</v>
      </c>
      <c r="AN555" s="4" t="s">
        <v>45</v>
      </c>
      <c r="AO555" s="4" t="s">
        <v>38</v>
      </c>
      <c r="AP555" s="4">
        <v>43320.0</v>
      </c>
      <c r="AQ555" s="4">
        <v>3600.0</v>
      </c>
      <c r="AR555" s="4">
        <v>18900.0</v>
      </c>
      <c r="AS555" s="4">
        <v>15300.0</v>
      </c>
      <c r="AT555" s="4">
        <v>35.0</v>
      </c>
      <c r="AU555" s="4">
        <v>661500.0</v>
      </c>
      <c r="AV555" s="4">
        <v>0.1</v>
      </c>
      <c r="AW555" s="4">
        <v>66150.0</v>
      </c>
      <c r="AX555" s="4">
        <v>595350.0</v>
      </c>
      <c r="AY555" s="4">
        <v>126000.0</v>
      </c>
      <c r="AZ555" s="4">
        <v>469350.0</v>
      </c>
    </row>
    <row r="556" ht="15.75" customHeight="1">
      <c r="A556" s="3" t="s">
        <v>1835</v>
      </c>
      <c r="B556" s="5">
        <v>43319.0</v>
      </c>
      <c r="C556" s="6">
        <f t="shared" si="1"/>
        <v>2018</v>
      </c>
      <c r="D556" s="7" t="s">
        <v>1833</v>
      </c>
      <c r="E556" s="7" t="s">
        <v>183</v>
      </c>
      <c r="F556" s="7" t="s">
        <v>31</v>
      </c>
      <c r="G556" s="5" t="s">
        <v>91</v>
      </c>
      <c r="H556" s="7" t="s">
        <v>43</v>
      </c>
      <c r="I556" s="7" t="s">
        <v>53</v>
      </c>
      <c r="J556" s="7" t="s">
        <v>44</v>
      </c>
      <c r="K556" s="7" t="s">
        <v>36</v>
      </c>
      <c r="L556" s="7" t="s">
        <v>45</v>
      </c>
      <c r="M556" s="7" t="s">
        <v>38</v>
      </c>
      <c r="N556" s="5">
        <v>43321.0</v>
      </c>
      <c r="O556" s="8">
        <v>35850.0</v>
      </c>
      <c r="P556" s="8">
        <v>63900.0</v>
      </c>
      <c r="Q556" s="8">
        <f t="shared" si="2"/>
        <v>28050</v>
      </c>
      <c r="R556" s="8">
        <v>8.0</v>
      </c>
      <c r="S556" s="8">
        <f t="shared" si="3"/>
        <v>511200</v>
      </c>
      <c r="T556" s="9">
        <v>0.1</v>
      </c>
      <c r="U556" s="8">
        <f t="shared" si="4"/>
        <v>51120</v>
      </c>
      <c r="V556" s="8">
        <f t="shared" si="5"/>
        <v>460080</v>
      </c>
      <c r="W556" s="10">
        <f t="shared" si="6"/>
        <v>286800</v>
      </c>
      <c r="X556" s="10">
        <f t="shared" si="7"/>
        <v>173280</v>
      </c>
      <c r="Y556" s="10"/>
      <c r="Z556" s="10"/>
      <c r="AA556" s="10"/>
      <c r="AB556" s="4" t="s">
        <v>1836</v>
      </c>
      <c r="AC556" s="4" t="s">
        <v>1835</v>
      </c>
      <c r="AD556" s="4">
        <v>43319.0</v>
      </c>
      <c r="AE556" s="4">
        <v>2018.0</v>
      </c>
      <c r="AF556" s="4" t="s">
        <v>1833</v>
      </c>
      <c r="AG556" s="4" t="s">
        <v>183</v>
      </c>
      <c r="AH556" s="4" t="s">
        <v>31</v>
      </c>
      <c r="AI556" s="4" t="s">
        <v>91</v>
      </c>
      <c r="AJ556" s="4" t="s">
        <v>43</v>
      </c>
      <c r="AK556" s="4" t="s">
        <v>53</v>
      </c>
      <c r="AL556" s="4" t="s">
        <v>44</v>
      </c>
      <c r="AM556" s="4" t="s">
        <v>36</v>
      </c>
      <c r="AN556" s="4" t="s">
        <v>45</v>
      </c>
      <c r="AO556" s="4" t="s">
        <v>38</v>
      </c>
      <c r="AP556" s="4">
        <v>43321.0</v>
      </c>
      <c r="AQ556" s="4">
        <v>35850.0</v>
      </c>
      <c r="AR556" s="4">
        <v>63900.0</v>
      </c>
      <c r="AS556" s="4">
        <v>28050.0</v>
      </c>
      <c r="AT556" s="4">
        <v>8.0</v>
      </c>
      <c r="AU556" s="4">
        <v>511200.0</v>
      </c>
      <c r="AV556" s="4">
        <v>0.1</v>
      </c>
      <c r="AW556" s="4">
        <v>51120.0</v>
      </c>
      <c r="AX556" s="4">
        <v>460080.0</v>
      </c>
      <c r="AY556" s="4">
        <v>286800.0</v>
      </c>
      <c r="AZ556" s="4">
        <v>173280.0</v>
      </c>
    </row>
    <row r="557" ht="15.75" customHeight="1">
      <c r="A557" s="3" t="s">
        <v>1837</v>
      </c>
      <c r="B557" s="5">
        <v>43319.0</v>
      </c>
      <c r="C557" s="6">
        <f t="shared" si="1"/>
        <v>2018</v>
      </c>
      <c r="D557" s="7" t="s">
        <v>1838</v>
      </c>
      <c r="E557" s="7" t="s">
        <v>183</v>
      </c>
      <c r="F557" s="7" t="s">
        <v>31</v>
      </c>
      <c r="G557" s="5" t="s">
        <v>91</v>
      </c>
      <c r="H557" s="7" t="s">
        <v>43</v>
      </c>
      <c r="I557" s="7" t="s">
        <v>53</v>
      </c>
      <c r="J557" s="7" t="s">
        <v>484</v>
      </c>
      <c r="K557" s="7" t="s">
        <v>61</v>
      </c>
      <c r="L557" s="7" t="s">
        <v>555</v>
      </c>
      <c r="M557" s="7" t="s">
        <v>38</v>
      </c>
      <c r="N557" s="5">
        <v>43321.0</v>
      </c>
      <c r="O557" s="8">
        <v>3240000.0</v>
      </c>
      <c r="P557" s="8">
        <v>6749850.0</v>
      </c>
      <c r="Q557" s="8">
        <f t="shared" si="2"/>
        <v>3509850</v>
      </c>
      <c r="R557" s="8">
        <v>2.0</v>
      </c>
      <c r="S557" s="8">
        <f t="shared" si="3"/>
        <v>13499700</v>
      </c>
      <c r="T557" s="9">
        <v>0.08</v>
      </c>
      <c r="U557" s="8">
        <f t="shared" si="4"/>
        <v>1079976</v>
      </c>
      <c r="V557" s="8">
        <f t="shared" si="5"/>
        <v>12419724</v>
      </c>
      <c r="W557" s="10">
        <f t="shared" si="6"/>
        <v>6480000</v>
      </c>
      <c r="X557" s="10">
        <f t="shared" si="7"/>
        <v>5939724</v>
      </c>
      <c r="Y557" s="10"/>
      <c r="Z557" s="10"/>
      <c r="AA557" s="10"/>
      <c r="AB557" s="4" t="s">
        <v>1839</v>
      </c>
      <c r="AC557" s="4" t="s">
        <v>1837</v>
      </c>
      <c r="AD557" s="4">
        <v>43319.0</v>
      </c>
      <c r="AE557" s="4">
        <v>2018.0</v>
      </c>
      <c r="AF557" s="4" t="s">
        <v>1838</v>
      </c>
      <c r="AG557" s="4" t="s">
        <v>183</v>
      </c>
      <c r="AH557" s="4" t="s">
        <v>31</v>
      </c>
      <c r="AI557" s="4" t="s">
        <v>91</v>
      </c>
      <c r="AJ557" s="4" t="s">
        <v>43</v>
      </c>
      <c r="AK557" s="4" t="s">
        <v>53</v>
      </c>
      <c r="AL557" s="4" t="s">
        <v>484</v>
      </c>
      <c r="AM557" s="4" t="s">
        <v>61</v>
      </c>
      <c r="AN557" s="4" t="s">
        <v>555</v>
      </c>
      <c r="AO557" s="4" t="s">
        <v>38</v>
      </c>
      <c r="AP557" s="4">
        <v>43321.0</v>
      </c>
      <c r="AQ557" s="4">
        <v>3240000.0</v>
      </c>
      <c r="AR557" s="4">
        <v>6749850.0</v>
      </c>
      <c r="AS557" s="4">
        <v>3509850.0</v>
      </c>
      <c r="AT557" s="4">
        <v>2.0</v>
      </c>
      <c r="AU557" s="4">
        <v>1.34997E7</v>
      </c>
      <c r="AV557" s="4">
        <v>0.08</v>
      </c>
      <c r="AW557" s="4">
        <v>1079976.0</v>
      </c>
      <c r="AX557" s="4">
        <v>1.2419724E7</v>
      </c>
      <c r="AY557" s="4">
        <v>6480000.0</v>
      </c>
      <c r="AZ557" s="4">
        <v>5939724.0</v>
      </c>
    </row>
    <row r="558" ht="15.75" customHeight="1">
      <c r="A558" s="2" t="s">
        <v>1840</v>
      </c>
      <c r="B558" s="5">
        <v>43320.0</v>
      </c>
      <c r="C558" s="6">
        <f t="shared" si="1"/>
        <v>2018</v>
      </c>
      <c r="D558" s="7" t="s">
        <v>812</v>
      </c>
      <c r="E558" s="3" t="s">
        <v>813</v>
      </c>
      <c r="F558" s="7" t="s">
        <v>289</v>
      </c>
      <c r="G558" s="5" t="s">
        <v>51</v>
      </c>
      <c r="H558" s="7" t="s">
        <v>200</v>
      </c>
      <c r="I558" s="7" t="s">
        <v>53</v>
      </c>
      <c r="J558" s="7" t="s">
        <v>243</v>
      </c>
      <c r="K558" s="7" t="s">
        <v>61</v>
      </c>
      <c r="L558" s="7" t="s">
        <v>244</v>
      </c>
      <c r="M558" s="7" t="s">
        <v>38</v>
      </c>
      <c r="N558" s="5">
        <v>43320.0</v>
      </c>
      <c r="O558" s="8">
        <v>132300.0</v>
      </c>
      <c r="P558" s="8">
        <v>314850.0</v>
      </c>
      <c r="Q558" s="8">
        <f t="shared" si="2"/>
        <v>182550</v>
      </c>
      <c r="R558" s="8">
        <v>19.0</v>
      </c>
      <c r="S558" s="8">
        <f t="shared" si="3"/>
        <v>5982150</v>
      </c>
      <c r="T558" s="9">
        <v>0.01</v>
      </c>
      <c r="U558" s="8">
        <f t="shared" si="4"/>
        <v>59821.5</v>
      </c>
      <c r="V558" s="8">
        <f t="shared" si="5"/>
        <v>5922328.5</v>
      </c>
      <c r="W558" s="10">
        <f t="shared" si="6"/>
        <v>2513700</v>
      </c>
      <c r="X558" s="10">
        <f t="shared" si="7"/>
        <v>3408628.5</v>
      </c>
      <c r="Y558" s="10"/>
      <c r="Z558" s="10"/>
      <c r="AA558" s="10"/>
      <c r="AB558" s="4" t="s">
        <v>1841</v>
      </c>
      <c r="AC558" s="4" t="s">
        <v>1840</v>
      </c>
      <c r="AD558" s="4">
        <v>43320.0</v>
      </c>
      <c r="AE558" s="4">
        <v>2018.0</v>
      </c>
      <c r="AF558" s="4" t="s">
        <v>812</v>
      </c>
      <c r="AG558" s="4" t="s">
        <v>813</v>
      </c>
      <c r="AH558" s="4" t="s">
        <v>289</v>
      </c>
      <c r="AI558" s="4" t="s">
        <v>51</v>
      </c>
      <c r="AJ558" s="4" t="s">
        <v>200</v>
      </c>
      <c r="AK558" s="4" t="s">
        <v>53</v>
      </c>
      <c r="AL558" s="4" t="s">
        <v>243</v>
      </c>
      <c r="AM558" s="4" t="s">
        <v>61</v>
      </c>
      <c r="AN558" s="4" t="s">
        <v>244</v>
      </c>
      <c r="AO558" s="4" t="s">
        <v>38</v>
      </c>
      <c r="AP558" s="4">
        <v>43320.0</v>
      </c>
      <c r="AQ558" s="4">
        <v>132300.0</v>
      </c>
      <c r="AR558" s="4">
        <v>314850.0</v>
      </c>
      <c r="AS558" s="4">
        <v>182550.0</v>
      </c>
      <c r="AT558" s="4">
        <v>19.0</v>
      </c>
      <c r="AU558" s="4">
        <v>5982150.0</v>
      </c>
      <c r="AV558" s="4">
        <v>0.01</v>
      </c>
      <c r="AW558" s="4">
        <v>59821.5</v>
      </c>
      <c r="AX558" s="4">
        <v>5922328.5</v>
      </c>
      <c r="AY558" s="4">
        <v>2513700.0</v>
      </c>
      <c r="AZ558" s="4">
        <v>3408628.5</v>
      </c>
    </row>
    <row r="559" ht="15.75" customHeight="1">
      <c r="A559" s="3" t="s">
        <v>1842</v>
      </c>
      <c r="B559" s="5">
        <v>43320.0</v>
      </c>
      <c r="C559" s="6">
        <f t="shared" si="1"/>
        <v>2018</v>
      </c>
      <c r="D559" s="7" t="s">
        <v>1843</v>
      </c>
      <c r="E559" s="7" t="s">
        <v>542</v>
      </c>
      <c r="F559" s="7" t="s">
        <v>31</v>
      </c>
      <c r="G559" s="5" t="s">
        <v>32</v>
      </c>
      <c r="H559" s="7" t="s">
        <v>33</v>
      </c>
      <c r="I559" s="7" t="s">
        <v>53</v>
      </c>
      <c r="J559" s="7" t="s">
        <v>254</v>
      </c>
      <c r="K559" s="7" t="s">
        <v>36</v>
      </c>
      <c r="L559" s="7" t="s">
        <v>37</v>
      </c>
      <c r="M559" s="7" t="s">
        <v>38</v>
      </c>
      <c r="N559" s="5">
        <v>43322.0</v>
      </c>
      <c r="O559" s="8">
        <v>208200.0</v>
      </c>
      <c r="P559" s="8">
        <v>335700.0</v>
      </c>
      <c r="Q559" s="8">
        <f t="shared" si="2"/>
        <v>127500</v>
      </c>
      <c r="R559" s="8">
        <v>6.0</v>
      </c>
      <c r="S559" s="8">
        <f t="shared" si="3"/>
        <v>2014200</v>
      </c>
      <c r="T559" s="9">
        <v>0.0</v>
      </c>
      <c r="U559" s="8">
        <f t="shared" si="4"/>
        <v>0</v>
      </c>
      <c r="V559" s="8">
        <f t="shared" si="5"/>
        <v>2014200</v>
      </c>
      <c r="W559" s="10">
        <f t="shared" si="6"/>
        <v>1249200</v>
      </c>
      <c r="X559" s="10">
        <f t="shared" si="7"/>
        <v>765000</v>
      </c>
      <c r="Y559" s="10"/>
      <c r="Z559" s="10"/>
      <c r="AA559" s="10"/>
      <c r="AB559" s="4" t="s">
        <v>1844</v>
      </c>
      <c r="AC559" s="4" t="s">
        <v>1842</v>
      </c>
      <c r="AD559" s="4">
        <v>43320.0</v>
      </c>
      <c r="AE559" s="4">
        <v>2018.0</v>
      </c>
      <c r="AF559" s="4" t="s">
        <v>1843</v>
      </c>
      <c r="AG559" s="4" t="s">
        <v>542</v>
      </c>
      <c r="AH559" s="4" t="s">
        <v>31</v>
      </c>
      <c r="AI559" s="4" t="s">
        <v>32</v>
      </c>
      <c r="AJ559" s="4" t="s">
        <v>33</v>
      </c>
      <c r="AK559" s="4" t="s">
        <v>53</v>
      </c>
      <c r="AL559" s="4" t="s">
        <v>254</v>
      </c>
      <c r="AM559" s="4" t="s">
        <v>36</v>
      </c>
      <c r="AN559" s="4" t="s">
        <v>37</v>
      </c>
      <c r="AO559" s="4" t="s">
        <v>38</v>
      </c>
      <c r="AP559" s="4">
        <v>43322.0</v>
      </c>
      <c r="AQ559" s="4">
        <v>208200.0</v>
      </c>
      <c r="AR559" s="4">
        <v>335700.0</v>
      </c>
      <c r="AS559" s="4">
        <v>127500.0</v>
      </c>
      <c r="AT559" s="4">
        <v>6.0</v>
      </c>
      <c r="AU559" s="4">
        <v>2014200.0</v>
      </c>
      <c r="AV559" s="4">
        <v>0.0</v>
      </c>
      <c r="AW559" s="4">
        <v>0.0</v>
      </c>
      <c r="AX559" s="4">
        <v>2014200.0</v>
      </c>
      <c r="AY559" s="4">
        <v>1249200.0</v>
      </c>
      <c r="AZ559" s="4">
        <v>765000.0</v>
      </c>
    </row>
    <row r="560" ht="15.75" customHeight="1">
      <c r="A560" s="3" t="s">
        <v>1845</v>
      </c>
      <c r="B560" s="5">
        <v>43322.0</v>
      </c>
      <c r="C560" s="6">
        <f t="shared" si="1"/>
        <v>2018</v>
      </c>
      <c r="D560" s="7" t="s">
        <v>1846</v>
      </c>
      <c r="E560" s="7" t="s">
        <v>169</v>
      </c>
      <c r="F560" s="7" t="s">
        <v>31</v>
      </c>
      <c r="G560" s="5" t="s">
        <v>32</v>
      </c>
      <c r="H560" s="7" t="s">
        <v>43</v>
      </c>
      <c r="I560" s="7" t="s">
        <v>74</v>
      </c>
      <c r="J560" s="7" t="s">
        <v>497</v>
      </c>
      <c r="K560" s="7" t="s">
        <v>36</v>
      </c>
      <c r="L560" s="7" t="s">
        <v>37</v>
      </c>
      <c r="M560" s="7" t="s">
        <v>55</v>
      </c>
      <c r="N560" s="5">
        <v>43324.0</v>
      </c>
      <c r="O560" s="8">
        <v>54750.0</v>
      </c>
      <c r="P560" s="8">
        <v>89700.0</v>
      </c>
      <c r="Q560" s="8">
        <f t="shared" si="2"/>
        <v>34950</v>
      </c>
      <c r="R560" s="8">
        <v>50.0</v>
      </c>
      <c r="S560" s="8">
        <f t="shared" si="3"/>
        <v>4485000</v>
      </c>
      <c r="T560" s="9">
        <v>0.09</v>
      </c>
      <c r="U560" s="8">
        <f t="shared" si="4"/>
        <v>403650</v>
      </c>
      <c r="V560" s="8">
        <f t="shared" si="5"/>
        <v>4081350</v>
      </c>
      <c r="W560" s="10">
        <f t="shared" si="6"/>
        <v>2737500</v>
      </c>
      <c r="X560" s="10">
        <f t="shared" si="7"/>
        <v>1343850</v>
      </c>
      <c r="Y560" s="10"/>
      <c r="Z560" s="10"/>
      <c r="AA560" s="10"/>
      <c r="AB560" s="4" t="s">
        <v>1847</v>
      </c>
      <c r="AC560" s="4" t="s">
        <v>1845</v>
      </c>
      <c r="AD560" s="4">
        <v>43322.0</v>
      </c>
      <c r="AE560" s="4">
        <v>2018.0</v>
      </c>
      <c r="AF560" s="4" t="s">
        <v>1846</v>
      </c>
      <c r="AG560" s="4" t="s">
        <v>169</v>
      </c>
      <c r="AH560" s="4" t="s">
        <v>31</v>
      </c>
      <c r="AI560" s="4" t="s">
        <v>32</v>
      </c>
      <c r="AJ560" s="4" t="s">
        <v>43</v>
      </c>
      <c r="AK560" s="4" t="s">
        <v>74</v>
      </c>
      <c r="AL560" s="4" t="s">
        <v>497</v>
      </c>
      <c r="AM560" s="4" t="s">
        <v>36</v>
      </c>
      <c r="AN560" s="4" t="s">
        <v>37</v>
      </c>
      <c r="AO560" s="4" t="s">
        <v>55</v>
      </c>
      <c r="AP560" s="4">
        <v>43324.0</v>
      </c>
      <c r="AQ560" s="4">
        <v>54750.0</v>
      </c>
      <c r="AR560" s="4">
        <v>89700.0</v>
      </c>
      <c r="AS560" s="4">
        <v>34950.0</v>
      </c>
      <c r="AT560" s="4">
        <v>50.0</v>
      </c>
      <c r="AU560" s="4">
        <v>4485000.0</v>
      </c>
      <c r="AV560" s="4">
        <v>0.09</v>
      </c>
      <c r="AW560" s="4">
        <v>403650.0</v>
      </c>
      <c r="AX560" s="4">
        <v>4081350.0</v>
      </c>
      <c r="AY560" s="4">
        <v>2737500.0</v>
      </c>
      <c r="AZ560" s="4">
        <v>1343850.0</v>
      </c>
    </row>
    <row r="561" ht="15.75" customHeight="1">
      <c r="A561" s="3" t="s">
        <v>1848</v>
      </c>
      <c r="B561" s="5">
        <v>43322.0</v>
      </c>
      <c r="C561" s="6">
        <f t="shared" si="1"/>
        <v>2018</v>
      </c>
      <c r="D561" s="7" t="s">
        <v>1849</v>
      </c>
      <c r="E561" s="7" t="s">
        <v>173</v>
      </c>
      <c r="F561" s="7" t="s">
        <v>31</v>
      </c>
      <c r="G561" s="5" t="s">
        <v>51</v>
      </c>
      <c r="H561" s="7" t="s">
        <v>43</v>
      </c>
      <c r="I561" s="7" t="s">
        <v>92</v>
      </c>
      <c r="J561" s="7" t="s">
        <v>1105</v>
      </c>
      <c r="K561" s="7" t="s">
        <v>61</v>
      </c>
      <c r="L561" s="7" t="s">
        <v>62</v>
      </c>
      <c r="M561" s="7" t="s">
        <v>63</v>
      </c>
      <c r="N561" s="5">
        <v>43325.0</v>
      </c>
      <c r="O561" s="8">
        <v>4734150.0</v>
      </c>
      <c r="P561" s="8">
        <v>7514550.0</v>
      </c>
      <c r="Q561" s="8">
        <f t="shared" si="2"/>
        <v>2780400</v>
      </c>
      <c r="R561" s="8">
        <v>44.0</v>
      </c>
      <c r="S561" s="8">
        <f t="shared" si="3"/>
        <v>330640200</v>
      </c>
      <c r="T561" s="9">
        <v>0.09</v>
      </c>
      <c r="U561" s="8">
        <f t="shared" si="4"/>
        <v>29757618</v>
      </c>
      <c r="V561" s="8">
        <f t="shared" si="5"/>
        <v>300882582</v>
      </c>
      <c r="W561" s="10">
        <f t="shared" si="6"/>
        <v>208302600</v>
      </c>
      <c r="X561" s="10">
        <f t="shared" si="7"/>
        <v>92579982</v>
      </c>
      <c r="Y561" s="10"/>
      <c r="Z561" s="10"/>
      <c r="AA561" s="10"/>
      <c r="AB561" s="4" t="s">
        <v>1850</v>
      </c>
      <c r="AC561" s="4" t="s">
        <v>1848</v>
      </c>
      <c r="AD561" s="4">
        <v>43322.0</v>
      </c>
      <c r="AE561" s="4">
        <v>2018.0</v>
      </c>
      <c r="AF561" s="4" t="s">
        <v>1849</v>
      </c>
      <c r="AG561" s="4" t="s">
        <v>173</v>
      </c>
      <c r="AH561" s="4" t="s">
        <v>31</v>
      </c>
      <c r="AI561" s="4" t="s">
        <v>51</v>
      </c>
      <c r="AJ561" s="4" t="s">
        <v>43</v>
      </c>
      <c r="AK561" s="4" t="s">
        <v>92</v>
      </c>
      <c r="AL561" s="4" t="s">
        <v>1105</v>
      </c>
      <c r="AM561" s="4" t="s">
        <v>61</v>
      </c>
      <c r="AN561" s="4" t="s">
        <v>62</v>
      </c>
      <c r="AO561" s="4" t="s">
        <v>63</v>
      </c>
      <c r="AP561" s="4">
        <v>43325.0</v>
      </c>
      <c r="AQ561" s="4">
        <v>4734150.0</v>
      </c>
      <c r="AR561" s="4">
        <v>7514550.0</v>
      </c>
      <c r="AS561" s="4">
        <v>2780400.0</v>
      </c>
      <c r="AT561" s="4">
        <v>44.0</v>
      </c>
      <c r="AU561" s="4">
        <v>3.306402E8</v>
      </c>
      <c r="AV561" s="4">
        <v>0.09</v>
      </c>
      <c r="AW561" s="4">
        <v>2.9757618E7</v>
      </c>
      <c r="AX561" s="4">
        <v>3.00882582E8</v>
      </c>
      <c r="AY561" s="4">
        <v>2.083026E8</v>
      </c>
      <c r="AZ561" s="4">
        <v>9.2579982E7</v>
      </c>
    </row>
    <row r="562" ht="15.75" customHeight="1">
      <c r="A562" s="3" t="s">
        <v>1851</v>
      </c>
      <c r="B562" s="5">
        <v>43323.0</v>
      </c>
      <c r="C562" s="6">
        <f t="shared" si="1"/>
        <v>2018</v>
      </c>
      <c r="D562" s="7" t="s">
        <v>1852</v>
      </c>
      <c r="E562" s="7" t="s">
        <v>716</v>
      </c>
      <c r="F562" s="7" t="s">
        <v>289</v>
      </c>
      <c r="G562" s="5" t="s">
        <v>51</v>
      </c>
      <c r="H562" s="7" t="s">
        <v>140</v>
      </c>
      <c r="I562" s="7" t="s">
        <v>74</v>
      </c>
      <c r="J562" s="7" t="s">
        <v>1244</v>
      </c>
      <c r="K562" s="7" t="s">
        <v>36</v>
      </c>
      <c r="L562" s="7" t="s">
        <v>37</v>
      </c>
      <c r="M562" s="7" t="s">
        <v>38</v>
      </c>
      <c r="N562" s="5">
        <v>43328.0</v>
      </c>
      <c r="O562" s="8">
        <v>27600.0</v>
      </c>
      <c r="P562" s="8">
        <v>43200.0</v>
      </c>
      <c r="Q562" s="8">
        <f t="shared" si="2"/>
        <v>15600</v>
      </c>
      <c r="R562" s="8">
        <v>29.0</v>
      </c>
      <c r="S562" s="8">
        <f t="shared" si="3"/>
        <v>1252800</v>
      </c>
      <c r="T562" s="9">
        <v>0.03</v>
      </c>
      <c r="U562" s="8">
        <f t="shared" si="4"/>
        <v>37584</v>
      </c>
      <c r="V562" s="8">
        <f t="shared" si="5"/>
        <v>1215216</v>
      </c>
      <c r="W562" s="10">
        <f t="shared" si="6"/>
        <v>800400</v>
      </c>
      <c r="X562" s="10">
        <f t="shared" si="7"/>
        <v>414816</v>
      </c>
      <c r="Y562" s="10"/>
      <c r="Z562" s="10"/>
      <c r="AA562" s="10"/>
      <c r="AB562" s="4" t="s">
        <v>1853</v>
      </c>
      <c r="AC562" s="4" t="s">
        <v>1851</v>
      </c>
      <c r="AD562" s="4">
        <v>43323.0</v>
      </c>
      <c r="AE562" s="4">
        <v>2018.0</v>
      </c>
      <c r="AF562" s="4" t="s">
        <v>1852</v>
      </c>
      <c r="AG562" s="4" t="s">
        <v>716</v>
      </c>
      <c r="AH562" s="4" t="s">
        <v>289</v>
      </c>
      <c r="AI562" s="4" t="s">
        <v>51</v>
      </c>
      <c r="AJ562" s="4" t="s">
        <v>140</v>
      </c>
      <c r="AK562" s="4" t="s">
        <v>74</v>
      </c>
      <c r="AL562" s="4" t="s">
        <v>1244</v>
      </c>
      <c r="AM562" s="4" t="s">
        <v>36</v>
      </c>
      <c r="AN562" s="4" t="s">
        <v>37</v>
      </c>
      <c r="AO562" s="4" t="s">
        <v>38</v>
      </c>
      <c r="AP562" s="4">
        <v>43328.0</v>
      </c>
      <c r="AQ562" s="4">
        <v>27600.0</v>
      </c>
      <c r="AR562" s="4">
        <v>43200.0</v>
      </c>
      <c r="AS562" s="4">
        <v>15600.0</v>
      </c>
      <c r="AT562" s="4">
        <v>29.0</v>
      </c>
      <c r="AU562" s="4">
        <v>1252800.0</v>
      </c>
      <c r="AV562" s="4">
        <v>0.03</v>
      </c>
      <c r="AW562" s="4">
        <v>37584.0</v>
      </c>
      <c r="AX562" s="4">
        <v>1215216.0</v>
      </c>
      <c r="AY562" s="4">
        <v>800400.0</v>
      </c>
      <c r="AZ562" s="4">
        <v>414816.0</v>
      </c>
    </row>
    <row r="563" ht="15.75" customHeight="1">
      <c r="A563" s="3" t="s">
        <v>1854</v>
      </c>
      <c r="B563" s="5">
        <v>43324.0</v>
      </c>
      <c r="C563" s="6">
        <f t="shared" si="1"/>
        <v>2018</v>
      </c>
      <c r="D563" s="7" t="s">
        <v>472</v>
      </c>
      <c r="E563" s="7" t="s">
        <v>194</v>
      </c>
      <c r="F563" s="7" t="s">
        <v>31</v>
      </c>
      <c r="G563" s="5" t="s">
        <v>68</v>
      </c>
      <c r="H563" s="7" t="s">
        <v>33</v>
      </c>
      <c r="I563" s="7" t="s">
        <v>34</v>
      </c>
      <c r="J563" s="7" t="s">
        <v>538</v>
      </c>
      <c r="K563" s="7" t="s">
        <v>36</v>
      </c>
      <c r="L563" s="7" t="s">
        <v>37</v>
      </c>
      <c r="M563" s="7" t="s">
        <v>38</v>
      </c>
      <c r="N563" s="5">
        <v>43326.0</v>
      </c>
      <c r="O563" s="8">
        <v>33900.0</v>
      </c>
      <c r="P563" s="8">
        <v>53700.0</v>
      </c>
      <c r="Q563" s="8">
        <f t="shared" si="2"/>
        <v>19800</v>
      </c>
      <c r="R563" s="8">
        <v>7.0</v>
      </c>
      <c r="S563" s="8">
        <f t="shared" si="3"/>
        <v>375900</v>
      </c>
      <c r="T563" s="9">
        <v>0.09</v>
      </c>
      <c r="U563" s="8">
        <f t="shared" si="4"/>
        <v>33831</v>
      </c>
      <c r="V563" s="8">
        <f t="shared" si="5"/>
        <v>342069</v>
      </c>
      <c r="W563" s="10">
        <f t="shared" si="6"/>
        <v>237300</v>
      </c>
      <c r="X563" s="10">
        <f t="shared" si="7"/>
        <v>104769</v>
      </c>
      <c r="Y563" s="10"/>
      <c r="Z563" s="10"/>
      <c r="AA563" s="10"/>
      <c r="AB563" s="4" t="s">
        <v>1855</v>
      </c>
      <c r="AC563" s="4" t="s">
        <v>1854</v>
      </c>
      <c r="AD563" s="4">
        <v>43324.0</v>
      </c>
      <c r="AE563" s="4">
        <v>2018.0</v>
      </c>
      <c r="AF563" s="4" t="s">
        <v>472</v>
      </c>
      <c r="AG563" s="4" t="s">
        <v>194</v>
      </c>
      <c r="AH563" s="4" t="s">
        <v>31</v>
      </c>
      <c r="AI563" s="4" t="s">
        <v>68</v>
      </c>
      <c r="AJ563" s="4" t="s">
        <v>33</v>
      </c>
      <c r="AK563" s="4" t="s">
        <v>34</v>
      </c>
      <c r="AL563" s="4" t="s">
        <v>538</v>
      </c>
      <c r="AM563" s="4" t="s">
        <v>36</v>
      </c>
      <c r="AN563" s="4" t="s">
        <v>37</v>
      </c>
      <c r="AO563" s="4" t="s">
        <v>38</v>
      </c>
      <c r="AP563" s="4">
        <v>43326.0</v>
      </c>
      <c r="AQ563" s="4">
        <v>33900.0</v>
      </c>
      <c r="AR563" s="4">
        <v>53700.0</v>
      </c>
      <c r="AS563" s="4">
        <v>19800.0</v>
      </c>
      <c r="AT563" s="4">
        <v>7.0</v>
      </c>
      <c r="AU563" s="4">
        <v>375900.0</v>
      </c>
      <c r="AV563" s="4">
        <v>0.09</v>
      </c>
      <c r="AW563" s="4">
        <v>33831.0</v>
      </c>
      <c r="AX563" s="4">
        <v>342069.0</v>
      </c>
      <c r="AY563" s="4">
        <v>237300.0</v>
      </c>
      <c r="AZ563" s="4">
        <v>104769.0</v>
      </c>
    </row>
    <row r="564" ht="15.75" customHeight="1">
      <c r="A564" s="3" t="s">
        <v>1856</v>
      </c>
      <c r="B564" s="5">
        <v>43325.0</v>
      </c>
      <c r="C564" s="6">
        <f t="shared" si="1"/>
        <v>2018</v>
      </c>
      <c r="D564" s="7" t="s">
        <v>1023</v>
      </c>
      <c r="E564" s="7" t="s">
        <v>1024</v>
      </c>
      <c r="F564" s="7" t="s">
        <v>50</v>
      </c>
      <c r="G564" s="5" t="s">
        <v>91</v>
      </c>
      <c r="H564" s="7" t="s">
        <v>98</v>
      </c>
      <c r="I564" s="7" t="s">
        <v>92</v>
      </c>
      <c r="J564" s="7" t="s">
        <v>1351</v>
      </c>
      <c r="K564" s="7" t="s">
        <v>36</v>
      </c>
      <c r="L564" s="7" t="s">
        <v>37</v>
      </c>
      <c r="M564" s="7" t="s">
        <v>38</v>
      </c>
      <c r="N564" s="5">
        <v>43326.0</v>
      </c>
      <c r="O564" s="8">
        <v>60450.00000000001</v>
      </c>
      <c r="P564" s="8">
        <v>140700.0</v>
      </c>
      <c r="Q564" s="8">
        <f t="shared" si="2"/>
        <v>80250</v>
      </c>
      <c r="R564" s="8">
        <v>31.0</v>
      </c>
      <c r="S564" s="8">
        <f t="shared" si="3"/>
        <v>4361700</v>
      </c>
      <c r="T564" s="9">
        <v>0.08</v>
      </c>
      <c r="U564" s="8">
        <f t="shared" si="4"/>
        <v>348936</v>
      </c>
      <c r="V564" s="8">
        <f t="shared" si="5"/>
        <v>4012764</v>
      </c>
      <c r="W564" s="10">
        <f t="shared" si="6"/>
        <v>1873950</v>
      </c>
      <c r="X564" s="10">
        <f t="shared" si="7"/>
        <v>2138814</v>
      </c>
      <c r="Y564" s="10"/>
      <c r="Z564" s="10"/>
      <c r="AA564" s="10"/>
      <c r="AB564" s="4" t="s">
        <v>1857</v>
      </c>
      <c r="AC564" s="4" t="s">
        <v>1856</v>
      </c>
      <c r="AD564" s="4">
        <v>43325.0</v>
      </c>
      <c r="AE564" s="4">
        <v>2018.0</v>
      </c>
      <c r="AF564" s="4" t="s">
        <v>1023</v>
      </c>
      <c r="AG564" s="4" t="s">
        <v>1024</v>
      </c>
      <c r="AH564" s="4" t="s">
        <v>50</v>
      </c>
      <c r="AI564" s="4" t="s">
        <v>91</v>
      </c>
      <c r="AJ564" s="4" t="s">
        <v>98</v>
      </c>
      <c r="AK564" s="4" t="s">
        <v>92</v>
      </c>
      <c r="AL564" s="4" t="s">
        <v>1351</v>
      </c>
      <c r="AM564" s="4" t="s">
        <v>36</v>
      </c>
      <c r="AN564" s="4" t="s">
        <v>37</v>
      </c>
      <c r="AO564" s="4" t="s">
        <v>38</v>
      </c>
      <c r="AP564" s="4">
        <v>43326.0</v>
      </c>
      <c r="AQ564" s="4">
        <v>60450.0</v>
      </c>
      <c r="AR564" s="4">
        <v>140700.0</v>
      </c>
      <c r="AS564" s="4">
        <v>80250.0</v>
      </c>
      <c r="AT564" s="4">
        <v>31.0</v>
      </c>
      <c r="AU564" s="4">
        <v>4361700.0</v>
      </c>
      <c r="AV564" s="4">
        <v>0.08</v>
      </c>
      <c r="AW564" s="4">
        <v>348936.0</v>
      </c>
      <c r="AX564" s="4">
        <v>4012764.0</v>
      </c>
      <c r="AY564" s="4">
        <v>1873950.0</v>
      </c>
      <c r="AZ564" s="4">
        <v>2138814.0</v>
      </c>
    </row>
    <row r="565" ht="15.75" customHeight="1">
      <c r="A565" s="3" t="s">
        <v>1858</v>
      </c>
      <c r="B565" s="5">
        <v>43326.0</v>
      </c>
      <c r="C565" s="6">
        <f t="shared" si="1"/>
        <v>2018</v>
      </c>
      <c r="D565" s="7" t="s">
        <v>1859</v>
      </c>
      <c r="E565" s="7" t="s">
        <v>1586</v>
      </c>
      <c r="F565" s="7" t="s">
        <v>50</v>
      </c>
      <c r="G565" s="5" t="s">
        <v>32</v>
      </c>
      <c r="H565" s="7" t="s">
        <v>189</v>
      </c>
      <c r="I565" s="7" t="s">
        <v>53</v>
      </c>
      <c r="J565" s="7" t="s">
        <v>126</v>
      </c>
      <c r="K565" s="7" t="s">
        <v>36</v>
      </c>
      <c r="L565" s="7" t="s">
        <v>127</v>
      </c>
      <c r="M565" s="7" t="s">
        <v>38</v>
      </c>
      <c r="N565" s="5">
        <v>43327.0</v>
      </c>
      <c r="O565" s="8">
        <v>51300.0</v>
      </c>
      <c r="P565" s="8">
        <v>125100.0</v>
      </c>
      <c r="Q565" s="8">
        <f t="shared" si="2"/>
        <v>73800</v>
      </c>
      <c r="R565" s="8">
        <v>21.0</v>
      </c>
      <c r="S565" s="8">
        <f t="shared" si="3"/>
        <v>2627100</v>
      </c>
      <c r="T565" s="9">
        <v>0.03</v>
      </c>
      <c r="U565" s="8">
        <f t="shared" si="4"/>
        <v>78813</v>
      </c>
      <c r="V565" s="8">
        <f t="shared" si="5"/>
        <v>2548287</v>
      </c>
      <c r="W565" s="10">
        <f t="shared" si="6"/>
        <v>1077300</v>
      </c>
      <c r="X565" s="10">
        <f t="shared" si="7"/>
        <v>1470987</v>
      </c>
      <c r="Y565" s="10"/>
      <c r="Z565" s="10"/>
      <c r="AA565" s="10"/>
      <c r="AB565" s="4" t="s">
        <v>1860</v>
      </c>
      <c r="AC565" s="4" t="s">
        <v>1858</v>
      </c>
      <c r="AD565" s="4">
        <v>43326.0</v>
      </c>
      <c r="AE565" s="4">
        <v>2018.0</v>
      </c>
      <c r="AF565" s="4" t="s">
        <v>1859</v>
      </c>
      <c r="AG565" s="4" t="s">
        <v>1586</v>
      </c>
      <c r="AH565" s="4" t="s">
        <v>50</v>
      </c>
      <c r="AI565" s="4" t="s">
        <v>32</v>
      </c>
      <c r="AJ565" s="4" t="s">
        <v>189</v>
      </c>
      <c r="AK565" s="4" t="s">
        <v>53</v>
      </c>
      <c r="AL565" s="4" t="s">
        <v>126</v>
      </c>
      <c r="AM565" s="4" t="s">
        <v>36</v>
      </c>
      <c r="AN565" s="4" t="s">
        <v>127</v>
      </c>
      <c r="AO565" s="4" t="s">
        <v>38</v>
      </c>
      <c r="AP565" s="4">
        <v>43327.0</v>
      </c>
      <c r="AQ565" s="4">
        <v>51300.0</v>
      </c>
      <c r="AR565" s="4">
        <v>125100.0</v>
      </c>
      <c r="AS565" s="4">
        <v>73800.0</v>
      </c>
      <c r="AT565" s="4">
        <v>21.0</v>
      </c>
      <c r="AU565" s="4">
        <v>2627100.0</v>
      </c>
      <c r="AV565" s="4">
        <v>0.03</v>
      </c>
      <c r="AW565" s="4">
        <v>78813.0</v>
      </c>
      <c r="AX565" s="4">
        <v>2548287.0</v>
      </c>
      <c r="AY565" s="4">
        <v>1077300.0</v>
      </c>
      <c r="AZ565" s="4">
        <v>1470987.0</v>
      </c>
    </row>
    <row r="566" ht="15.75" customHeight="1">
      <c r="A566" s="3" t="s">
        <v>1861</v>
      </c>
      <c r="B566" s="5">
        <v>43327.0</v>
      </c>
      <c r="C566" s="6">
        <f t="shared" si="1"/>
        <v>2018</v>
      </c>
      <c r="D566" s="7" t="s">
        <v>968</v>
      </c>
      <c r="E566" s="7" t="s">
        <v>542</v>
      </c>
      <c r="F566" s="7" t="s">
        <v>31</v>
      </c>
      <c r="G566" s="5" t="s">
        <v>51</v>
      </c>
      <c r="H566" s="7" t="s">
        <v>43</v>
      </c>
      <c r="I566" s="7" t="s">
        <v>53</v>
      </c>
      <c r="J566" s="7" t="s">
        <v>204</v>
      </c>
      <c r="K566" s="7" t="s">
        <v>61</v>
      </c>
      <c r="L566" s="7" t="s">
        <v>37</v>
      </c>
      <c r="M566" s="7" t="s">
        <v>38</v>
      </c>
      <c r="N566" s="5">
        <v>43329.0</v>
      </c>
      <c r="O566" s="8">
        <v>151050.0</v>
      </c>
      <c r="P566" s="8">
        <v>239700.0</v>
      </c>
      <c r="Q566" s="8">
        <f t="shared" si="2"/>
        <v>88650</v>
      </c>
      <c r="R566" s="8">
        <v>26.0</v>
      </c>
      <c r="S566" s="8">
        <f t="shared" si="3"/>
        <v>6232200</v>
      </c>
      <c r="T566" s="9">
        <v>0.03</v>
      </c>
      <c r="U566" s="8">
        <f t="shared" si="4"/>
        <v>186966</v>
      </c>
      <c r="V566" s="8">
        <f t="shared" si="5"/>
        <v>6045234</v>
      </c>
      <c r="W566" s="10">
        <f t="shared" si="6"/>
        <v>3927300</v>
      </c>
      <c r="X566" s="10">
        <f t="shared" si="7"/>
        <v>2117934</v>
      </c>
      <c r="Y566" s="10"/>
      <c r="Z566" s="10"/>
      <c r="AA566" s="10"/>
      <c r="AB566" s="4" t="s">
        <v>1862</v>
      </c>
      <c r="AC566" s="4" t="s">
        <v>1861</v>
      </c>
      <c r="AD566" s="4">
        <v>43327.0</v>
      </c>
      <c r="AE566" s="4">
        <v>2018.0</v>
      </c>
      <c r="AF566" s="4" t="s">
        <v>968</v>
      </c>
      <c r="AG566" s="4" t="s">
        <v>542</v>
      </c>
      <c r="AH566" s="4" t="s">
        <v>31</v>
      </c>
      <c r="AI566" s="4" t="s">
        <v>51</v>
      </c>
      <c r="AJ566" s="4" t="s">
        <v>43</v>
      </c>
      <c r="AK566" s="4" t="s">
        <v>53</v>
      </c>
      <c r="AL566" s="4" t="s">
        <v>204</v>
      </c>
      <c r="AM566" s="4" t="s">
        <v>61</v>
      </c>
      <c r="AN566" s="4" t="s">
        <v>37</v>
      </c>
      <c r="AO566" s="4" t="s">
        <v>38</v>
      </c>
      <c r="AP566" s="4">
        <v>43329.0</v>
      </c>
      <c r="AQ566" s="4">
        <v>151050.0</v>
      </c>
      <c r="AR566" s="4">
        <v>239700.0</v>
      </c>
      <c r="AS566" s="4">
        <v>88650.0</v>
      </c>
      <c r="AT566" s="4">
        <v>26.0</v>
      </c>
      <c r="AU566" s="4">
        <v>6232200.0</v>
      </c>
      <c r="AV566" s="4">
        <v>0.03</v>
      </c>
      <c r="AW566" s="4">
        <v>186966.0</v>
      </c>
      <c r="AX566" s="4">
        <v>6045234.0</v>
      </c>
      <c r="AY566" s="4">
        <v>3927300.0</v>
      </c>
      <c r="AZ566" s="4">
        <v>2117934.0</v>
      </c>
    </row>
    <row r="567" ht="15.75" customHeight="1">
      <c r="A567" s="3" t="s">
        <v>1863</v>
      </c>
      <c r="B567" s="5">
        <v>43328.0</v>
      </c>
      <c r="C567" s="6">
        <f t="shared" si="1"/>
        <v>2018</v>
      </c>
      <c r="D567" s="7" t="s">
        <v>1864</v>
      </c>
      <c r="E567" s="7" t="s">
        <v>1428</v>
      </c>
      <c r="F567" s="7" t="s">
        <v>50</v>
      </c>
      <c r="G567" s="5" t="s">
        <v>51</v>
      </c>
      <c r="H567" s="7" t="s">
        <v>110</v>
      </c>
      <c r="I567" s="7" t="s">
        <v>34</v>
      </c>
      <c r="J567" s="7" t="s">
        <v>1129</v>
      </c>
      <c r="K567" s="7" t="s">
        <v>36</v>
      </c>
      <c r="L567" s="7" t="s">
        <v>37</v>
      </c>
      <c r="M567" s="7" t="s">
        <v>38</v>
      </c>
      <c r="N567" s="5">
        <v>43329.0</v>
      </c>
      <c r="O567" s="8">
        <v>1263300.0</v>
      </c>
      <c r="P567" s="8">
        <v>3158250.0</v>
      </c>
      <c r="Q567" s="8">
        <f t="shared" si="2"/>
        <v>1894950</v>
      </c>
      <c r="R567" s="8">
        <v>18.0</v>
      </c>
      <c r="S567" s="8">
        <f t="shared" si="3"/>
        <v>56848500</v>
      </c>
      <c r="T567" s="9">
        <v>0.05</v>
      </c>
      <c r="U567" s="8">
        <f t="shared" si="4"/>
        <v>2842425</v>
      </c>
      <c r="V567" s="8">
        <f t="shared" si="5"/>
        <v>54006075</v>
      </c>
      <c r="W567" s="10">
        <f t="shared" si="6"/>
        <v>22739400</v>
      </c>
      <c r="X567" s="10">
        <f t="shared" si="7"/>
        <v>31266675</v>
      </c>
      <c r="Y567" s="10"/>
      <c r="Z567" s="10"/>
      <c r="AA567" s="10"/>
      <c r="AB567" s="4" t="s">
        <v>1865</v>
      </c>
      <c r="AC567" s="4" t="s">
        <v>1863</v>
      </c>
      <c r="AD567" s="4">
        <v>43328.0</v>
      </c>
      <c r="AE567" s="4">
        <v>2018.0</v>
      </c>
      <c r="AF567" s="4" t="s">
        <v>1864</v>
      </c>
      <c r="AG567" s="4" t="s">
        <v>1428</v>
      </c>
      <c r="AH567" s="4" t="s">
        <v>50</v>
      </c>
      <c r="AI567" s="4" t="s">
        <v>51</v>
      </c>
      <c r="AJ567" s="4" t="s">
        <v>110</v>
      </c>
      <c r="AK567" s="4" t="s">
        <v>34</v>
      </c>
      <c r="AL567" s="4" t="s">
        <v>1129</v>
      </c>
      <c r="AM567" s="4" t="s">
        <v>36</v>
      </c>
      <c r="AN567" s="4" t="s">
        <v>37</v>
      </c>
      <c r="AO567" s="4" t="s">
        <v>38</v>
      </c>
      <c r="AP567" s="4">
        <v>43329.0</v>
      </c>
      <c r="AQ567" s="4">
        <v>1263300.0</v>
      </c>
      <c r="AR567" s="4">
        <v>3158250.0</v>
      </c>
      <c r="AS567" s="4">
        <v>1894950.0</v>
      </c>
      <c r="AT567" s="4">
        <v>18.0</v>
      </c>
      <c r="AU567" s="4">
        <v>5.68485E7</v>
      </c>
      <c r="AV567" s="4">
        <v>0.05</v>
      </c>
      <c r="AW567" s="4">
        <v>2842425.0</v>
      </c>
      <c r="AX567" s="4">
        <v>5.4006075E7</v>
      </c>
      <c r="AY567" s="4">
        <v>2.27394E7</v>
      </c>
      <c r="AZ567" s="4">
        <v>3.1266675E7</v>
      </c>
    </row>
    <row r="568" ht="15.75" customHeight="1">
      <c r="A568" s="3" t="s">
        <v>1866</v>
      </c>
      <c r="B568" s="5">
        <v>43330.0</v>
      </c>
      <c r="C568" s="6">
        <f t="shared" si="1"/>
        <v>2018</v>
      </c>
      <c r="D568" s="7" t="s">
        <v>1867</v>
      </c>
      <c r="E568" s="7" t="s">
        <v>393</v>
      </c>
      <c r="F568" s="7" t="s">
        <v>31</v>
      </c>
      <c r="G568" s="5" t="s">
        <v>32</v>
      </c>
      <c r="H568" s="7" t="s">
        <v>43</v>
      </c>
      <c r="I568" s="7" t="s">
        <v>74</v>
      </c>
      <c r="J568" s="7" t="s">
        <v>254</v>
      </c>
      <c r="K568" s="7" t="s">
        <v>36</v>
      </c>
      <c r="L568" s="7" t="s">
        <v>37</v>
      </c>
      <c r="M568" s="7" t="s">
        <v>38</v>
      </c>
      <c r="N568" s="5">
        <v>43332.0</v>
      </c>
      <c r="O568" s="8">
        <v>208200.0</v>
      </c>
      <c r="P568" s="8">
        <v>335700.0</v>
      </c>
      <c r="Q568" s="8">
        <f t="shared" si="2"/>
        <v>127500</v>
      </c>
      <c r="R568" s="8">
        <v>45.0</v>
      </c>
      <c r="S568" s="8">
        <f t="shared" si="3"/>
        <v>15106500</v>
      </c>
      <c r="T568" s="9">
        <v>0.05</v>
      </c>
      <c r="U568" s="8">
        <f t="shared" si="4"/>
        <v>755325</v>
      </c>
      <c r="V568" s="8">
        <f t="shared" si="5"/>
        <v>14351175</v>
      </c>
      <c r="W568" s="10">
        <f t="shared" si="6"/>
        <v>9369000</v>
      </c>
      <c r="X568" s="10">
        <f t="shared" si="7"/>
        <v>4982175</v>
      </c>
      <c r="Y568" s="10"/>
      <c r="Z568" s="10"/>
      <c r="AA568" s="10"/>
      <c r="AB568" s="4" t="s">
        <v>1868</v>
      </c>
      <c r="AC568" s="4" t="s">
        <v>1866</v>
      </c>
      <c r="AD568" s="4">
        <v>43330.0</v>
      </c>
      <c r="AE568" s="4">
        <v>2018.0</v>
      </c>
      <c r="AF568" s="4" t="s">
        <v>1867</v>
      </c>
      <c r="AG568" s="4" t="s">
        <v>393</v>
      </c>
      <c r="AH568" s="4" t="s">
        <v>31</v>
      </c>
      <c r="AI568" s="4" t="s">
        <v>32</v>
      </c>
      <c r="AJ568" s="4" t="s">
        <v>43</v>
      </c>
      <c r="AK568" s="4" t="s">
        <v>74</v>
      </c>
      <c r="AL568" s="4" t="s">
        <v>254</v>
      </c>
      <c r="AM568" s="4" t="s">
        <v>36</v>
      </c>
      <c r="AN568" s="4" t="s">
        <v>37</v>
      </c>
      <c r="AO568" s="4" t="s">
        <v>38</v>
      </c>
      <c r="AP568" s="4">
        <v>43332.0</v>
      </c>
      <c r="AQ568" s="4">
        <v>208200.0</v>
      </c>
      <c r="AR568" s="4">
        <v>335700.0</v>
      </c>
      <c r="AS568" s="4">
        <v>127500.0</v>
      </c>
      <c r="AT568" s="4">
        <v>45.0</v>
      </c>
      <c r="AU568" s="4">
        <v>1.51065E7</v>
      </c>
      <c r="AV568" s="4">
        <v>0.05</v>
      </c>
      <c r="AW568" s="4">
        <v>755325.0</v>
      </c>
      <c r="AX568" s="4">
        <v>1.4351175E7</v>
      </c>
      <c r="AY568" s="4">
        <v>9369000.0</v>
      </c>
      <c r="AZ568" s="4">
        <v>4982175.0</v>
      </c>
    </row>
    <row r="569" ht="15.75" customHeight="1">
      <c r="A569" s="2" t="s">
        <v>1869</v>
      </c>
      <c r="B569" s="5">
        <v>43334.0</v>
      </c>
      <c r="C569" s="6">
        <f t="shared" si="1"/>
        <v>2018</v>
      </c>
      <c r="D569" s="7" t="s">
        <v>812</v>
      </c>
      <c r="E569" s="3" t="s">
        <v>813</v>
      </c>
      <c r="F569" s="7" t="s">
        <v>289</v>
      </c>
      <c r="G569" s="5" t="s">
        <v>51</v>
      </c>
      <c r="H569" s="7" t="s">
        <v>200</v>
      </c>
      <c r="I569" s="7" t="s">
        <v>92</v>
      </c>
      <c r="J569" s="7" t="s">
        <v>473</v>
      </c>
      <c r="K569" s="7" t="s">
        <v>61</v>
      </c>
      <c r="L569" s="7" t="s">
        <v>37</v>
      </c>
      <c r="M569" s="7" t="s">
        <v>38</v>
      </c>
      <c r="N569" s="5">
        <v>43335.0</v>
      </c>
      <c r="O569" s="8">
        <v>817800.0</v>
      </c>
      <c r="P569" s="8">
        <v>1514550.0</v>
      </c>
      <c r="Q569" s="8">
        <f t="shared" si="2"/>
        <v>696750</v>
      </c>
      <c r="R569" s="8">
        <v>15.0</v>
      </c>
      <c r="S569" s="8">
        <f t="shared" si="3"/>
        <v>22718250</v>
      </c>
      <c r="T569" s="9">
        <v>0.1</v>
      </c>
      <c r="U569" s="8">
        <f t="shared" si="4"/>
        <v>2271825</v>
      </c>
      <c r="V569" s="8">
        <f t="shared" si="5"/>
        <v>20446425</v>
      </c>
      <c r="W569" s="10">
        <f t="shared" si="6"/>
        <v>12267000</v>
      </c>
      <c r="X569" s="10">
        <f t="shared" si="7"/>
        <v>8179425</v>
      </c>
      <c r="Y569" s="10"/>
      <c r="Z569" s="10"/>
      <c r="AA569" s="10"/>
      <c r="AB569" s="4" t="s">
        <v>1870</v>
      </c>
      <c r="AC569" s="4" t="s">
        <v>1869</v>
      </c>
      <c r="AD569" s="4">
        <v>43334.0</v>
      </c>
      <c r="AE569" s="4">
        <v>2018.0</v>
      </c>
      <c r="AF569" s="4" t="s">
        <v>812</v>
      </c>
      <c r="AG569" s="4" t="s">
        <v>813</v>
      </c>
      <c r="AH569" s="4" t="s">
        <v>289</v>
      </c>
      <c r="AI569" s="4" t="s">
        <v>51</v>
      </c>
      <c r="AJ569" s="4" t="s">
        <v>200</v>
      </c>
      <c r="AK569" s="4" t="s">
        <v>92</v>
      </c>
      <c r="AL569" s="4" t="s">
        <v>473</v>
      </c>
      <c r="AM569" s="4" t="s">
        <v>61</v>
      </c>
      <c r="AN569" s="4" t="s">
        <v>37</v>
      </c>
      <c r="AO569" s="4" t="s">
        <v>38</v>
      </c>
      <c r="AP569" s="4">
        <v>43335.0</v>
      </c>
      <c r="AQ569" s="4">
        <v>817800.0</v>
      </c>
      <c r="AR569" s="4">
        <v>1514550.0</v>
      </c>
      <c r="AS569" s="4">
        <v>696750.0</v>
      </c>
      <c r="AT569" s="4">
        <v>15.0</v>
      </c>
      <c r="AU569" s="4">
        <v>2.271825E7</v>
      </c>
      <c r="AV569" s="4">
        <v>0.1</v>
      </c>
      <c r="AW569" s="4">
        <v>2271825.0</v>
      </c>
      <c r="AX569" s="4">
        <v>2.0446425E7</v>
      </c>
      <c r="AY569" s="4">
        <v>1.2267E7</v>
      </c>
      <c r="AZ569" s="4">
        <v>8179425.0</v>
      </c>
    </row>
    <row r="570" ht="15.75" customHeight="1">
      <c r="A570" s="2" t="s">
        <v>1871</v>
      </c>
      <c r="B570" s="5">
        <v>43335.0</v>
      </c>
      <c r="C570" s="6">
        <f t="shared" si="1"/>
        <v>2018</v>
      </c>
      <c r="D570" s="7" t="s">
        <v>854</v>
      </c>
      <c r="E570" s="7" t="s">
        <v>952</v>
      </c>
      <c r="F570" s="7" t="s">
        <v>50</v>
      </c>
      <c r="G570" s="5" t="s">
        <v>51</v>
      </c>
      <c r="H570" s="7" t="s">
        <v>140</v>
      </c>
      <c r="I570" s="7" t="s">
        <v>104</v>
      </c>
      <c r="J570" s="7" t="s">
        <v>1012</v>
      </c>
      <c r="K570" s="7" t="s">
        <v>36</v>
      </c>
      <c r="L570" s="7" t="s">
        <v>127</v>
      </c>
      <c r="M570" s="7" t="s">
        <v>38</v>
      </c>
      <c r="N570" s="5">
        <v>43337.0</v>
      </c>
      <c r="O570" s="8">
        <v>62850.00000000001</v>
      </c>
      <c r="P570" s="8">
        <v>153450.0</v>
      </c>
      <c r="Q570" s="8">
        <f t="shared" si="2"/>
        <v>90600</v>
      </c>
      <c r="R570" s="8">
        <v>46.0</v>
      </c>
      <c r="S570" s="8">
        <f t="shared" si="3"/>
        <v>7058700</v>
      </c>
      <c r="T570" s="9">
        <v>0.05</v>
      </c>
      <c r="U570" s="8">
        <f t="shared" si="4"/>
        <v>352935</v>
      </c>
      <c r="V570" s="8">
        <f t="shared" si="5"/>
        <v>6705765</v>
      </c>
      <c r="W570" s="10">
        <f t="shared" si="6"/>
        <v>2891100</v>
      </c>
      <c r="X570" s="10">
        <f t="shared" si="7"/>
        <v>3814665</v>
      </c>
      <c r="Y570" s="10"/>
      <c r="Z570" s="10"/>
      <c r="AA570" s="10"/>
      <c r="AB570" s="4" t="s">
        <v>1872</v>
      </c>
      <c r="AC570" s="4" t="s">
        <v>1871</v>
      </c>
      <c r="AD570" s="4">
        <v>43335.0</v>
      </c>
      <c r="AE570" s="4">
        <v>2018.0</v>
      </c>
      <c r="AF570" s="4" t="s">
        <v>854</v>
      </c>
      <c r="AG570" s="4" t="s">
        <v>952</v>
      </c>
      <c r="AH570" s="4" t="s">
        <v>50</v>
      </c>
      <c r="AI570" s="4" t="s">
        <v>51</v>
      </c>
      <c r="AJ570" s="4" t="s">
        <v>140</v>
      </c>
      <c r="AK570" s="4" t="s">
        <v>104</v>
      </c>
      <c r="AL570" s="4" t="s">
        <v>1012</v>
      </c>
      <c r="AM570" s="4" t="s">
        <v>36</v>
      </c>
      <c r="AN570" s="4" t="s">
        <v>127</v>
      </c>
      <c r="AO570" s="4" t="s">
        <v>38</v>
      </c>
      <c r="AP570" s="4">
        <v>43337.0</v>
      </c>
      <c r="AQ570" s="4">
        <v>62850.0</v>
      </c>
      <c r="AR570" s="4">
        <v>153450.0</v>
      </c>
      <c r="AS570" s="4">
        <v>90600.0</v>
      </c>
      <c r="AT570" s="4">
        <v>46.0</v>
      </c>
      <c r="AU570" s="4">
        <v>7058700.0</v>
      </c>
      <c r="AV570" s="4">
        <v>0.05</v>
      </c>
      <c r="AW570" s="4">
        <v>352935.0</v>
      </c>
      <c r="AX570" s="4">
        <v>6705765.0</v>
      </c>
      <c r="AY570" s="4">
        <v>2891100.0</v>
      </c>
      <c r="AZ570" s="4">
        <v>3814665.0</v>
      </c>
    </row>
    <row r="571" ht="15.75" customHeight="1">
      <c r="A571" s="2" t="s">
        <v>1873</v>
      </c>
      <c r="B571" s="5">
        <v>43335.0</v>
      </c>
      <c r="C571" s="6">
        <f t="shared" si="1"/>
        <v>2018</v>
      </c>
      <c r="D571" s="7" t="s">
        <v>854</v>
      </c>
      <c r="E571" s="7" t="s">
        <v>952</v>
      </c>
      <c r="F571" s="7" t="s">
        <v>50</v>
      </c>
      <c r="G571" s="5" t="s">
        <v>51</v>
      </c>
      <c r="H571" s="7" t="s">
        <v>140</v>
      </c>
      <c r="I571" s="7" t="s">
        <v>104</v>
      </c>
      <c r="J571" s="7" t="s">
        <v>497</v>
      </c>
      <c r="K571" s="7" t="s">
        <v>36</v>
      </c>
      <c r="L571" s="7" t="s">
        <v>37</v>
      </c>
      <c r="M571" s="7" t="s">
        <v>38</v>
      </c>
      <c r="N571" s="5">
        <v>43337.0</v>
      </c>
      <c r="O571" s="8">
        <v>54750.0</v>
      </c>
      <c r="P571" s="8">
        <v>89700.0</v>
      </c>
      <c r="Q571" s="8">
        <f t="shared" si="2"/>
        <v>34950</v>
      </c>
      <c r="R571" s="8">
        <v>4.0</v>
      </c>
      <c r="S571" s="8">
        <f t="shared" si="3"/>
        <v>358800</v>
      </c>
      <c r="T571" s="9">
        <v>0.07</v>
      </c>
      <c r="U571" s="8">
        <f t="shared" si="4"/>
        <v>25116</v>
      </c>
      <c r="V571" s="8">
        <f t="shared" si="5"/>
        <v>333684</v>
      </c>
      <c r="W571" s="10">
        <f t="shared" si="6"/>
        <v>219000</v>
      </c>
      <c r="X571" s="10">
        <f t="shared" si="7"/>
        <v>114684</v>
      </c>
      <c r="Y571" s="10"/>
      <c r="Z571" s="10"/>
      <c r="AA571" s="10"/>
      <c r="AB571" s="4" t="s">
        <v>1874</v>
      </c>
      <c r="AC571" s="4" t="s">
        <v>1873</v>
      </c>
      <c r="AD571" s="4">
        <v>43335.0</v>
      </c>
      <c r="AE571" s="4">
        <v>2018.0</v>
      </c>
      <c r="AF571" s="4" t="s">
        <v>854</v>
      </c>
      <c r="AG571" s="4" t="s">
        <v>952</v>
      </c>
      <c r="AH571" s="4" t="s">
        <v>50</v>
      </c>
      <c r="AI571" s="4" t="s">
        <v>51</v>
      </c>
      <c r="AJ571" s="4" t="s">
        <v>140</v>
      </c>
      <c r="AK571" s="4" t="s">
        <v>104</v>
      </c>
      <c r="AL571" s="4" t="s">
        <v>497</v>
      </c>
      <c r="AM571" s="4" t="s">
        <v>36</v>
      </c>
      <c r="AN571" s="4" t="s">
        <v>37</v>
      </c>
      <c r="AO571" s="4" t="s">
        <v>38</v>
      </c>
      <c r="AP571" s="4">
        <v>43337.0</v>
      </c>
      <c r="AQ571" s="4">
        <v>54750.0</v>
      </c>
      <c r="AR571" s="4">
        <v>89700.0</v>
      </c>
      <c r="AS571" s="4">
        <v>34950.0</v>
      </c>
      <c r="AT571" s="4">
        <v>4.0</v>
      </c>
      <c r="AU571" s="4">
        <v>358800.0</v>
      </c>
      <c r="AV571" s="4">
        <v>0.07</v>
      </c>
      <c r="AW571" s="4">
        <v>25116.0</v>
      </c>
      <c r="AX571" s="4">
        <v>333684.0</v>
      </c>
      <c r="AY571" s="4">
        <v>219000.0</v>
      </c>
      <c r="AZ571" s="4">
        <v>114684.0</v>
      </c>
    </row>
    <row r="572" ht="15.75" customHeight="1">
      <c r="A572" s="3" t="s">
        <v>1875</v>
      </c>
      <c r="B572" s="5">
        <v>43336.0</v>
      </c>
      <c r="C572" s="6">
        <f t="shared" si="1"/>
        <v>2018</v>
      </c>
      <c r="D572" s="7" t="s">
        <v>118</v>
      </c>
      <c r="E572" s="7" t="s">
        <v>119</v>
      </c>
      <c r="F572" s="7" t="s">
        <v>31</v>
      </c>
      <c r="G572" s="5" t="s">
        <v>51</v>
      </c>
      <c r="H572" s="7" t="s">
        <v>33</v>
      </c>
      <c r="I572" s="7" t="s">
        <v>34</v>
      </c>
      <c r="J572" s="7" t="s">
        <v>1224</v>
      </c>
      <c r="K572" s="7" t="s">
        <v>36</v>
      </c>
      <c r="L572" s="7" t="s">
        <v>45</v>
      </c>
      <c r="M572" s="7" t="s">
        <v>38</v>
      </c>
      <c r="N572" s="5">
        <v>43338.0</v>
      </c>
      <c r="O572" s="8">
        <v>28200.0</v>
      </c>
      <c r="P572" s="8">
        <v>47100.0</v>
      </c>
      <c r="Q572" s="8">
        <f t="shared" si="2"/>
        <v>18900</v>
      </c>
      <c r="R572" s="8">
        <v>50.0</v>
      </c>
      <c r="S572" s="8">
        <f t="shared" si="3"/>
        <v>2355000</v>
      </c>
      <c r="T572" s="9">
        <v>0.0</v>
      </c>
      <c r="U572" s="8">
        <f t="shared" si="4"/>
        <v>0</v>
      </c>
      <c r="V572" s="8">
        <f t="shared" si="5"/>
        <v>2355000</v>
      </c>
      <c r="W572" s="10">
        <f t="shared" si="6"/>
        <v>1410000</v>
      </c>
      <c r="X572" s="10">
        <f t="shared" si="7"/>
        <v>945000</v>
      </c>
      <c r="Y572" s="10"/>
      <c r="Z572" s="10"/>
      <c r="AA572" s="10"/>
      <c r="AB572" s="4" t="s">
        <v>1876</v>
      </c>
      <c r="AC572" s="4" t="s">
        <v>1875</v>
      </c>
      <c r="AD572" s="4">
        <v>43336.0</v>
      </c>
      <c r="AE572" s="4">
        <v>2018.0</v>
      </c>
      <c r="AF572" s="4" t="s">
        <v>118</v>
      </c>
      <c r="AG572" s="4" t="s">
        <v>119</v>
      </c>
      <c r="AH572" s="4" t="s">
        <v>31</v>
      </c>
      <c r="AI572" s="4" t="s">
        <v>51</v>
      </c>
      <c r="AJ572" s="4" t="s">
        <v>33</v>
      </c>
      <c r="AK572" s="4" t="s">
        <v>34</v>
      </c>
      <c r="AL572" s="4" t="s">
        <v>1224</v>
      </c>
      <c r="AM572" s="4" t="s">
        <v>36</v>
      </c>
      <c r="AN572" s="4" t="s">
        <v>45</v>
      </c>
      <c r="AO572" s="4" t="s">
        <v>38</v>
      </c>
      <c r="AP572" s="4">
        <v>43338.0</v>
      </c>
      <c r="AQ572" s="4">
        <v>28200.0</v>
      </c>
      <c r="AR572" s="4">
        <v>47100.0</v>
      </c>
      <c r="AS572" s="4">
        <v>18900.0</v>
      </c>
      <c r="AT572" s="4">
        <v>50.0</v>
      </c>
      <c r="AU572" s="4">
        <v>2355000.0</v>
      </c>
      <c r="AV572" s="4">
        <v>0.0</v>
      </c>
      <c r="AW572" s="4">
        <v>0.0</v>
      </c>
      <c r="AX572" s="4">
        <v>2355000.0</v>
      </c>
      <c r="AY572" s="4">
        <v>1410000.0</v>
      </c>
      <c r="AZ572" s="4">
        <v>945000.0</v>
      </c>
    </row>
    <row r="573" ht="15.75" customHeight="1">
      <c r="A573" s="3" t="s">
        <v>1877</v>
      </c>
      <c r="B573" s="5">
        <v>43338.0</v>
      </c>
      <c r="C573" s="6">
        <f t="shared" si="1"/>
        <v>2018</v>
      </c>
      <c r="D573" s="7" t="s">
        <v>1878</v>
      </c>
      <c r="E573" s="7" t="s">
        <v>416</v>
      </c>
      <c r="F573" s="7" t="s">
        <v>50</v>
      </c>
      <c r="G573" s="5" t="s">
        <v>51</v>
      </c>
      <c r="H573" s="7" t="s">
        <v>52</v>
      </c>
      <c r="I573" s="7" t="s">
        <v>104</v>
      </c>
      <c r="J573" s="7" t="s">
        <v>467</v>
      </c>
      <c r="K573" s="7" t="s">
        <v>36</v>
      </c>
      <c r="L573" s="7" t="s">
        <v>45</v>
      </c>
      <c r="M573" s="7" t="s">
        <v>55</v>
      </c>
      <c r="N573" s="5">
        <v>43338.0</v>
      </c>
      <c r="O573" s="8">
        <v>3600.0</v>
      </c>
      <c r="P573" s="8">
        <v>18900.0</v>
      </c>
      <c r="Q573" s="8">
        <f t="shared" si="2"/>
        <v>15300</v>
      </c>
      <c r="R573" s="8">
        <v>35.0</v>
      </c>
      <c r="S573" s="8">
        <f t="shared" si="3"/>
        <v>661500</v>
      </c>
      <c r="T573" s="9">
        <v>0.06</v>
      </c>
      <c r="U573" s="8">
        <f t="shared" si="4"/>
        <v>39690</v>
      </c>
      <c r="V573" s="8">
        <f t="shared" si="5"/>
        <v>621810</v>
      </c>
      <c r="W573" s="10">
        <f t="shared" si="6"/>
        <v>126000</v>
      </c>
      <c r="X573" s="10">
        <f t="shared" si="7"/>
        <v>495810</v>
      </c>
      <c r="Y573" s="10"/>
      <c r="Z573" s="10"/>
      <c r="AA573" s="10"/>
      <c r="AB573" s="4" t="s">
        <v>1879</v>
      </c>
      <c r="AC573" s="4" t="s">
        <v>1877</v>
      </c>
      <c r="AD573" s="4">
        <v>43338.0</v>
      </c>
      <c r="AE573" s="4">
        <v>2018.0</v>
      </c>
      <c r="AF573" s="4" t="s">
        <v>1878</v>
      </c>
      <c r="AG573" s="4" t="s">
        <v>416</v>
      </c>
      <c r="AH573" s="4" t="s">
        <v>50</v>
      </c>
      <c r="AI573" s="4" t="s">
        <v>51</v>
      </c>
      <c r="AJ573" s="4" t="s">
        <v>52</v>
      </c>
      <c r="AK573" s="4" t="s">
        <v>104</v>
      </c>
      <c r="AL573" s="4" t="s">
        <v>467</v>
      </c>
      <c r="AM573" s="4" t="s">
        <v>36</v>
      </c>
      <c r="AN573" s="4" t="s">
        <v>45</v>
      </c>
      <c r="AO573" s="4" t="s">
        <v>55</v>
      </c>
      <c r="AP573" s="4">
        <v>43338.0</v>
      </c>
      <c r="AQ573" s="4">
        <v>3600.0</v>
      </c>
      <c r="AR573" s="4">
        <v>18900.0</v>
      </c>
      <c r="AS573" s="4">
        <v>15300.0</v>
      </c>
      <c r="AT573" s="4">
        <v>35.0</v>
      </c>
      <c r="AU573" s="4">
        <v>661500.0</v>
      </c>
      <c r="AV573" s="4">
        <v>0.06</v>
      </c>
      <c r="AW573" s="4">
        <v>39690.0</v>
      </c>
      <c r="AX573" s="4">
        <v>621810.0</v>
      </c>
      <c r="AY573" s="4">
        <v>126000.0</v>
      </c>
      <c r="AZ573" s="4">
        <v>495810.0</v>
      </c>
    </row>
    <row r="574" ht="15.75" customHeight="1">
      <c r="A574" s="3" t="s">
        <v>1880</v>
      </c>
      <c r="B574" s="5">
        <v>43338.0</v>
      </c>
      <c r="C574" s="6">
        <f t="shared" si="1"/>
        <v>2018</v>
      </c>
      <c r="D574" s="7" t="s">
        <v>1881</v>
      </c>
      <c r="E574" s="7" t="s">
        <v>939</v>
      </c>
      <c r="F574" s="7" t="s">
        <v>50</v>
      </c>
      <c r="G574" s="5" t="s">
        <v>32</v>
      </c>
      <c r="H574" s="7" t="s">
        <v>189</v>
      </c>
      <c r="I574" s="7" t="s">
        <v>34</v>
      </c>
      <c r="J574" s="7" t="s">
        <v>365</v>
      </c>
      <c r="K574" s="7" t="s">
        <v>36</v>
      </c>
      <c r="L574" s="7" t="s">
        <v>37</v>
      </c>
      <c r="M574" s="7" t="s">
        <v>38</v>
      </c>
      <c r="N574" s="5">
        <v>43340.0</v>
      </c>
      <c r="O574" s="8">
        <v>2682450.0</v>
      </c>
      <c r="P574" s="8">
        <v>6238200.0</v>
      </c>
      <c r="Q574" s="8">
        <f t="shared" si="2"/>
        <v>3555750</v>
      </c>
      <c r="R574" s="8">
        <v>11.0</v>
      </c>
      <c r="S574" s="8">
        <f t="shared" si="3"/>
        <v>68620200</v>
      </c>
      <c r="T574" s="9">
        <v>0.06</v>
      </c>
      <c r="U574" s="8">
        <f t="shared" si="4"/>
        <v>4117212</v>
      </c>
      <c r="V574" s="8">
        <f t="shared" si="5"/>
        <v>64502988</v>
      </c>
      <c r="W574" s="10">
        <f t="shared" si="6"/>
        <v>29506950</v>
      </c>
      <c r="X574" s="10">
        <f t="shared" si="7"/>
        <v>34996038</v>
      </c>
      <c r="Y574" s="10"/>
      <c r="Z574" s="10"/>
      <c r="AA574" s="10"/>
      <c r="AB574" s="4" t="s">
        <v>1882</v>
      </c>
      <c r="AC574" s="4" t="s">
        <v>1880</v>
      </c>
      <c r="AD574" s="4">
        <v>43338.0</v>
      </c>
      <c r="AE574" s="4">
        <v>2018.0</v>
      </c>
      <c r="AF574" s="4" t="s">
        <v>1881</v>
      </c>
      <c r="AG574" s="4" t="s">
        <v>939</v>
      </c>
      <c r="AH574" s="4" t="s">
        <v>50</v>
      </c>
      <c r="AI574" s="4" t="s">
        <v>32</v>
      </c>
      <c r="AJ574" s="4" t="s">
        <v>189</v>
      </c>
      <c r="AK574" s="4" t="s">
        <v>34</v>
      </c>
      <c r="AL574" s="4" t="s">
        <v>365</v>
      </c>
      <c r="AM574" s="4" t="s">
        <v>36</v>
      </c>
      <c r="AN574" s="4" t="s">
        <v>37</v>
      </c>
      <c r="AO574" s="4" t="s">
        <v>38</v>
      </c>
      <c r="AP574" s="4">
        <v>43340.0</v>
      </c>
      <c r="AQ574" s="4">
        <v>2682450.0</v>
      </c>
      <c r="AR574" s="4">
        <v>6238200.0</v>
      </c>
      <c r="AS574" s="4">
        <v>3555750.0</v>
      </c>
      <c r="AT574" s="4">
        <v>11.0</v>
      </c>
      <c r="AU574" s="4">
        <v>6.86202E7</v>
      </c>
      <c r="AV574" s="4">
        <v>0.06</v>
      </c>
      <c r="AW574" s="4">
        <v>4117212.0</v>
      </c>
      <c r="AX574" s="4">
        <v>6.4502988E7</v>
      </c>
      <c r="AY574" s="4">
        <v>2.950695E7</v>
      </c>
      <c r="AZ574" s="4">
        <v>3.4996038E7</v>
      </c>
    </row>
    <row r="575" ht="15.75" customHeight="1">
      <c r="A575" s="3" t="s">
        <v>1883</v>
      </c>
      <c r="B575" s="5">
        <v>43339.0</v>
      </c>
      <c r="C575" s="6">
        <f t="shared" si="1"/>
        <v>2018</v>
      </c>
      <c r="D575" s="7" t="s">
        <v>1884</v>
      </c>
      <c r="E575" s="7" t="s">
        <v>1885</v>
      </c>
      <c r="F575" s="7" t="s">
        <v>50</v>
      </c>
      <c r="G575" s="5" t="s">
        <v>32</v>
      </c>
      <c r="H575" s="7" t="s">
        <v>110</v>
      </c>
      <c r="I575" s="7" t="s">
        <v>34</v>
      </c>
      <c r="J575" s="7" t="s">
        <v>595</v>
      </c>
      <c r="K575" s="7" t="s">
        <v>36</v>
      </c>
      <c r="L575" s="7" t="s">
        <v>127</v>
      </c>
      <c r="M575" s="7" t="s">
        <v>38</v>
      </c>
      <c r="N575" s="5">
        <v>43341.0</v>
      </c>
      <c r="O575" s="8">
        <v>77850.0</v>
      </c>
      <c r="P575" s="8">
        <v>194700.0</v>
      </c>
      <c r="Q575" s="8">
        <f t="shared" si="2"/>
        <v>116850</v>
      </c>
      <c r="R575" s="8">
        <v>23.0</v>
      </c>
      <c r="S575" s="8">
        <f t="shared" si="3"/>
        <v>4478100</v>
      </c>
      <c r="T575" s="9">
        <v>0.01</v>
      </c>
      <c r="U575" s="8">
        <f t="shared" si="4"/>
        <v>44781</v>
      </c>
      <c r="V575" s="8">
        <f t="shared" si="5"/>
        <v>4433319</v>
      </c>
      <c r="W575" s="10">
        <f t="shared" si="6"/>
        <v>1790550</v>
      </c>
      <c r="X575" s="10">
        <f t="shared" si="7"/>
        <v>2642769</v>
      </c>
      <c r="Y575" s="10"/>
      <c r="Z575" s="10"/>
      <c r="AA575" s="10"/>
      <c r="AB575" s="4" t="s">
        <v>1886</v>
      </c>
      <c r="AC575" s="4" t="s">
        <v>1883</v>
      </c>
      <c r="AD575" s="4">
        <v>43339.0</v>
      </c>
      <c r="AE575" s="4">
        <v>2018.0</v>
      </c>
      <c r="AF575" s="4" t="s">
        <v>1884</v>
      </c>
      <c r="AG575" s="4" t="s">
        <v>1885</v>
      </c>
      <c r="AH575" s="4" t="s">
        <v>50</v>
      </c>
      <c r="AI575" s="4" t="s">
        <v>32</v>
      </c>
      <c r="AJ575" s="4" t="s">
        <v>110</v>
      </c>
      <c r="AK575" s="4" t="s">
        <v>34</v>
      </c>
      <c r="AL575" s="4" t="s">
        <v>595</v>
      </c>
      <c r="AM575" s="4" t="s">
        <v>36</v>
      </c>
      <c r="AN575" s="4" t="s">
        <v>127</v>
      </c>
      <c r="AO575" s="4" t="s">
        <v>38</v>
      </c>
      <c r="AP575" s="4">
        <v>43341.0</v>
      </c>
      <c r="AQ575" s="4">
        <v>77850.0</v>
      </c>
      <c r="AR575" s="4">
        <v>194700.0</v>
      </c>
      <c r="AS575" s="4">
        <v>116850.0</v>
      </c>
      <c r="AT575" s="4">
        <v>23.0</v>
      </c>
      <c r="AU575" s="4">
        <v>4478100.0</v>
      </c>
      <c r="AV575" s="4">
        <v>0.01</v>
      </c>
      <c r="AW575" s="4">
        <v>44781.0</v>
      </c>
      <c r="AX575" s="4">
        <v>4433319.0</v>
      </c>
      <c r="AY575" s="4">
        <v>1790550.0</v>
      </c>
      <c r="AZ575" s="4">
        <v>2642769.0</v>
      </c>
    </row>
    <row r="576" ht="15.75" customHeight="1">
      <c r="A576" s="3" t="s">
        <v>1887</v>
      </c>
      <c r="B576" s="5">
        <v>43341.0</v>
      </c>
      <c r="C576" s="6">
        <f t="shared" si="1"/>
        <v>2018</v>
      </c>
      <c r="D576" s="7" t="s">
        <v>1242</v>
      </c>
      <c r="E576" s="7" t="s">
        <v>1243</v>
      </c>
      <c r="F576" s="7" t="s">
        <v>50</v>
      </c>
      <c r="G576" s="5" t="s">
        <v>32</v>
      </c>
      <c r="H576" s="7" t="s">
        <v>80</v>
      </c>
      <c r="I576" s="7" t="s">
        <v>92</v>
      </c>
      <c r="J576" s="7" t="s">
        <v>322</v>
      </c>
      <c r="K576" s="7" t="s">
        <v>36</v>
      </c>
      <c r="L576" s="7" t="s">
        <v>37</v>
      </c>
      <c r="M576" s="7" t="s">
        <v>38</v>
      </c>
      <c r="N576" s="5">
        <v>43344.0</v>
      </c>
      <c r="O576" s="8">
        <v>185850.0</v>
      </c>
      <c r="P576" s="8">
        <v>299700.0</v>
      </c>
      <c r="Q576" s="8">
        <f t="shared" si="2"/>
        <v>113850</v>
      </c>
      <c r="R576" s="8">
        <v>33.0</v>
      </c>
      <c r="S576" s="8">
        <f t="shared" si="3"/>
        <v>9890100</v>
      </c>
      <c r="T576" s="9">
        <v>0.09</v>
      </c>
      <c r="U576" s="8">
        <f t="shared" si="4"/>
        <v>890109</v>
      </c>
      <c r="V576" s="8">
        <f t="shared" si="5"/>
        <v>8999991</v>
      </c>
      <c r="W576" s="10">
        <f t="shared" si="6"/>
        <v>6133050</v>
      </c>
      <c r="X576" s="10">
        <f t="shared" si="7"/>
        <v>2866941</v>
      </c>
      <c r="Y576" s="10"/>
      <c r="Z576" s="10"/>
      <c r="AA576" s="10"/>
      <c r="AB576" s="4" t="s">
        <v>1888</v>
      </c>
      <c r="AC576" s="4" t="s">
        <v>1887</v>
      </c>
      <c r="AD576" s="4">
        <v>43341.0</v>
      </c>
      <c r="AE576" s="4">
        <v>2018.0</v>
      </c>
      <c r="AF576" s="4" t="s">
        <v>1242</v>
      </c>
      <c r="AG576" s="4" t="s">
        <v>1243</v>
      </c>
      <c r="AH576" s="4" t="s">
        <v>50</v>
      </c>
      <c r="AI576" s="4" t="s">
        <v>32</v>
      </c>
      <c r="AJ576" s="4" t="s">
        <v>80</v>
      </c>
      <c r="AK576" s="4" t="s">
        <v>92</v>
      </c>
      <c r="AL576" s="4" t="s">
        <v>322</v>
      </c>
      <c r="AM576" s="4" t="s">
        <v>36</v>
      </c>
      <c r="AN576" s="4" t="s">
        <v>37</v>
      </c>
      <c r="AO576" s="4" t="s">
        <v>38</v>
      </c>
      <c r="AP576" s="4">
        <v>43344.0</v>
      </c>
      <c r="AQ576" s="4">
        <v>185850.0</v>
      </c>
      <c r="AR576" s="4">
        <v>299700.0</v>
      </c>
      <c r="AS576" s="4">
        <v>113850.0</v>
      </c>
      <c r="AT576" s="4">
        <v>33.0</v>
      </c>
      <c r="AU576" s="4">
        <v>9890100.0</v>
      </c>
      <c r="AV576" s="4">
        <v>0.09</v>
      </c>
      <c r="AW576" s="4">
        <v>890109.0</v>
      </c>
      <c r="AX576" s="4">
        <v>8999991.0</v>
      </c>
      <c r="AY576" s="4">
        <v>6133050.0</v>
      </c>
      <c r="AZ576" s="4">
        <v>2866941.0</v>
      </c>
    </row>
    <row r="577" ht="15.75" customHeight="1">
      <c r="A577" s="2" t="s">
        <v>1889</v>
      </c>
      <c r="B577" s="5">
        <v>43342.0</v>
      </c>
      <c r="C577" s="6">
        <f t="shared" si="1"/>
        <v>2018</v>
      </c>
      <c r="D577" s="7" t="s">
        <v>407</v>
      </c>
      <c r="E577" s="7" t="s">
        <v>408</v>
      </c>
      <c r="F577" s="7" t="s">
        <v>289</v>
      </c>
      <c r="G577" s="5" t="s">
        <v>51</v>
      </c>
      <c r="H577" s="7" t="s">
        <v>98</v>
      </c>
      <c r="I577" s="7" t="s">
        <v>92</v>
      </c>
      <c r="J577" s="7" t="s">
        <v>93</v>
      </c>
      <c r="K577" s="7" t="s">
        <v>36</v>
      </c>
      <c r="L577" s="7" t="s">
        <v>37</v>
      </c>
      <c r="M577" s="7" t="s">
        <v>38</v>
      </c>
      <c r="N577" s="5">
        <v>43344.0</v>
      </c>
      <c r="O577" s="8">
        <v>814350.0</v>
      </c>
      <c r="P577" s="8">
        <v>1357200.0</v>
      </c>
      <c r="Q577" s="8">
        <f t="shared" si="2"/>
        <v>542850</v>
      </c>
      <c r="R577" s="8">
        <v>11.0</v>
      </c>
      <c r="S577" s="8">
        <f t="shared" si="3"/>
        <v>14929200</v>
      </c>
      <c r="T577" s="9">
        <v>0.04</v>
      </c>
      <c r="U577" s="8">
        <f t="shared" si="4"/>
        <v>597168</v>
      </c>
      <c r="V577" s="8">
        <f t="shared" si="5"/>
        <v>14332032</v>
      </c>
      <c r="W577" s="10">
        <f t="shared" si="6"/>
        <v>8957850</v>
      </c>
      <c r="X577" s="10">
        <f t="shared" si="7"/>
        <v>5374182</v>
      </c>
      <c r="Y577" s="10"/>
      <c r="Z577" s="10"/>
      <c r="AA577" s="10"/>
      <c r="AB577" s="4" t="s">
        <v>1890</v>
      </c>
      <c r="AC577" s="4" t="s">
        <v>1889</v>
      </c>
      <c r="AD577" s="4">
        <v>43342.0</v>
      </c>
      <c r="AE577" s="4">
        <v>2018.0</v>
      </c>
      <c r="AF577" s="4" t="s">
        <v>407</v>
      </c>
      <c r="AG577" s="4" t="s">
        <v>408</v>
      </c>
      <c r="AH577" s="4" t="s">
        <v>289</v>
      </c>
      <c r="AI577" s="4" t="s">
        <v>51</v>
      </c>
      <c r="AJ577" s="4" t="s">
        <v>98</v>
      </c>
      <c r="AK577" s="4" t="s">
        <v>92</v>
      </c>
      <c r="AL577" s="4" t="s">
        <v>93</v>
      </c>
      <c r="AM577" s="4" t="s">
        <v>36</v>
      </c>
      <c r="AN577" s="4" t="s">
        <v>37</v>
      </c>
      <c r="AO577" s="4" t="s">
        <v>38</v>
      </c>
      <c r="AP577" s="4">
        <v>43344.0</v>
      </c>
      <c r="AQ577" s="4">
        <v>814350.0</v>
      </c>
      <c r="AR577" s="4">
        <v>1357200.0</v>
      </c>
      <c r="AS577" s="4">
        <v>542850.0</v>
      </c>
      <c r="AT577" s="4">
        <v>11.0</v>
      </c>
      <c r="AU577" s="4">
        <v>1.49292E7</v>
      </c>
      <c r="AV577" s="4">
        <v>0.04</v>
      </c>
      <c r="AW577" s="4">
        <v>597168.0</v>
      </c>
      <c r="AX577" s="4">
        <v>1.4332032E7</v>
      </c>
      <c r="AY577" s="4">
        <v>8957850.0</v>
      </c>
      <c r="AZ577" s="4">
        <v>5374182.0</v>
      </c>
    </row>
    <row r="578" ht="15.75" customHeight="1">
      <c r="A578" s="3" t="s">
        <v>1891</v>
      </c>
      <c r="B578" s="5">
        <v>43342.0</v>
      </c>
      <c r="C578" s="6">
        <f t="shared" si="1"/>
        <v>2018</v>
      </c>
      <c r="D578" s="7" t="s">
        <v>1770</v>
      </c>
      <c r="E578" s="7" t="s">
        <v>393</v>
      </c>
      <c r="F578" s="7" t="s">
        <v>31</v>
      </c>
      <c r="G578" s="5" t="s">
        <v>91</v>
      </c>
      <c r="H578" s="7" t="s">
        <v>43</v>
      </c>
      <c r="I578" s="7" t="s">
        <v>92</v>
      </c>
      <c r="J578" s="7" t="s">
        <v>1446</v>
      </c>
      <c r="K578" s="7" t="s">
        <v>36</v>
      </c>
      <c r="L578" s="7" t="s">
        <v>37</v>
      </c>
      <c r="M578" s="7" t="s">
        <v>38</v>
      </c>
      <c r="N578" s="5">
        <v>43342.0</v>
      </c>
      <c r="O578" s="8">
        <v>17850.0</v>
      </c>
      <c r="P578" s="8">
        <v>29700.0</v>
      </c>
      <c r="Q578" s="8">
        <f t="shared" si="2"/>
        <v>11850</v>
      </c>
      <c r="R578" s="8">
        <v>29.0</v>
      </c>
      <c r="S578" s="8">
        <f t="shared" si="3"/>
        <v>861300</v>
      </c>
      <c r="T578" s="9">
        <v>0.09</v>
      </c>
      <c r="U578" s="8">
        <f t="shared" si="4"/>
        <v>77517</v>
      </c>
      <c r="V578" s="8">
        <f t="shared" si="5"/>
        <v>783783</v>
      </c>
      <c r="W578" s="10">
        <f t="shared" si="6"/>
        <v>517650</v>
      </c>
      <c r="X578" s="10">
        <f t="shared" si="7"/>
        <v>266133</v>
      </c>
      <c r="Y578" s="10"/>
      <c r="Z578" s="10"/>
      <c r="AA578" s="10"/>
      <c r="AB578" s="4" t="s">
        <v>1892</v>
      </c>
      <c r="AC578" s="4" t="s">
        <v>1891</v>
      </c>
      <c r="AD578" s="4">
        <v>43342.0</v>
      </c>
      <c r="AE578" s="4">
        <v>2018.0</v>
      </c>
      <c r="AF578" s="4" t="s">
        <v>1770</v>
      </c>
      <c r="AG578" s="4" t="s">
        <v>393</v>
      </c>
      <c r="AH578" s="4" t="s">
        <v>31</v>
      </c>
      <c r="AI578" s="4" t="s">
        <v>91</v>
      </c>
      <c r="AJ578" s="4" t="s">
        <v>43</v>
      </c>
      <c r="AK578" s="4" t="s">
        <v>92</v>
      </c>
      <c r="AL578" s="4" t="s">
        <v>1446</v>
      </c>
      <c r="AM578" s="4" t="s">
        <v>36</v>
      </c>
      <c r="AN578" s="4" t="s">
        <v>37</v>
      </c>
      <c r="AO578" s="4" t="s">
        <v>38</v>
      </c>
      <c r="AP578" s="4">
        <v>43342.0</v>
      </c>
      <c r="AQ578" s="4">
        <v>17850.0</v>
      </c>
      <c r="AR578" s="4">
        <v>29700.0</v>
      </c>
      <c r="AS578" s="4">
        <v>11850.0</v>
      </c>
      <c r="AT578" s="4">
        <v>29.0</v>
      </c>
      <c r="AU578" s="4">
        <v>861300.0</v>
      </c>
      <c r="AV578" s="4">
        <v>0.09</v>
      </c>
      <c r="AW578" s="4">
        <v>77517.0</v>
      </c>
      <c r="AX578" s="4">
        <v>783783.0</v>
      </c>
      <c r="AY578" s="4">
        <v>517650.0</v>
      </c>
      <c r="AZ578" s="4">
        <v>266133.0</v>
      </c>
    </row>
    <row r="579" ht="15.75" customHeight="1">
      <c r="A579" s="3" t="s">
        <v>1893</v>
      </c>
      <c r="B579" s="5">
        <v>43342.0</v>
      </c>
      <c r="C579" s="6">
        <f t="shared" si="1"/>
        <v>2018</v>
      </c>
      <c r="D579" s="7" t="s">
        <v>1894</v>
      </c>
      <c r="E579" s="7" t="s">
        <v>150</v>
      </c>
      <c r="F579" s="7" t="s">
        <v>50</v>
      </c>
      <c r="G579" s="5" t="s">
        <v>51</v>
      </c>
      <c r="H579" s="7" t="s">
        <v>151</v>
      </c>
      <c r="I579" s="7" t="s">
        <v>74</v>
      </c>
      <c r="J579" s="7" t="s">
        <v>339</v>
      </c>
      <c r="K579" s="7" t="s">
        <v>61</v>
      </c>
      <c r="L579" s="7" t="s">
        <v>127</v>
      </c>
      <c r="M579" s="7" t="s">
        <v>38</v>
      </c>
      <c r="N579" s="5">
        <v>43349.0</v>
      </c>
      <c r="O579" s="8">
        <v>302700.0</v>
      </c>
      <c r="P579" s="8">
        <v>531150.0</v>
      </c>
      <c r="Q579" s="8">
        <f t="shared" si="2"/>
        <v>228450</v>
      </c>
      <c r="R579" s="8">
        <v>1.0</v>
      </c>
      <c r="S579" s="8">
        <f t="shared" si="3"/>
        <v>531150</v>
      </c>
      <c r="T579" s="9">
        <v>0.1</v>
      </c>
      <c r="U579" s="8">
        <f t="shared" si="4"/>
        <v>53115</v>
      </c>
      <c r="V579" s="8">
        <f t="shared" si="5"/>
        <v>478035</v>
      </c>
      <c r="W579" s="10">
        <f t="shared" si="6"/>
        <v>302700</v>
      </c>
      <c r="X579" s="10">
        <f t="shared" si="7"/>
        <v>175335</v>
      </c>
      <c r="Y579" s="10"/>
      <c r="Z579" s="10"/>
      <c r="AA579" s="10"/>
      <c r="AB579" s="4" t="s">
        <v>1895</v>
      </c>
      <c r="AC579" s="4" t="s">
        <v>1893</v>
      </c>
      <c r="AD579" s="4">
        <v>43342.0</v>
      </c>
      <c r="AE579" s="4">
        <v>2018.0</v>
      </c>
      <c r="AF579" s="4" t="s">
        <v>1894</v>
      </c>
      <c r="AG579" s="4" t="s">
        <v>150</v>
      </c>
      <c r="AH579" s="4" t="s">
        <v>50</v>
      </c>
      <c r="AI579" s="4" t="s">
        <v>51</v>
      </c>
      <c r="AJ579" s="4" t="s">
        <v>151</v>
      </c>
      <c r="AK579" s="4" t="s">
        <v>74</v>
      </c>
      <c r="AL579" s="4" t="s">
        <v>339</v>
      </c>
      <c r="AM579" s="4" t="s">
        <v>61</v>
      </c>
      <c r="AN579" s="4" t="s">
        <v>127</v>
      </c>
      <c r="AO579" s="4" t="s">
        <v>38</v>
      </c>
      <c r="AP579" s="4">
        <v>43349.0</v>
      </c>
      <c r="AQ579" s="4">
        <v>302700.0</v>
      </c>
      <c r="AR579" s="4">
        <v>531150.0</v>
      </c>
      <c r="AS579" s="4">
        <v>228450.0</v>
      </c>
      <c r="AT579" s="4">
        <v>1.0</v>
      </c>
      <c r="AU579" s="4">
        <v>531150.0</v>
      </c>
      <c r="AV579" s="4">
        <v>0.1</v>
      </c>
      <c r="AW579" s="4">
        <v>53115.0</v>
      </c>
      <c r="AX579" s="4">
        <v>478035.0</v>
      </c>
      <c r="AY579" s="4">
        <v>302700.0</v>
      </c>
      <c r="AZ579" s="4">
        <v>175335.0</v>
      </c>
    </row>
    <row r="580" ht="15.75" customHeight="1">
      <c r="A580" s="3" t="s">
        <v>1896</v>
      </c>
      <c r="B580" s="5">
        <v>43343.0</v>
      </c>
      <c r="C580" s="6">
        <f t="shared" si="1"/>
        <v>2018</v>
      </c>
      <c r="D580" s="7" t="s">
        <v>389</v>
      </c>
      <c r="E580" s="7" t="s">
        <v>268</v>
      </c>
      <c r="F580" s="7" t="s">
        <v>50</v>
      </c>
      <c r="G580" s="5" t="s">
        <v>51</v>
      </c>
      <c r="H580" s="7" t="s">
        <v>140</v>
      </c>
      <c r="I580" s="7" t="s">
        <v>53</v>
      </c>
      <c r="J580" s="7" t="s">
        <v>526</v>
      </c>
      <c r="K580" s="7" t="s">
        <v>36</v>
      </c>
      <c r="L580" s="7" t="s">
        <v>37</v>
      </c>
      <c r="M580" s="7" t="s">
        <v>38</v>
      </c>
      <c r="N580" s="5">
        <v>43344.0</v>
      </c>
      <c r="O580" s="8">
        <v>27600.0</v>
      </c>
      <c r="P580" s="8">
        <v>43200.0</v>
      </c>
      <c r="Q580" s="8">
        <f t="shared" si="2"/>
        <v>15600</v>
      </c>
      <c r="R580" s="8">
        <v>16.0</v>
      </c>
      <c r="S580" s="8">
        <f t="shared" si="3"/>
        <v>691200</v>
      </c>
      <c r="T580" s="9">
        <v>0.05</v>
      </c>
      <c r="U580" s="8">
        <f t="shared" si="4"/>
        <v>34560</v>
      </c>
      <c r="V580" s="8">
        <f t="shared" si="5"/>
        <v>656640</v>
      </c>
      <c r="W580" s="10">
        <f t="shared" si="6"/>
        <v>441600</v>
      </c>
      <c r="X580" s="10">
        <f t="shared" si="7"/>
        <v>215040</v>
      </c>
      <c r="Y580" s="10"/>
      <c r="Z580" s="10"/>
      <c r="AA580" s="10"/>
      <c r="AB580" s="4" t="s">
        <v>1897</v>
      </c>
      <c r="AC580" s="4" t="s">
        <v>1896</v>
      </c>
      <c r="AD580" s="4">
        <v>43343.0</v>
      </c>
      <c r="AE580" s="4">
        <v>2018.0</v>
      </c>
      <c r="AF580" s="4" t="s">
        <v>389</v>
      </c>
      <c r="AG580" s="4" t="s">
        <v>268</v>
      </c>
      <c r="AH580" s="4" t="s">
        <v>50</v>
      </c>
      <c r="AI580" s="4" t="s">
        <v>51</v>
      </c>
      <c r="AJ580" s="4" t="s">
        <v>140</v>
      </c>
      <c r="AK580" s="4" t="s">
        <v>53</v>
      </c>
      <c r="AL580" s="4" t="s">
        <v>526</v>
      </c>
      <c r="AM580" s="4" t="s">
        <v>36</v>
      </c>
      <c r="AN580" s="4" t="s">
        <v>37</v>
      </c>
      <c r="AO580" s="4" t="s">
        <v>38</v>
      </c>
      <c r="AP580" s="4">
        <v>43344.0</v>
      </c>
      <c r="AQ580" s="4">
        <v>27600.0</v>
      </c>
      <c r="AR580" s="4">
        <v>43200.0</v>
      </c>
      <c r="AS580" s="4">
        <v>15600.0</v>
      </c>
      <c r="AT580" s="4">
        <v>16.0</v>
      </c>
      <c r="AU580" s="4">
        <v>691200.0</v>
      </c>
      <c r="AV580" s="4">
        <v>0.05</v>
      </c>
      <c r="AW580" s="4">
        <v>34560.0</v>
      </c>
      <c r="AX580" s="4">
        <v>656640.0</v>
      </c>
      <c r="AY580" s="4">
        <v>441600.0</v>
      </c>
      <c r="AZ580" s="4">
        <v>215040.0</v>
      </c>
    </row>
    <row r="581" ht="15.75" customHeight="1">
      <c r="A581" s="3" t="s">
        <v>1898</v>
      </c>
      <c r="B581" s="5">
        <v>43344.0</v>
      </c>
      <c r="C581" s="6">
        <f t="shared" si="1"/>
        <v>2018</v>
      </c>
      <c r="D581" s="7" t="s">
        <v>1102</v>
      </c>
      <c r="E581" s="7" t="s">
        <v>169</v>
      </c>
      <c r="F581" s="7" t="s">
        <v>31</v>
      </c>
      <c r="G581" s="5" t="s">
        <v>51</v>
      </c>
      <c r="H581" s="7" t="s">
        <v>43</v>
      </c>
      <c r="I581" s="7" t="s">
        <v>34</v>
      </c>
      <c r="J581" s="7" t="s">
        <v>526</v>
      </c>
      <c r="K581" s="7" t="s">
        <v>36</v>
      </c>
      <c r="L581" s="7" t="s">
        <v>37</v>
      </c>
      <c r="M581" s="7" t="s">
        <v>38</v>
      </c>
      <c r="N581" s="5">
        <v>43347.0</v>
      </c>
      <c r="O581" s="8">
        <v>27600.0</v>
      </c>
      <c r="P581" s="8">
        <v>43200.0</v>
      </c>
      <c r="Q581" s="8">
        <f t="shared" si="2"/>
        <v>15600</v>
      </c>
      <c r="R581" s="8">
        <v>26.0</v>
      </c>
      <c r="S581" s="8">
        <f t="shared" si="3"/>
        <v>1123200</v>
      </c>
      <c r="T581" s="9">
        <v>0.08</v>
      </c>
      <c r="U581" s="8">
        <f t="shared" si="4"/>
        <v>89856</v>
      </c>
      <c r="V581" s="8">
        <f t="shared" si="5"/>
        <v>1033344</v>
      </c>
      <c r="W581" s="10">
        <f t="shared" si="6"/>
        <v>717600</v>
      </c>
      <c r="X581" s="10">
        <f t="shared" si="7"/>
        <v>315744</v>
      </c>
      <c r="Y581" s="10"/>
      <c r="Z581" s="10"/>
      <c r="AA581" s="10"/>
      <c r="AB581" s="4" t="s">
        <v>1899</v>
      </c>
      <c r="AC581" s="4" t="s">
        <v>1898</v>
      </c>
      <c r="AD581" s="4">
        <v>43344.0</v>
      </c>
      <c r="AE581" s="4">
        <v>2018.0</v>
      </c>
      <c r="AF581" s="4" t="s">
        <v>1102</v>
      </c>
      <c r="AG581" s="4" t="s">
        <v>169</v>
      </c>
      <c r="AH581" s="4" t="s">
        <v>31</v>
      </c>
      <c r="AI581" s="4" t="s">
        <v>51</v>
      </c>
      <c r="AJ581" s="4" t="s">
        <v>43</v>
      </c>
      <c r="AK581" s="4" t="s">
        <v>34</v>
      </c>
      <c r="AL581" s="4" t="s">
        <v>526</v>
      </c>
      <c r="AM581" s="4" t="s">
        <v>36</v>
      </c>
      <c r="AN581" s="4" t="s">
        <v>37</v>
      </c>
      <c r="AO581" s="4" t="s">
        <v>38</v>
      </c>
      <c r="AP581" s="4">
        <v>43347.0</v>
      </c>
      <c r="AQ581" s="4">
        <v>27600.0</v>
      </c>
      <c r="AR581" s="4">
        <v>43200.0</v>
      </c>
      <c r="AS581" s="4">
        <v>15600.0</v>
      </c>
      <c r="AT581" s="4">
        <v>26.0</v>
      </c>
      <c r="AU581" s="4">
        <v>1123200.0</v>
      </c>
      <c r="AV581" s="4">
        <v>0.08</v>
      </c>
      <c r="AW581" s="4">
        <v>89856.0</v>
      </c>
      <c r="AX581" s="4">
        <v>1033344.0</v>
      </c>
      <c r="AY581" s="4">
        <v>717600.0</v>
      </c>
      <c r="AZ581" s="4">
        <v>315744.0</v>
      </c>
    </row>
    <row r="582" ht="15.75" customHeight="1">
      <c r="A582" s="3" t="s">
        <v>1900</v>
      </c>
      <c r="B582" s="5">
        <v>43344.0</v>
      </c>
      <c r="C582" s="6">
        <f t="shared" si="1"/>
        <v>2018</v>
      </c>
      <c r="D582" s="7" t="s">
        <v>802</v>
      </c>
      <c r="E582" s="7" t="s">
        <v>42</v>
      </c>
      <c r="F582" s="7" t="s">
        <v>31</v>
      </c>
      <c r="G582" s="5" t="s">
        <v>32</v>
      </c>
      <c r="H582" s="7" t="s">
        <v>43</v>
      </c>
      <c r="I582" s="7" t="s">
        <v>53</v>
      </c>
      <c r="J582" s="7" t="s">
        <v>339</v>
      </c>
      <c r="K582" s="7" t="s">
        <v>61</v>
      </c>
      <c r="L582" s="7" t="s">
        <v>127</v>
      </c>
      <c r="M582" s="7" t="s">
        <v>38</v>
      </c>
      <c r="N582" s="5">
        <v>43346.0</v>
      </c>
      <c r="O582" s="8">
        <v>302700.0</v>
      </c>
      <c r="P582" s="8">
        <v>531150.0</v>
      </c>
      <c r="Q582" s="8">
        <f t="shared" si="2"/>
        <v>228450</v>
      </c>
      <c r="R582" s="8">
        <v>49.0</v>
      </c>
      <c r="S582" s="8">
        <f t="shared" si="3"/>
        <v>26026350</v>
      </c>
      <c r="T582" s="9">
        <v>0.02</v>
      </c>
      <c r="U582" s="8">
        <f t="shared" si="4"/>
        <v>520527</v>
      </c>
      <c r="V582" s="8">
        <f t="shared" si="5"/>
        <v>25505823</v>
      </c>
      <c r="W582" s="10">
        <f t="shared" si="6"/>
        <v>14832300</v>
      </c>
      <c r="X582" s="10">
        <f t="shared" si="7"/>
        <v>10673523</v>
      </c>
      <c r="Y582" s="10"/>
      <c r="Z582" s="10"/>
      <c r="AA582" s="10"/>
      <c r="AB582" s="4" t="s">
        <v>1901</v>
      </c>
      <c r="AC582" s="4" t="s">
        <v>1900</v>
      </c>
      <c r="AD582" s="4">
        <v>43344.0</v>
      </c>
      <c r="AE582" s="4">
        <v>2018.0</v>
      </c>
      <c r="AF582" s="4" t="s">
        <v>802</v>
      </c>
      <c r="AG582" s="4" t="s">
        <v>42</v>
      </c>
      <c r="AH582" s="4" t="s">
        <v>31</v>
      </c>
      <c r="AI582" s="4" t="s">
        <v>32</v>
      </c>
      <c r="AJ582" s="4" t="s">
        <v>43</v>
      </c>
      <c r="AK582" s="4" t="s">
        <v>53</v>
      </c>
      <c r="AL582" s="4" t="s">
        <v>339</v>
      </c>
      <c r="AM582" s="4" t="s">
        <v>61</v>
      </c>
      <c r="AN582" s="4" t="s">
        <v>127</v>
      </c>
      <c r="AO582" s="4" t="s">
        <v>38</v>
      </c>
      <c r="AP582" s="4">
        <v>43346.0</v>
      </c>
      <c r="AQ582" s="4">
        <v>302700.0</v>
      </c>
      <c r="AR582" s="4">
        <v>531150.0</v>
      </c>
      <c r="AS582" s="4">
        <v>228450.0</v>
      </c>
      <c r="AT582" s="4">
        <v>49.0</v>
      </c>
      <c r="AU582" s="4">
        <v>2.602635E7</v>
      </c>
      <c r="AV582" s="4">
        <v>0.02</v>
      </c>
      <c r="AW582" s="4">
        <v>520527.0</v>
      </c>
      <c r="AX582" s="4">
        <v>2.5505823E7</v>
      </c>
      <c r="AY582" s="4">
        <v>1.48323E7</v>
      </c>
      <c r="AZ582" s="4">
        <v>1.0673523E7</v>
      </c>
    </row>
    <row r="583" ht="15.75" customHeight="1">
      <c r="A583" s="3" t="s">
        <v>1902</v>
      </c>
      <c r="B583" s="5">
        <v>43344.0</v>
      </c>
      <c r="C583" s="6">
        <f t="shared" si="1"/>
        <v>2018</v>
      </c>
      <c r="D583" s="7" t="s">
        <v>1903</v>
      </c>
      <c r="E583" s="7" t="s">
        <v>164</v>
      </c>
      <c r="F583" s="7" t="s">
        <v>50</v>
      </c>
      <c r="G583" s="5" t="s">
        <v>91</v>
      </c>
      <c r="H583" s="7" t="s">
        <v>69</v>
      </c>
      <c r="I583" s="7" t="s">
        <v>53</v>
      </c>
      <c r="J583" s="7" t="s">
        <v>152</v>
      </c>
      <c r="K583" s="7" t="s">
        <v>61</v>
      </c>
      <c r="L583" s="7" t="s">
        <v>37</v>
      </c>
      <c r="M583" s="7" t="s">
        <v>38</v>
      </c>
      <c r="N583" s="5">
        <v>43345.0</v>
      </c>
      <c r="O583" s="8">
        <v>1223850.0</v>
      </c>
      <c r="P583" s="8">
        <v>2399850.0</v>
      </c>
      <c r="Q583" s="8">
        <f t="shared" si="2"/>
        <v>1176000</v>
      </c>
      <c r="R583" s="8">
        <v>19.0</v>
      </c>
      <c r="S583" s="8">
        <f t="shared" si="3"/>
        <v>45597150</v>
      </c>
      <c r="T583" s="9">
        <v>0.1</v>
      </c>
      <c r="U583" s="8">
        <f t="shared" si="4"/>
        <v>4559715</v>
      </c>
      <c r="V583" s="8">
        <f t="shared" si="5"/>
        <v>41037435</v>
      </c>
      <c r="W583" s="10">
        <f t="shared" si="6"/>
        <v>23253150</v>
      </c>
      <c r="X583" s="10">
        <f t="shared" si="7"/>
        <v>17784285</v>
      </c>
      <c r="Y583" s="10"/>
      <c r="Z583" s="10"/>
      <c r="AA583" s="10"/>
      <c r="AB583" s="4" t="s">
        <v>1904</v>
      </c>
      <c r="AC583" s="4" t="s">
        <v>1902</v>
      </c>
      <c r="AD583" s="4">
        <v>43344.0</v>
      </c>
      <c r="AE583" s="4">
        <v>2018.0</v>
      </c>
      <c r="AF583" s="4" t="s">
        <v>1903</v>
      </c>
      <c r="AG583" s="4" t="s">
        <v>164</v>
      </c>
      <c r="AH583" s="4" t="s">
        <v>50</v>
      </c>
      <c r="AI583" s="4" t="s">
        <v>91</v>
      </c>
      <c r="AJ583" s="4" t="s">
        <v>69</v>
      </c>
      <c r="AK583" s="4" t="s">
        <v>53</v>
      </c>
      <c r="AL583" s="4" t="s">
        <v>152</v>
      </c>
      <c r="AM583" s="4" t="s">
        <v>61</v>
      </c>
      <c r="AN583" s="4" t="s">
        <v>37</v>
      </c>
      <c r="AO583" s="4" t="s">
        <v>38</v>
      </c>
      <c r="AP583" s="4">
        <v>43345.0</v>
      </c>
      <c r="AQ583" s="4">
        <v>1223850.0</v>
      </c>
      <c r="AR583" s="4">
        <v>2399850.0</v>
      </c>
      <c r="AS583" s="4">
        <v>1176000.0</v>
      </c>
      <c r="AT583" s="4">
        <v>19.0</v>
      </c>
      <c r="AU583" s="4">
        <v>4.559715E7</v>
      </c>
      <c r="AV583" s="4">
        <v>0.1</v>
      </c>
      <c r="AW583" s="4">
        <v>4559715.0</v>
      </c>
      <c r="AX583" s="4">
        <v>4.1037435E7</v>
      </c>
      <c r="AY583" s="4">
        <v>2.325315E7</v>
      </c>
      <c r="AZ583" s="4">
        <v>1.7784285E7</v>
      </c>
    </row>
    <row r="584" ht="15.75" customHeight="1">
      <c r="A584" s="3" t="s">
        <v>1905</v>
      </c>
      <c r="B584" s="5">
        <v>43346.0</v>
      </c>
      <c r="C584" s="6">
        <f t="shared" si="1"/>
        <v>2018</v>
      </c>
      <c r="D584" s="7" t="s">
        <v>812</v>
      </c>
      <c r="E584" s="3" t="s">
        <v>813</v>
      </c>
      <c r="F584" s="7" t="s">
        <v>289</v>
      </c>
      <c r="G584" s="5" t="s">
        <v>51</v>
      </c>
      <c r="H584" s="7" t="s">
        <v>200</v>
      </c>
      <c r="I584" s="7" t="s">
        <v>53</v>
      </c>
      <c r="J584" s="7" t="s">
        <v>903</v>
      </c>
      <c r="K584" s="7" t="s">
        <v>36</v>
      </c>
      <c r="L584" s="7" t="s">
        <v>45</v>
      </c>
      <c r="M584" s="7" t="s">
        <v>38</v>
      </c>
      <c r="N584" s="5">
        <v>43348.0</v>
      </c>
      <c r="O584" s="8">
        <v>34650.0</v>
      </c>
      <c r="P584" s="8">
        <v>56700.0</v>
      </c>
      <c r="Q584" s="8">
        <f t="shared" si="2"/>
        <v>22050</v>
      </c>
      <c r="R584" s="8">
        <v>19.0</v>
      </c>
      <c r="S584" s="8">
        <f t="shared" si="3"/>
        <v>1077300</v>
      </c>
      <c r="T584" s="9">
        <v>0.03</v>
      </c>
      <c r="U584" s="8">
        <f t="shared" si="4"/>
        <v>32319</v>
      </c>
      <c r="V584" s="8">
        <f t="shared" si="5"/>
        <v>1044981</v>
      </c>
      <c r="W584" s="10">
        <f t="shared" si="6"/>
        <v>658350</v>
      </c>
      <c r="X584" s="10">
        <f t="shared" si="7"/>
        <v>386631</v>
      </c>
      <c r="Y584" s="10"/>
      <c r="Z584" s="10"/>
      <c r="AA584" s="10"/>
      <c r="AB584" s="4" t="s">
        <v>1906</v>
      </c>
      <c r="AC584" s="4" t="s">
        <v>1905</v>
      </c>
      <c r="AD584" s="4">
        <v>43346.0</v>
      </c>
      <c r="AE584" s="4">
        <v>2018.0</v>
      </c>
      <c r="AF584" s="4" t="s">
        <v>812</v>
      </c>
      <c r="AG584" s="4" t="s">
        <v>813</v>
      </c>
      <c r="AH584" s="4" t="s">
        <v>289</v>
      </c>
      <c r="AI584" s="4" t="s">
        <v>51</v>
      </c>
      <c r="AJ584" s="4" t="s">
        <v>200</v>
      </c>
      <c r="AK584" s="4" t="s">
        <v>53</v>
      </c>
      <c r="AL584" s="4" t="s">
        <v>903</v>
      </c>
      <c r="AM584" s="4" t="s">
        <v>36</v>
      </c>
      <c r="AN584" s="4" t="s">
        <v>45</v>
      </c>
      <c r="AO584" s="4" t="s">
        <v>38</v>
      </c>
      <c r="AP584" s="4">
        <v>43348.0</v>
      </c>
      <c r="AQ584" s="4">
        <v>34650.0</v>
      </c>
      <c r="AR584" s="4">
        <v>56700.0</v>
      </c>
      <c r="AS584" s="4">
        <v>22050.0</v>
      </c>
      <c r="AT584" s="4">
        <v>19.0</v>
      </c>
      <c r="AU584" s="4">
        <v>1077300.0</v>
      </c>
      <c r="AV584" s="4">
        <v>0.03</v>
      </c>
      <c r="AW584" s="4">
        <v>32319.0</v>
      </c>
      <c r="AX584" s="4">
        <v>1044981.0</v>
      </c>
      <c r="AY584" s="4">
        <v>658350.0</v>
      </c>
      <c r="AZ584" s="4">
        <v>386631.0</v>
      </c>
    </row>
    <row r="585" ht="15.75" customHeight="1">
      <c r="A585" s="3" t="s">
        <v>1907</v>
      </c>
      <c r="B585" s="5">
        <v>43348.0</v>
      </c>
      <c r="C585" s="6">
        <f t="shared" si="1"/>
        <v>2018</v>
      </c>
      <c r="D585" s="7" t="s">
        <v>1541</v>
      </c>
      <c r="E585" s="7" t="s">
        <v>139</v>
      </c>
      <c r="F585" s="7" t="s">
        <v>50</v>
      </c>
      <c r="G585" s="5" t="s">
        <v>51</v>
      </c>
      <c r="H585" s="7" t="s">
        <v>140</v>
      </c>
      <c r="I585" s="7" t="s">
        <v>104</v>
      </c>
      <c r="J585" s="7" t="s">
        <v>70</v>
      </c>
      <c r="K585" s="7" t="s">
        <v>36</v>
      </c>
      <c r="L585" s="7" t="s">
        <v>45</v>
      </c>
      <c r="M585" s="7" t="s">
        <v>38</v>
      </c>
      <c r="N585" s="5">
        <v>43349.0</v>
      </c>
      <c r="O585" s="8">
        <v>13500.0</v>
      </c>
      <c r="P585" s="8">
        <v>31500.0</v>
      </c>
      <c r="Q585" s="8">
        <f t="shared" si="2"/>
        <v>18000</v>
      </c>
      <c r="R585" s="8">
        <v>17.0</v>
      </c>
      <c r="S585" s="8">
        <f t="shared" si="3"/>
        <v>535500</v>
      </c>
      <c r="T585" s="9">
        <v>0.09</v>
      </c>
      <c r="U585" s="8">
        <f t="shared" si="4"/>
        <v>48195</v>
      </c>
      <c r="V585" s="8">
        <f t="shared" si="5"/>
        <v>487305</v>
      </c>
      <c r="W585" s="10">
        <f t="shared" si="6"/>
        <v>229500</v>
      </c>
      <c r="X585" s="10">
        <f t="shared" si="7"/>
        <v>257805</v>
      </c>
      <c r="Y585" s="10"/>
      <c r="Z585" s="10"/>
      <c r="AA585" s="10"/>
      <c r="AB585" s="4" t="s">
        <v>1908</v>
      </c>
      <c r="AC585" s="4" t="s">
        <v>1907</v>
      </c>
      <c r="AD585" s="4">
        <v>43348.0</v>
      </c>
      <c r="AE585" s="4">
        <v>2018.0</v>
      </c>
      <c r="AF585" s="4" t="s">
        <v>1541</v>
      </c>
      <c r="AG585" s="4" t="s">
        <v>139</v>
      </c>
      <c r="AH585" s="4" t="s">
        <v>50</v>
      </c>
      <c r="AI585" s="4" t="s">
        <v>51</v>
      </c>
      <c r="AJ585" s="4" t="s">
        <v>140</v>
      </c>
      <c r="AK585" s="4" t="s">
        <v>104</v>
      </c>
      <c r="AL585" s="4" t="s">
        <v>70</v>
      </c>
      <c r="AM585" s="4" t="s">
        <v>36</v>
      </c>
      <c r="AN585" s="4" t="s">
        <v>45</v>
      </c>
      <c r="AO585" s="4" t="s">
        <v>38</v>
      </c>
      <c r="AP585" s="4">
        <v>43349.0</v>
      </c>
      <c r="AQ585" s="4">
        <v>13500.0</v>
      </c>
      <c r="AR585" s="4">
        <v>31500.0</v>
      </c>
      <c r="AS585" s="4">
        <v>18000.0</v>
      </c>
      <c r="AT585" s="4">
        <v>17.0</v>
      </c>
      <c r="AU585" s="4">
        <v>535500.0</v>
      </c>
      <c r="AV585" s="4">
        <v>0.09</v>
      </c>
      <c r="AW585" s="4">
        <v>48195.0</v>
      </c>
      <c r="AX585" s="4">
        <v>487305.0</v>
      </c>
      <c r="AY585" s="4">
        <v>229500.0</v>
      </c>
      <c r="AZ585" s="4">
        <v>257805.0</v>
      </c>
    </row>
    <row r="586" ht="15.75" customHeight="1">
      <c r="A586" s="3" t="s">
        <v>1909</v>
      </c>
      <c r="B586" s="5">
        <v>43348.0</v>
      </c>
      <c r="C586" s="6">
        <f t="shared" si="1"/>
        <v>2018</v>
      </c>
      <c r="D586" s="7" t="s">
        <v>1268</v>
      </c>
      <c r="E586" s="7" t="s">
        <v>393</v>
      </c>
      <c r="F586" s="7" t="s">
        <v>31</v>
      </c>
      <c r="G586" s="5" t="s">
        <v>68</v>
      </c>
      <c r="H586" s="7" t="s">
        <v>43</v>
      </c>
      <c r="I586" s="7" t="s">
        <v>74</v>
      </c>
      <c r="J586" s="7" t="s">
        <v>272</v>
      </c>
      <c r="K586" s="7" t="s">
        <v>36</v>
      </c>
      <c r="L586" s="7" t="s">
        <v>45</v>
      </c>
      <c r="M586" s="7" t="s">
        <v>38</v>
      </c>
      <c r="N586" s="5">
        <v>43352.0</v>
      </c>
      <c r="O586" s="8">
        <v>56250.0</v>
      </c>
      <c r="P586" s="8">
        <v>106200.0</v>
      </c>
      <c r="Q586" s="8">
        <f t="shared" si="2"/>
        <v>49950</v>
      </c>
      <c r="R586" s="8">
        <v>49.0</v>
      </c>
      <c r="S586" s="8">
        <f t="shared" si="3"/>
        <v>5203800</v>
      </c>
      <c r="T586" s="9">
        <v>0.0</v>
      </c>
      <c r="U586" s="8">
        <f t="shared" si="4"/>
        <v>0</v>
      </c>
      <c r="V586" s="8">
        <f t="shared" si="5"/>
        <v>5203800</v>
      </c>
      <c r="W586" s="10">
        <f t="shared" si="6"/>
        <v>2756250</v>
      </c>
      <c r="X586" s="10">
        <f t="shared" si="7"/>
        <v>2447550</v>
      </c>
      <c r="Y586" s="10"/>
      <c r="Z586" s="10"/>
      <c r="AA586" s="10"/>
      <c r="AB586" s="4" t="s">
        <v>1910</v>
      </c>
      <c r="AC586" s="4" t="s">
        <v>1909</v>
      </c>
      <c r="AD586" s="4">
        <v>43348.0</v>
      </c>
      <c r="AE586" s="4">
        <v>2018.0</v>
      </c>
      <c r="AF586" s="4" t="s">
        <v>1268</v>
      </c>
      <c r="AG586" s="4" t="s">
        <v>393</v>
      </c>
      <c r="AH586" s="4" t="s">
        <v>31</v>
      </c>
      <c r="AI586" s="4" t="s">
        <v>68</v>
      </c>
      <c r="AJ586" s="4" t="s">
        <v>43</v>
      </c>
      <c r="AK586" s="4" t="s">
        <v>74</v>
      </c>
      <c r="AL586" s="4" t="s">
        <v>272</v>
      </c>
      <c r="AM586" s="4" t="s">
        <v>36</v>
      </c>
      <c r="AN586" s="4" t="s">
        <v>45</v>
      </c>
      <c r="AO586" s="4" t="s">
        <v>38</v>
      </c>
      <c r="AP586" s="4">
        <v>43352.0</v>
      </c>
      <c r="AQ586" s="4">
        <v>56250.0</v>
      </c>
      <c r="AR586" s="4">
        <v>106200.0</v>
      </c>
      <c r="AS586" s="4">
        <v>49950.0</v>
      </c>
      <c r="AT586" s="4">
        <v>49.0</v>
      </c>
      <c r="AU586" s="4">
        <v>5203800.0</v>
      </c>
      <c r="AV586" s="4">
        <v>0.0</v>
      </c>
      <c r="AW586" s="4">
        <v>0.0</v>
      </c>
      <c r="AX586" s="4">
        <v>5203800.0</v>
      </c>
      <c r="AY586" s="4">
        <v>2756250.0</v>
      </c>
      <c r="AZ586" s="4">
        <v>2447550.0</v>
      </c>
    </row>
    <row r="587" ht="15.75" customHeight="1">
      <c r="A587" s="3" t="s">
        <v>1911</v>
      </c>
      <c r="B587" s="5">
        <v>43350.0</v>
      </c>
      <c r="C587" s="6">
        <f t="shared" si="1"/>
        <v>2018</v>
      </c>
      <c r="D587" s="7" t="s">
        <v>1912</v>
      </c>
      <c r="E587" s="7" t="s">
        <v>1913</v>
      </c>
      <c r="F587" s="7" t="s">
        <v>31</v>
      </c>
      <c r="G587" s="5" t="s">
        <v>51</v>
      </c>
      <c r="H587" s="7" t="s">
        <v>33</v>
      </c>
      <c r="I587" s="7" t="s">
        <v>53</v>
      </c>
      <c r="J587" s="7" t="s">
        <v>75</v>
      </c>
      <c r="K587" s="7" t="s">
        <v>36</v>
      </c>
      <c r="L587" s="7" t="s">
        <v>45</v>
      </c>
      <c r="M587" s="7" t="s">
        <v>38</v>
      </c>
      <c r="N587" s="5">
        <v>43352.0</v>
      </c>
      <c r="O587" s="8">
        <v>16350.000000000002</v>
      </c>
      <c r="P587" s="8">
        <v>39000.0</v>
      </c>
      <c r="Q587" s="8">
        <f t="shared" si="2"/>
        <v>22650</v>
      </c>
      <c r="R587" s="8">
        <v>8.0</v>
      </c>
      <c r="S587" s="8">
        <f t="shared" si="3"/>
        <v>312000</v>
      </c>
      <c r="T587" s="9">
        <v>0.04</v>
      </c>
      <c r="U587" s="8">
        <f t="shared" si="4"/>
        <v>12480</v>
      </c>
      <c r="V587" s="8">
        <f t="shared" si="5"/>
        <v>299520</v>
      </c>
      <c r="W587" s="10">
        <f t="shared" si="6"/>
        <v>130800</v>
      </c>
      <c r="X587" s="10">
        <f t="shared" si="7"/>
        <v>168720</v>
      </c>
      <c r="Y587" s="10"/>
      <c r="Z587" s="10"/>
      <c r="AA587" s="10"/>
      <c r="AB587" s="4" t="s">
        <v>1914</v>
      </c>
      <c r="AC587" s="4" t="s">
        <v>1911</v>
      </c>
      <c r="AD587" s="4">
        <v>43350.0</v>
      </c>
      <c r="AE587" s="4">
        <v>2018.0</v>
      </c>
      <c r="AF587" s="4" t="s">
        <v>1912</v>
      </c>
      <c r="AG587" s="4" t="s">
        <v>1913</v>
      </c>
      <c r="AH587" s="4" t="s">
        <v>31</v>
      </c>
      <c r="AI587" s="4" t="s">
        <v>51</v>
      </c>
      <c r="AJ587" s="4" t="s">
        <v>33</v>
      </c>
      <c r="AK587" s="4" t="s">
        <v>53</v>
      </c>
      <c r="AL587" s="4" t="s">
        <v>75</v>
      </c>
      <c r="AM587" s="4" t="s">
        <v>36</v>
      </c>
      <c r="AN587" s="4" t="s">
        <v>45</v>
      </c>
      <c r="AO587" s="4" t="s">
        <v>38</v>
      </c>
      <c r="AP587" s="4">
        <v>43352.0</v>
      </c>
      <c r="AQ587" s="4">
        <v>16350.0</v>
      </c>
      <c r="AR587" s="4">
        <v>39000.0</v>
      </c>
      <c r="AS587" s="4">
        <v>22650.0</v>
      </c>
      <c r="AT587" s="4">
        <v>8.0</v>
      </c>
      <c r="AU587" s="4">
        <v>312000.0</v>
      </c>
      <c r="AV587" s="4">
        <v>0.04</v>
      </c>
      <c r="AW587" s="4">
        <v>12480.0</v>
      </c>
      <c r="AX587" s="4">
        <v>299520.0</v>
      </c>
      <c r="AY587" s="4">
        <v>130800.0</v>
      </c>
      <c r="AZ587" s="4">
        <v>168720.0</v>
      </c>
    </row>
    <row r="588" ht="15.75" customHeight="1">
      <c r="A588" s="3" t="s">
        <v>1915</v>
      </c>
      <c r="B588" s="5">
        <v>43351.0</v>
      </c>
      <c r="C588" s="6">
        <f t="shared" si="1"/>
        <v>2018</v>
      </c>
      <c r="D588" s="7" t="s">
        <v>198</v>
      </c>
      <c r="E588" s="7" t="s">
        <v>199</v>
      </c>
      <c r="F588" s="7" t="s">
        <v>50</v>
      </c>
      <c r="G588" s="5" t="s">
        <v>91</v>
      </c>
      <c r="H588" s="7" t="s">
        <v>200</v>
      </c>
      <c r="I588" s="7" t="s">
        <v>92</v>
      </c>
      <c r="J588" s="7" t="s">
        <v>190</v>
      </c>
      <c r="K588" s="7" t="s">
        <v>61</v>
      </c>
      <c r="L588" s="7" t="s">
        <v>37</v>
      </c>
      <c r="M588" s="7" t="s">
        <v>38</v>
      </c>
      <c r="N588" s="5">
        <v>43353.0</v>
      </c>
      <c r="O588" s="8">
        <v>95850.0</v>
      </c>
      <c r="P588" s="8">
        <v>299700.0</v>
      </c>
      <c r="Q588" s="8">
        <f t="shared" si="2"/>
        <v>203850</v>
      </c>
      <c r="R588" s="8">
        <v>7.0</v>
      </c>
      <c r="S588" s="8">
        <f t="shared" si="3"/>
        <v>2097900</v>
      </c>
      <c r="T588" s="9">
        <v>0.09</v>
      </c>
      <c r="U588" s="8">
        <f t="shared" si="4"/>
        <v>188811</v>
      </c>
      <c r="V588" s="8">
        <f t="shared" si="5"/>
        <v>1909089</v>
      </c>
      <c r="W588" s="10">
        <f t="shared" si="6"/>
        <v>670950</v>
      </c>
      <c r="X588" s="10">
        <f t="shared" si="7"/>
        <v>1238139</v>
      </c>
      <c r="Y588" s="10"/>
      <c r="Z588" s="10"/>
      <c r="AA588" s="10"/>
      <c r="AB588" s="4" t="s">
        <v>1916</v>
      </c>
      <c r="AC588" s="4" t="s">
        <v>1915</v>
      </c>
      <c r="AD588" s="4">
        <v>43351.0</v>
      </c>
      <c r="AE588" s="4">
        <v>2018.0</v>
      </c>
      <c r="AF588" s="4" t="s">
        <v>198</v>
      </c>
      <c r="AG588" s="4" t="s">
        <v>199</v>
      </c>
      <c r="AH588" s="4" t="s">
        <v>50</v>
      </c>
      <c r="AI588" s="4" t="s">
        <v>91</v>
      </c>
      <c r="AJ588" s="4" t="s">
        <v>200</v>
      </c>
      <c r="AK588" s="4" t="s">
        <v>92</v>
      </c>
      <c r="AL588" s="4" t="s">
        <v>190</v>
      </c>
      <c r="AM588" s="4" t="s">
        <v>61</v>
      </c>
      <c r="AN588" s="4" t="s">
        <v>37</v>
      </c>
      <c r="AO588" s="4" t="s">
        <v>38</v>
      </c>
      <c r="AP588" s="4">
        <v>43353.0</v>
      </c>
      <c r="AQ588" s="4">
        <v>95850.0</v>
      </c>
      <c r="AR588" s="4">
        <v>299700.0</v>
      </c>
      <c r="AS588" s="4">
        <v>203850.0</v>
      </c>
      <c r="AT588" s="4">
        <v>7.0</v>
      </c>
      <c r="AU588" s="4">
        <v>2097900.0</v>
      </c>
      <c r="AV588" s="4">
        <v>0.09</v>
      </c>
      <c r="AW588" s="4">
        <v>188811.0</v>
      </c>
      <c r="AX588" s="4">
        <v>1909089.0</v>
      </c>
      <c r="AY588" s="4">
        <v>670950.0</v>
      </c>
      <c r="AZ588" s="4">
        <v>1238139.0</v>
      </c>
    </row>
    <row r="589" ht="15.75" customHeight="1">
      <c r="A589" s="3" t="s">
        <v>1917</v>
      </c>
      <c r="B589" s="5">
        <v>43352.0</v>
      </c>
      <c r="C589" s="6">
        <f t="shared" si="1"/>
        <v>2018</v>
      </c>
      <c r="D589" s="7" t="s">
        <v>223</v>
      </c>
      <c r="E589" s="7" t="s">
        <v>109</v>
      </c>
      <c r="F589" s="7" t="s">
        <v>50</v>
      </c>
      <c r="G589" s="5" t="s">
        <v>51</v>
      </c>
      <c r="H589" s="7" t="s">
        <v>110</v>
      </c>
      <c r="I589" s="7" t="s">
        <v>92</v>
      </c>
      <c r="J589" s="7" t="s">
        <v>75</v>
      </c>
      <c r="K589" s="7" t="s">
        <v>36</v>
      </c>
      <c r="L589" s="7" t="s">
        <v>45</v>
      </c>
      <c r="M589" s="7" t="s">
        <v>55</v>
      </c>
      <c r="N589" s="5">
        <v>43353.0</v>
      </c>
      <c r="O589" s="8">
        <v>16350.000000000002</v>
      </c>
      <c r="P589" s="8">
        <v>39000.0</v>
      </c>
      <c r="Q589" s="8">
        <f t="shared" si="2"/>
        <v>22650</v>
      </c>
      <c r="R589" s="8">
        <v>42.0</v>
      </c>
      <c r="S589" s="8">
        <f t="shared" si="3"/>
        <v>1638000</v>
      </c>
      <c r="T589" s="9">
        <v>0.05</v>
      </c>
      <c r="U589" s="8">
        <f t="shared" si="4"/>
        <v>81900</v>
      </c>
      <c r="V589" s="8">
        <f t="shared" si="5"/>
        <v>1556100</v>
      </c>
      <c r="W589" s="10">
        <f t="shared" si="6"/>
        <v>686700</v>
      </c>
      <c r="X589" s="10">
        <f t="shared" si="7"/>
        <v>869400</v>
      </c>
      <c r="Y589" s="10"/>
      <c r="Z589" s="10"/>
      <c r="AA589" s="10"/>
      <c r="AB589" s="4" t="s">
        <v>1918</v>
      </c>
      <c r="AC589" s="4" t="s">
        <v>1917</v>
      </c>
      <c r="AD589" s="4">
        <v>43352.0</v>
      </c>
      <c r="AE589" s="4">
        <v>2018.0</v>
      </c>
      <c r="AF589" s="4" t="s">
        <v>223</v>
      </c>
      <c r="AG589" s="4" t="s">
        <v>109</v>
      </c>
      <c r="AH589" s="4" t="s">
        <v>50</v>
      </c>
      <c r="AI589" s="4" t="s">
        <v>51</v>
      </c>
      <c r="AJ589" s="4" t="s">
        <v>110</v>
      </c>
      <c r="AK589" s="4" t="s">
        <v>92</v>
      </c>
      <c r="AL589" s="4" t="s">
        <v>75</v>
      </c>
      <c r="AM589" s="4" t="s">
        <v>36</v>
      </c>
      <c r="AN589" s="4" t="s">
        <v>45</v>
      </c>
      <c r="AO589" s="4" t="s">
        <v>55</v>
      </c>
      <c r="AP589" s="4">
        <v>43353.0</v>
      </c>
      <c r="AQ589" s="4">
        <v>16350.0</v>
      </c>
      <c r="AR589" s="4">
        <v>39000.0</v>
      </c>
      <c r="AS589" s="4">
        <v>22650.0</v>
      </c>
      <c r="AT589" s="4">
        <v>42.0</v>
      </c>
      <c r="AU589" s="4">
        <v>1638000.0</v>
      </c>
      <c r="AV589" s="4">
        <v>0.05</v>
      </c>
      <c r="AW589" s="4">
        <v>81900.0</v>
      </c>
      <c r="AX589" s="4">
        <v>1556100.0</v>
      </c>
      <c r="AY589" s="4">
        <v>686700.0</v>
      </c>
      <c r="AZ589" s="4">
        <v>869400.0</v>
      </c>
    </row>
    <row r="590" ht="15.75" customHeight="1">
      <c r="A590" s="3" t="s">
        <v>1919</v>
      </c>
      <c r="B590" s="5">
        <v>43353.0</v>
      </c>
      <c r="C590" s="6">
        <f t="shared" si="1"/>
        <v>2018</v>
      </c>
      <c r="D590" s="7" t="s">
        <v>1849</v>
      </c>
      <c r="E590" s="7" t="s">
        <v>173</v>
      </c>
      <c r="F590" s="7" t="s">
        <v>31</v>
      </c>
      <c r="G590" s="5" t="s">
        <v>51</v>
      </c>
      <c r="H590" s="7" t="s">
        <v>43</v>
      </c>
      <c r="I590" s="7" t="s">
        <v>34</v>
      </c>
      <c r="J590" s="7" t="s">
        <v>1244</v>
      </c>
      <c r="K590" s="7" t="s">
        <v>36</v>
      </c>
      <c r="L590" s="7" t="s">
        <v>37</v>
      </c>
      <c r="M590" s="7" t="s">
        <v>38</v>
      </c>
      <c r="N590" s="5">
        <v>43355.0</v>
      </c>
      <c r="O590" s="8">
        <v>27600.0</v>
      </c>
      <c r="P590" s="8">
        <v>43200.0</v>
      </c>
      <c r="Q590" s="8">
        <f t="shared" si="2"/>
        <v>15600</v>
      </c>
      <c r="R590" s="8">
        <v>24.0</v>
      </c>
      <c r="S590" s="8">
        <f t="shared" si="3"/>
        <v>1036800</v>
      </c>
      <c r="T590" s="9">
        <v>0.07</v>
      </c>
      <c r="U590" s="8">
        <f t="shared" si="4"/>
        <v>72576</v>
      </c>
      <c r="V590" s="8">
        <f t="shared" si="5"/>
        <v>964224</v>
      </c>
      <c r="W590" s="10">
        <f t="shared" si="6"/>
        <v>662400</v>
      </c>
      <c r="X590" s="10">
        <f t="shared" si="7"/>
        <v>301824</v>
      </c>
      <c r="Y590" s="10"/>
      <c r="Z590" s="10"/>
      <c r="AA590" s="10"/>
      <c r="AB590" s="4" t="s">
        <v>1920</v>
      </c>
      <c r="AC590" s="4" t="s">
        <v>1919</v>
      </c>
      <c r="AD590" s="4">
        <v>43353.0</v>
      </c>
      <c r="AE590" s="4">
        <v>2018.0</v>
      </c>
      <c r="AF590" s="4" t="s">
        <v>1849</v>
      </c>
      <c r="AG590" s="4" t="s">
        <v>173</v>
      </c>
      <c r="AH590" s="4" t="s">
        <v>31</v>
      </c>
      <c r="AI590" s="4" t="s">
        <v>51</v>
      </c>
      <c r="AJ590" s="4" t="s">
        <v>43</v>
      </c>
      <c r="AK590" s="4" t="s">
        <v>34</v>
      </c>
      <c r="AL590" s="4" t="s">
        <v>1244</v>
      </c>
      <c r="AM590" s="4" t="s">
        <v>36</v>
      </c>
      <c r="AN590" s="4" t="s">
        <v>37</v>
      </c>
      <c r="AO590" s="4" t="s">
        <v>38</v>
      </c>
      <c r="AP590" s="4">
        <v>43355.0</v>
      </c>
      <c r="AQ590" s="4">
        <v>27600.0</v>
      </c>
      <c r="AR590" s="4">
        <v>43200.0</v>
      </c>
      <c r="AS590" s="4">
        <v>15600.0</v>
      </c>
      <c r="AT590" s="4">
        <v>24.0</v>
      </c>
      <c r="AU590" s="4">
        <v>1036800.0</v>
      </c>
      <c r="AV590" s="4">
        <v>0.07</v>
      </c>
      <c r="AW590" s="4">
        <v>72576.0</v>
      </c>
      <c r="AX590" s="4">
        <v>964224.0</v>
      </c>
      <c r="AY590" s="4">
        <v>662400.0</v>
      </c>
      <c r="AZ590" s="4">
        <v>301824.0</v>
      </c>
    </row>
    <row r="591" ht="15.75" customHeight="1">
      <c r="A591" s="3" t="s">
        <v>1921</v>
      </c>
      <c r="B591" s="5">
        <v>43355.0</v>
      </c>
      <c r="C591" s="6">
        <f t="shared" si="1"/>
        <v>2018</v>
      </c>
      <c r="D591" s="7" t="s">
        <v>1922</v>
      </c>
      <c r="E591" s="7" t="s">
        <v>194</v>
      </c>
      <c r="F591" s="7" t="s">
        <v>31</v>
      </c>
      <c r="G591" s="5" t="s">
        <v>51</v>
      </c>
      <c r="H591" s="7" t="s">
        <v>33</v>
      </c>
      <c r="I591" s="7" t="s">
        <v>92</v>
      </c>
      <c r="J591" s="7" t="s">
        <v>243</v>
      </c>
      <c r="K591" s="7" t="s">
        <v>61</v>
      </c>
      <c r="L591" s="7" t="s">
        <v>244</v>
      </c>
      <c r="M591" s="7" t="s">
        <v>55</v>
      </c>
      <c r="N591" s="5">
        <v>43357.0</v>
      </c>
      <c r="O591" s="8">
        <v>132300.0</v>
      </c>
      <c r="P591" s="8">
        <v>314850.0</v>
      </c>
      <c r="Q591" s="8">
        <f t="shared" si="2"/>
        <v>182550</v>
      </c>
      <c r="R591" s="8">
        <v>18.0</v>
      </c>
      <c r="S591" s="8">
        <f t="shared" si="3"/>
        <v>5667300</v>
      </c>
      <c r="T591" s="9">
        <v>0.0</v>
      </c>
      <c r="U591" s="8">
        <f t="shared" si="4"/>
        <v>0</v>
      </c>
      <c r="V591" s="8">
        <f t="shared" si="5"/>
        <v>5667300</v>
      </c>
      <c r="W591" s="10">
        <f t="shared" si="6"/>
        <v>2381400</v>
      </c>
      <c r="X591" s="10">
        <f t="shared" si="7"/>
        <v>3285900</v>
      </c>
      <c r="Y591" s="10"/>
      <c r="Z591" s="10"/>
      <c r="AA591" s="10"/>
      <c r="AB591" s="4" t="s">
        <v>1923</v>
      </c>
      <c r="AC591" s="4" t="s">
        <v>1921</v>
      </c>
      <c r="AD591" s="4">
        <v>43355.0</v>
      </c>
      <c r="AE591" s="4">
        <v>2018.0</v>
      </c>
      <c r="AF591" s="4" t="s">
        <v>1922</v>
      </c>
      <c r="AG591" s="4" t="s">
        <v>194</v>
      </c>
      <c r="AH591" s="4" t="s">
        <v>31</v>
      </c>
      <c r="AI591" s="4" t="s">
        <v>51</v>
      </c>
      <c r="AJ591" s="4" t="s">
        <v>33</v>
      </c>
      <c r="AK591" s="4" t="s">
        <v>92</v>
      </c>
      <c r="AL591" s="4" t="s">
        <v>243</v>
      </c>
      <c r="AM591" s="4" t="s">
        <v>61</v>
      </c>
      <c r="AN591" s="4" t="s">
        <v>244</v>
      </c>
      <c r="AO591" s="4" t="s">
        <v>55</v>
      </c>
      <c r="AP591" s="4">
        <v>43357.0</v>
      </c>
      <c r="AQ591" s="4">
        <v>132300.0</v>
      </c>
      <c r="AR591" s="4">
        <v>314850.0</v>
      </c>
      <c r="AS591" s="4">
        <v>182550.0</v>
      </c>
      <c r="AT591" s="4">
        <v>18.0</v>
      </c>
      <c r="AU591" s="4">
        <v>5667300.0</v>
      </c>
      <c r="AV591" s="4">
        <v>0.0</v>
      </c>
      <c r="AW591" s="4">
        <v>0.0</v>
      </c>
      <c r="AX591" s="4">
        <v>5667300.0</v>
      </c>
      <c r="AY591" s="4">
        <v>2381400.0</v>
      </c>
      <c r="AZ591" s="4">
        <v>3285900.0</v>
      </c>
    </row>
    <row r="592" ht="15.75" customHeight="1">
      <c r="A592" s="3" t="s">
        <v>1924</v>
      </c>
      <c r="B592" s="5">
        <v>43355.0</v>
      </c>
      <c r="C592" s="6">
        <f t="shared" si="1"/>
        <v>2018</v>
      </c>
      <c r="D592" s="7" t="s">
        <v>1500</v>
      </c>
      <c r="E592" s="7" t="s">
        <v>1069</v>
      </c>
      <c r="F592" s="7" t="s">
        <v>31</v>
      </c>
      <c r="G592" s="5" t="s">
        <v>68</v>
      </c>
      <c r="H592" s="7" t="s">
        <v>43</v>
      </c>
      <c r="I592" s="7" t="s">
        <v>104</v>
      </c>
      <c r="J592" s="7" t="s">
        <v>229</v>
      </c>
      <c r="K592" s="7" t="s">
        <v>61</v>
      </c>
      <c r="L592" s="7" t="s">
        <v>127</v>
      </c>
      <c r="M592" s="7" t="s">
        <v>38</v>
      </c>
      <c r="N592" s="5">
        <v>43356.0</v>
      </c>
      <c r="O592" s="8">
        <v>28050.0</v>
      </c>
      <c r="P592" s="8">
        <v>121799.99999999999</v>
      </c>
      <c r="Q592" s="8">
        <f t="shared" si="2"/>
        <v>93750</v>
      </c>
      <c r="R592" s="8">
        <v>3.0</v>
      </c>
      <c r="S592" s="8">
        <f t="shared" si="3"/>
        <v>365400</v>
      </c>
      <c r="T592" s="9">
        <v>0.03</v>
      </c>
      <c r="U592" s="8">
        <f t="shared" si="4"/>
        <v>10962</v>
      </c>
      <c r="V592" s="8">
        <f t="shared" si="5"/>
        <v>354438</v>
      </c>
      <c r="W592" s="10">
        <f t="shared" si="6"/>
        <v>84150</v>
      </c>
      <c r="X592" s="10">
        <f t="shared" si="7"/>
        <v>270288</v>
      </c>
      <c r="Y592" s="10"/>
      <c r="Z592" s="10"/>
      <c r="AA592" s="10"/>
      <c r="AB592" s="4" t="s">
        <v>1925</v>
      </c>
      <c r="AC592" s="4" t="s">
        <v>1924</v>
      </c>
      <c r="AD592" s="4">
        <v>43355.0</v>
      </c>
      <c r="AE592" s="4">
        <v>2018.0</v>
      </c>
      <c r="AF592" s="4" t="s">
        <v>1500</v>
      </c>
      <c r="AG592" s="4" t="s">
        <v>1069</v>
      </c>
      <c r="AH592" s="4" t="s">
        <v>31</v>
      </c>
      <c r="AI592" s="4" t="s">
        <v>68</v>
      </c>
      <c r="AJ592" s="4" t="s">
        <v>43</v>
      </c>
      <c r="AK592" s="4" t="s">
        <v>104</v>
      </c>
      <c r="AL592" s="4" t="s">
        <v>229</v>
      </c>
      <c r="AM592" s="4" t="s">
        <v>61</v>
      </c>
      <c r="AN592" s="4" t="s">
        <v>127</v>
      </c>
      <c r="AO592" s="4" t="s">
        <v>38</v>
      </c>
      <c r="AP592" s="4">
        <v>43356.0</v>
      </c>
      <c r="AQ592" s="4">
        <v>28050.0</v>
      </c>
      <c r="AR592" s="4">
        <v>121800.0</v>
      </c>
      <c r="AS592" s="4">
        <v>93750.0</v>
      </c>
      <c r="AT592" s="4">
        <v>3.0</v>
      </c>
      <c r="AU592" s="4">
        <v>365400.0</v>
      </c>
      <c r="AV592" s="4">
        <v>0.03</v>
      </c>
      <c r="AW592" s="4">
        <v>10962.0</v>
      </c>
      <c r="AX592" s="4">
        <v>354438.0</v>
      </c>
      <c r="AY592" s="4">
        <v>84150.0</v>
      </c>
      <c r="AZ592" s="4">
        <v>270288.0</v>
      </c>
    </row>
    <row r="593" ht="15.75" customHeight="1">
      <c r="A593" s="3" t="s">
        <v>1926</v>
      </c>
      <c r="B593" s="5">
        <v>43355.0</v>
      </c>
      <c r="C593" s="6">
        <f t="shared" si="1"/>
        <v>2018</v>
      </c>
      <c r="D593" s="7" t="s">
        <v>1927</v>
      </c>
      <c r="E593" s="7" t="s">
        <v>642</v>
      </c>
      <c r="F593" s="7" t="s">
        <v>50</v>
      </c>
      <c r="G593" s="5" t="s">
        <v>32</v>
      </c>
      <c r="H593" s="7" t="s">
        <v>69</v>
      </c>
      <c r="I593" s="7" t="s">
        <v>74</v>
      </c>
      <c r="J593" s="7" t="s">
        <v>677</v>
      </c>
      <c r="K593" s="7" t="s">
        <v>36</v>
      </c>
      <c r="L593" s="7" t="s">
        <v>37</v>
      </c>
      <c r="M593" s="7" t="s">
        <v>38</v>
      </c>
      <c r="N593" s="5">
        <v>43360.0</v>
      </c>
      <c r="O593" s="8">
        <v>224250.0</v>
      </c>
      <c r="P593" s="8">
        <v>521399.99999999994</v>
      </c>
      <c r="Q593" s="8">
        <f t="shared" si="2"/>
        <v>297150</v>
      </c>
      <c r="R593" s="8">
        <v>43.0</v>
      </c>
      <c r="S593" s="8">
        <f t="shared" si="3"/>
        <v>22420200</v>
      </c>
      <c r="T593" s="9">
        <v>0.08</v>
      </c>
      <c r="U593" s="8">
        <f t="shared" si="4"/>
        <v>1793616</v>
      </c>
      <c r="V593" s="8">
        <f t="shared" si="5"/>
        <v>20626584</v>
      </c>
      <c r="W593" s="10">
        <f t="shared" si="6"/>
        <v>9642750</v>
      </c>
      <c r="X593" s="10">
        <f t="shared" si="7"/>
        <v>10983834</v>
      </c>
      <c r="Y593" s="10"/>
      <c r="Z593" s="10"/>
      <c r="AA593" s="10"/>
      <c r="AB593" s="4" t="s">
        <v>1928</v>
      </c>
      <c r="AC593" s="4" t="s">
        <v>1926</v>
      </c>
      <c r="AD593" s="4">
        <v>43355.0</v>
      </c>
      <c r="AE593" s="4">
        <v>2018.0</v>
      </c>
      <c r="AF593" s="4" t="s">
        <v>1927</v>
      </c>
      <c r="AG593" s="4" t="s">
        <v>642</v>
      </c>
      <c r="AH593" s="4" t="s">
        <v>50</v>
      </c>
      <c r="AI593" s="4" t="s">
        <v>32</v>
      </c>
      <c r="AJ593" s="4" t="s">
        <v>69</v>
      </c>
      <c r="AK593" s="4" t="s">
        <v>74</v>
      </c>
      <c r="AL593" s="4" t="s">
        <v>677</v>
      </c>
      <c r="AM593" s="4" t="s">
        <v>36</v>
      </c>
      <c r="AN593" s="4" t="s">
        <v>37</v>
      </c>
      <c r="AO593" s="4" t="s">
        <v>38</v>
      </c>
      <c r="AP593" s="4">
        <v>43360.0</v>
      </c>
      <c r="AQ593" s="4">
        <v>224250.0</v>
      </c>
      <c r="AR593" s="4">
        <v>521400.0</v>
      </c>
      <c r="AS593" s="4">
        <v>297150.0</v>
      </c>
      <c r="AT593" s="4">
        <v>43.0</v>
      </c>
      <c r="AU593" s="4">
        <v>2.24202E7</v>
      </c>
      <c r="AV593" s="4">
        <v>0.08</v>
      </c>
      <c r="AW593" s="4">
        <v>1793616.0</v>
      </c>
      <c r="AX593" s="4">
        <v>2.0626584E7</v>
      </c>
      <c r="AY593" s="4">
        <v>9642750.0</v>
      </c>
      <c r="AZ593" s="4">
        <v>1.0983834E7</v>
      </c>
    </row>
    <row r="594" ht="15.75" customHeight="1">
      <c r="A594" s="3" t="s">
        <v>1929</v>
      </c>
      <c r="B594" s="5">
        <v>43356.0</v>
      </c>
      <c r="C594" s="6">
        <f t="shared" si="1"/>
        <v>2018</v>
      </c>
      <c r="D594" s="7" t="s">
        <v>1407</v>
      </c>
      <c r="E594" s="7" t="s">
        <v>253</v>
      </c>
      <c r="F594" s="7" t="s">
        <v>31</v>
      </c>
      <c r="G594" s="5" t="s">
        <v>51</v>
      </c>
      <c r="H594" s="7" t="s">
        <v>43</v>
      </c>
      <c r="I594" s="7" t="s">
        <v>74</v>
      </c>
      <c r="J594" s="7" t="s">
        <v>1012</v>
      </c>
      <c r="K594" s="7" t="s">
        <v>36</v>
      </c>
      <c r="L594" s="7" t="s">
        <v>127</v>
      </c>
      <c r="M594" s="7" t="s">
        <v>38</v>
      </c>
      <c r="N594" s="5">
        <v>43361.0</v>
      </c>
      <c r="O594" s="8">
        <v>62850.00000000001</v>
      </c>
      <c r="P594" s="8">
        <v>153450.0</v>
      </c>
      <c r="Q594" s="8">
        <f t="shared" si="2"/>
        <v>90600</v>
      </c>
      <c r="R594" s="8">
        <v>35.0</v>
      </c>
      <c r="S594" s="8">
        <f t="shared" si="3"/>
        <v>5370750</v>
      </c>
      <c r="T594" s="9">
        <v>0.01</v>
      </c>
      <c r="U594" s="8">
        <f t="shared" si="4"/>
        <v>53707.5</v>
      </c>
      <c r="V594" s="8">
        <f t="shared" si="5"/>
        <v>5317042.5</v>
      </c>
      <c r="W594" s="10">
        <f t="shared" si="6"/>
        <v>2199750</v>
      </c>
      <c r="X594" s="10">
        <f t="shared" si="7"/>
        <v>3117292.5</v>
      </c>
      <c r="Y594" s="10"/>
      <c r="Z594" s="10"/>
      <c r="AA594" s="10"/>
      <c r="AB594" s="4" t="s">
        <v>1930</v>
      </c>
      <c r="AC594" s="4" t="s">
        <v>1929</v>
      </c>
      <c r="AD594" s="4">
        <v>43356.0</v>
      </c>
      <c r="AE594" s="4">
        <v>2018.0</v>
      </c>
      <c r="AF594" s="4" t="s">
        <v>1407</v>
      </c>
      <c r="AG594" s="4" t="s">
        <v>253</v>
      </c>
      <c r="AH594" s="4" t="s">
        <v>31</v>
      </c>
      <c r="AI594" s="4" t="s">
        <v>51</v>
      </c>
      <c r="AJ594" s="4" t="s">
        <v>43</v>
      </c>
      <c r="AK594" s="4" t="s">
        <v>74</v>
      </c>
      <c r="AL594" s="4" t="s">
        <v>1012</v>
      </c>
      <c r="AM594" s="4" t="s">
        <v>36</v>
      </c>
      <c r="AN594" s="4" t="s">
        <v>127</v>
      </c>
      <c r="AO594" s="4" t="s">
        <v>38</v>
      </c>
      <c r="AP594" s="4">
        <v>43361.0</v>
      </c>
      <c r="AQ594" s="4">
        <v>62850.0</v>
      </c>
      <c r="AR594" s="4">
        <v>153450.0</v>
      </c>
      <c r="AS594" s="4">
        <v>90600.0</v>
      </c>
      <c r="AT594" s="4">
        <v>35.0</v>
      </c>
      <c r="AU594" s="4">
        <v>5370750.0</v>
      </c>
      <c r="AV594" s="4">
        <v>0.01</v>
      </c>
      <c r="AW594" s="4">
        <v>53707.5</v>
      </c>
      <c r="AX594" s="4">
        <v>5317042.5</v>
      </c>
      <c r="AY594" s="4">
        <v>2199750.0</v>
      </c>
      <c r="AZ594" s="4">
        <v>3117292.5</v>
      </c>
    </row>
    <row r="595" ht="15.75" customHeight="1">
      <c r="A595" s="3" t="s">
        <v>1931</v>
      </c>
      <c r="B595" s="5">
        <v>43363.0</v>
      </c>
      <c r="C595" s="6">
        <f t="shared" si="1"/>
        <v>2018</v>
      </c>
      <c r="D595" s="7" t="s">
        <v>1932</v>
      </c>
      <c r="E595" s="7" t="s">
        <v>1933</v>
      </c>
      <c r="F595" s="7" t="s">
        <v>50</v>
      </c>
      <c r="G595" s="5" t="s">
        <v>68</v>
      </c>
      <c r="H595" s="7" t="s">
        <v>110</v>
      </c>
      <c r="I595" s="7" t="s">
        <v>53</v>
      </c>
      <c r="J595" s="7" t="s">
        <v>717</v>
      </c>
      <c r="K595" s="7" t="s">
        <v>61</v>
      </c>
      <c r="L595" s="7" t="s">
        <v>37</v>
      </c>
      <c r="M595" s="7" t="s">
        <v>38</v>
      </c>
      <c r="N595" s="5">
        <v>43365.0</v>
      </c>
      <c r="O595" s="8">
        <v>936000.0</v>
      </c>
      <c r="P595" s="8">
        <v>2339850.0</v>
      </c>
      <c r="Q595" s="8">
        <f t="shared" si="2"/>
        <v>1403850</v>
      </c>
      <c r="R595" s="8">
        <v>21.0</v>
      </c>
      <c r="S595" s="8">
        <f t="shared" si="3"/>
        <v>49136850</v>
      </c>
      <c r="T595" s="9">
        <v>0.08</v>
      </c>
      <c r="U595" s="8">
        <f t="shared" si="4"/>
        <v>3930948</v>
      </c>
      <c r="V595" s="8">
        <f t="shared" si="5"/>
        <v>45205902</v>
      </c>
      <c r="W595" s="10">
        <f t="shared" si="6"/>
        <v>19656000</v>
      </c>
      <c r="X595" s="10">
        <f t="shared" si="7"/>
        <v>25549902</v>
      </c>
      <c r="Y595" s="10"/>
      <c r="Z595" s="10"/>
      <c r="AA595" s="10"/>
      <c r="AB595" s="4" t="s">
        <v>1934</v>
      </c>
      <c r="AC595" s="4" t="s">
        <v>1931</v>
      </c>
      <c r="AD595" s="4">
        <v>43363.0</v>
      </c>
      <c r="AE595" s="4">
        <v>2018.0</v>
      </c>
      <c r="AF595" s="4" t="s">
        <v>1932</v>
      </c>
      <c r="AG595" s="4" t="s">
        <v>1933</v>
      </c>
      <c r="AH595" s="4" t="s">
        <v>50</v>
      </c>
      <c r="AI595" s="4" t="s">
        <v>68</v>
      </c>
      <c r="AJ595" s="4" t="s">
        <v>110</v>
      </c>
      <c r="AK595" s="4" t="s">
        <v>53</v>
      </c>
      <c r="AL595" s="4" t="s">
        <v>717</v>
      </c>
      <c r="AM595" s="4" t="s">
        <v>61</v>
      </c>
      <c r="AN595" s="4" t="s">
        <v>37</v>
      </c>
      <c r="AO595" s="4" t="s">
        <v>38</v>
      </c>
      <c r="AP595" s="4">
        <v>43365.0</v>
      </c>
      <c r="AQ595" s="4">
        <v>936000.0</v>
      </c>
      <c r="AR595" s="4">
        <v>2339850.0</v>
      </c>
      <c r="AS595" s="4">
        <v>1403850.0</v>
      </c>
      <c r="AT595" s="4">
        <v>21.0</v>
      </c>
      <c r="AU595" s="4">
        <v>4.913685E7</v>
      </c>
      <c r="AV595" s="4">
        <v>0.08</v>
      </c>
      <c r="AW595" s="4">
        <v>3930948.0</v>
      </c>
      <c r="AX595" s="4">
        <v>4.5205902E7</v>
      </c>
      <c r="AY595" s="4">
        <v>1.9656E7</v>
      </c>
      <c r="AZ595" s="4">
        <v>2.5549902E7</v>
      </c>
    </row>
    <row r="596" ht="15.75" customHeight="1">
      <c r="A596" s="3" t="s">
        <v>1935</v>
      </c>
      <c r="B596" s="5">
        <v>43363.0</v>
      </c>
      <c r="C596" s="6">
        <f t="shared" si="1"/>
        <v>2018</v>
      </c>
      <c r="D596" s="7" t="s">
        <v>198</v>
      </c>
      <c r="E596" s="7" t="s">
        <v>199</v>
      </c>
      <c r="F596" s="7" t="s">
        <v>50</v>
      </c>
      <c r="G596" s="5" t="s">
        <v>32</v>
      </c>
      <c r="H596" s="7" t="s">
        <v>200</v>
      </c>
      <c r="I596" s="7" t="s">
        <v>92</v>
      </c>
      <c r="J596" s="7" t="s">
        <v>978</v>
      </c>
      <c r="K596" s="7" t="s">
        <v>61</v>
      </c>
      <c r="L596" s="7" t="s">
        <v>555</v>
      </c>
      <c r="M596" s="7" t="s">
        <v>38</v>
      </c>
      <c r="N596" s="5">
        <v>43364.0</v>
      </c>
      <c r="O596" s="8">
        <v>5669850.0</v>
      </c>
      <c r="P596" s="8">
        <v>8999850.0</v>
      </c>
      <c r="Q596" s="8">
        <f t="shared" si="2"/>
        <v>3330000</v>
      </c>
      <c r="R596" s="8">
        <v>41.0</v>
      </c>
      <c r="S596" s="8">
        <f t="shared" si="3"/>
        <v>368993850</v>
      </c>
      <c r="T596" s="9">
        <v>0.09</v>
      </c>
      <c r="U596" s="8">
        <f t="shared" si="4"/>
        <v>33209446.5</v>
      </c>
      <c r="V596" s="8">
        <f t="shared" si="5"/>
        <v>335784403.5</v>
      </c>
      <c r="W596" s="10">
        <f t="shared" si="6"/>
        <v>232463850</v>
      </c>
      <c r="X596" s="10">
        <f t="shared" si="7"/>
        <v>103320553.5</v>
      </c>
      <c r="Y596" s="10"/>
      <c r="Z596" s="10"/>
      <c r="AA596" s="10"/>
      <c r="AB596" s="4" t="s">
        <v>1936</v>
      </c>
      <c r="AC596" s="4" t="s">
        <v>1935</v>
      </c>
      <c r="AD596" s="4">
        <v>43363.0</v>
      </c>
      <c r="AE596" s="4">
        <v>2018.0</v>
      </c>
      <c r="AF596" s="4" t="s">
        <v>198</v>
      </c>
      <c r="AG596" s="4" t="s">
        <v>199</v>
      </c>
      <c r="AH596" s="4" t="s">
        <v>50</v>
      </c>
      <c r="AI596" s="4" t="s">
        <v>32</v>
      </c>
      <c r="AJ596" s="4" t="s">
        <v>200</v>
      </c>
      <c r="AK596" s="4" t="s">
        <v>92</v>
      </c>
      <c r="AL596" s="4" t="s">
        <v>978</v>
      </c>
      <c r="AM596" s="4" t="s">
        <v>61</v>
      </c>
      <c r="AN596" s="4" t="s">
        <v>555</v>
      </c>
      <c r="AO596" s="4" t="s">
        <v>38</v>
      </c>
      <c r="AP596" s="4">
        <v>43364.0</v>
      </c>
      <c r="AQ596" s="4">
        <v>5669850.0</v>
      </c>
      <c r="AR596" s="4">
        <v>8999850.0</v>
      </c>
      <c r="AS596" s="4">
        <v>3330000.0</v>
      </c>
      <c r="AT596" s="4">
        <v>41.0</v>
      </c>
      <c r="AU596" s="4">
        <v>3.6899385E8</v>
      </c>
      <c r="AV596" s="4">
        <v>0.09</v>
      </c>
      <c r="AW596" s="4">
        <v>3.32094465E7</v>
      </c>
      <c r="AX596" s="4">
        <v>3.357844035E8</v>
      </c>
      <c r="AY596" s="4">
        <v>2.3246385E8</v>
      </c>
      <c r="AZ596" s="4">
        <v>1.033205535E8</v>
      </c>
    </row>
    <row r="597" ht="15.75" customHeight="1">
      <c r="A597" s="3" t="s">
        <v>1937</v>
      </c>
      <c r="B597" s="5">
        <v>43365.0</v>
      </c>
      <c r="C597" s="6">
        <f t="shared" si="1"/>
        <v>2018</v>
      </c>
      <c r="D597" s="7" t="s">
        <v>1938</v>
      </c>
      <c r="E597" s="7" t="s">
        <v>1821</v>
      </c>
      <c r="F597" s="7" t="s">
        <v>50</v>
      </c>
      <c r="G597" s="5" t="s">
        <v>51</v>
      </c>
      <c r="H597" s="7" t="s">
        <v>344</v>
      </c>
      <c r="I597" s="7" t="s">
        <v>53</v>
      </c>
      <c r="J597" s="7" t="s">
        <v>81</v>
      </c>
      <c r="K597" s="7" t="s">
        <v>36</v>
      </c>
      <c r="L597" s="7" t="s">
        <v>37</v>
      </c>
      <c r="M597" s="7" t="s">
        <v>38</v>
      </c>
      <c r="N597" s="5">
        <v>43367.0</v>
      </c>
      <c r="O597" s="8">
        <v>1490850.0</v>
      </c>
      <c r="P597" s="8">
        <v>2443950.0</v>
      </c>
      <c r="Q597" s="8">
        <f t="shared" si="2"/>
        <v>953100</v>
      </c>
      <c r="R597" s="8">
        <v>36.0</v>
      </c>
      <c r="S597" s="8">
        <f t="shared" si="3"/>
        <v>87982200</v>
      </c>
      <c r="T597" s="9">
        <v>0.09</v>
      </c>
      <c r="U597" s="8">
        <f t="shared" si="4"/>
        <v>7918398</v>
      </c>
      <c r="V597" s="8">
        <f t="shared" si="5"/>
        <v>80063802</v>
      </c>
      <c r="W597" s="10">
        <f t="shared" si="6"/>
        <v>53670600</v>
      </c>
      <c r="X597" s="10">
        <f t="shared" si="7"/>
        <v>26393202</v>
      </c>
      <c r="Y597" s="10"/>
      <c r="Z597" s="10"/>
      <c r="AA597" s="10"/>
      <c r="AB597" s="4" t="s">
        <v>1939</v>
      </c>
      <c r="AC597" s="4" t="s">
        <v>1937</v>
      </c>
      <c r="AD597" s="4">
        <v>43365.0</v>
      </c>
      <c r="AE597" s="4">
        <v>2018.0</v>
      </c>
      <c r="AF597" s="4" t="s">
        <v>1938</v>
      </c>
      <c r="AG597" s="4" t="s">
        <v>1821</v>
      </c>
      <c r="AH597" s="4" t="s">
        <v>50</v>
      </c>
      <c r="AI597" s="4" t="s">
        <v>51</v>
      </c>
      <c r="AJ597" s="4" t="s">
        <v>344</v>
      </c>
      <c r="AK597" s="4" t="s">
        <v>53</v>
      </c>
      <c r="AL597" s="4" t="s">
        <v>81</v>
      </c>
      <c r="AM597" s="4" t="s">
        <v>36</v>
      </c>
      <c r="AN597" s="4" t="s">
        <v>37</v>
      </c>
      <c r="AO597" s="4" t="s">
        <v>38</v>
      </c>
      <c r="AP597" s="4">
        <v>43367.0</v>
      </c>
      <c r="AQ597" s="4">
        <v>1490850.0</v>
      </c>
      <c r="AR597" s="4">
        <v>2443950.0</v>
      </c>
      <c r="AS597" s="4">
        <v>953100.0</v>
      </c>
      <c r="AT597" s="4">
        <v>36.0</v>
      </c>
      <c r="AU597" s="4">
        <v>8.79822E7</v>
      </c>
      <c r="AV597" s="4">
        <v>0.09</v>
      </c>
      <c r="AW597" s="4">
        <v>7918398.0</v>
      </c>
      <c r="AX597" s="4">
        <v>8.0063802E7</v>
      </c>
      <c r="AY597" s="4">
        <v>5.36706E7</v>
      </c>
      <c r="AZ597" s="4">
        <v>2.6393202E7</v>
      </c>
    </row>
    <row r="598" ht="15.75" customHeight="1">
      <c r="A598" s="3" t="s">
        <v>1940</v>
      </c>
      <c r="B598" s="5">
        <v>43365.0</v>
      </c>
      <c r="C598" s="6">
        <f t="shared" si="1"/>
        <v>2018</v>
      </c>
      <c r="D598" s="7" t="s">
        <v>383</v>
      </c>
      <c r="E598" s="7" t="s">
        <v>384</v>
      </c>
      <c r="F598" s="7" t="s">
        <v>31</v>
      </c>
      <c r="G598" s="5" t="s">
        <v>51</v>
      </c>
      <c r="H598" s="7" t="s">
        <v>43</v>
      </c>
      <c r="I598" s="7" t="s">
        <v>74</v>
      </c>
      <c r="J598" s="7" t="s">
        <v>160</v>
      </c>
      <c r="K598" s="7" t="s">
        <v>36</v>
      </c>
      <c r="L598" s="7" t="s">
        <v>37</v>
      </c>
      <c r="M598" s="7" t="s">
        <v>38</v>
      </c>
      <c r="N598" s="5">
        <v>43369.0</v>
      </c>
      <c r="O598" s="8">
        <v>52800.0</v>
      </c>
      <c r="P598" s="8">
        <v>85200.0</v>
      </c>
      <c r="Q598" s="8">
        <f t="shared" si="2"/>
        <v>32400</v>
      </c>
      <c r="R598" s="8">
        <v>8.0</v>
      </c>
      <c r="S598" s="8">
        <f t="shared" si="3"/>
        <v>681600</v>
      </c>
      <c r="T598" s="9">
        <v>0.05</v>
      </c>
      <c r="U598" s="8">
        <f t="shared" si="4"/>
        <v>34080</v>
      </c>
      <c r="V598" s="8">
        <f t="shared" si="5"/>
        <v>647520</v>
      </c>
      <c r="W598" s="10">
        <f t="shared" si="6"/>
        <v>422400</v>
      </c>
      <c r="X598" s="10">
        <f t="shared" si="7"/>
        <v>225120</v>
      </c>
      <c r="Y598" s="10"/>
      <c r="Z598" s="10"/>
      <c r="AA598" s="10"/>
      <c r="AB598" s="4" t="s">
        <v>1941</v>
      </c>
      <c r="AC598" s="4" t="s">
        <v>1940</v>
      </c>
      <c r="AD598" s="4">
        <v>43365.0</v>
      </c>
      <c r="AE598" s="4">
        <v>2018.0</v>
      </c>
      <c r="AF598" s="4" t="s">
        <v>383</v>
      </c>
      <c r="AG598" s="4" t="s">
        <v>384</v>
      </c>
      <c r="AH598" s="4" t="s">
        <v>31</v>
      </c>
      <c r="AI598" s="4" t="s">
        <v>51</v>
      </c>
      <c r="AJ598" s="4" t="s">
        <v>43</v>
      </c>
      <c r="AK598" s="4" t="s">
        <v>74</v>
      </c>
      <c r="AL598" s="4" t="s">
        <v>160</v>
      </c>
      <c r="AM598" s="4" t="s">
        <v>36</v>
      </c>
      <c r="AN598" s="4" t="s">
        <v>37</v>
      </c>
      <c r="AO598" s="4" t="s">
        <v>38</v>
      </c>
      <c r="AP598" s="4">
        <v>43369.0</v>
      </c>
      <c r="AQ598" s="4">
        <v>52800.0</v>
      </c>
      <c r="AR598" s="4">
        <v>85200.0</v>
      </c>
      <c r="AS598" s="4">
        <v>32400.0</v>
      </c>
      <c r="AT598" s="4">
        <v>8.0</v>
      </c>
      <c r="AU598" s="4">
        <v>681600.0</v>
      </c>
      <c r="AV598" s="4">
        <v>0.05</v>
      </c>
      <c r="AW598" s="4">
        <v>34080.0</v>
      </c>
      <c r="AX598" s="4">
        <v>647520.0</v>
      </c>
      <c r="AY598" s="4">
        <v>422400.0</v>
      </c>
      <c r="AZ598" s="4">
        <v>225120.0</v>
      </c>
    </row>
    <row r="599" ht="15.75" customHeight="1">
      <c r="A599" s="3" t="s">
        <v>1942</v>
      </c>
      <c r="B599" s="5">
        <v>43366.0</v>
      </c>
      <c r="C599" s="6">
        <f t="shared" si="1"/>
        <v>2018</v>
      </c>
      <c r="D599" s="7" t="s">
        <v>1943</v>
      </c>
      <c r="E599" s="7" t="s">
        <v>1885</v>
      </c>
      <c r="F599" s="7" t="s">
        <v>50</v>
      </c>
      <c r="G599" s="5" t="s">
        <v>68</v>
      </c>
      <c r="H599" s="7" t="s">
        <v>110</v>
      </c>
      <c r="I599" s="7" t="s">
        <v>74</v>
      </c>
      <c r="J599" s="7" t="s">
        <v>803</v>
      </c>
      <c r="K599" s="7" t="s">
        <v>36</v>
      </c>
      <c r="L599" s="7" t="s">
        <v>127</v>
      </c>
      <c r="M599" s="7" t="s">
        <v>38</v>
      </c>
      <c r="N599" s="5">
        <v>43366.0</v>
      </c>
      <c r="O599" s="8">
        <v>52650.0</v>
      </c>
      <c r="P599" s="8">
        <v>128550.0</v>
      </c>
      <c r="Q599" s="8">
        <f t="shared" si="2"/>
        <v>75900</v>
      </c>
      <c r="R599" s="8">
        <v>22.0</v>
      </c>
      <c r="S599" s="8">
        <f t="shared" si="3"/>
        <v>2828100</v>
      </c>
      <c r="T599" s="9">
        <v>0.1</v>
      </c>
      <c r="U599" s="8">
        <f t="shared" si="4"/>
        <v>282810</v>
      </c>
      <c r="V599" s="8">
        <f t="shared" si="5"/>
        <v>2545290</v>
      </c>
      <c r="W599" s="10">
        <f t="shared" si="6"/>
        <v>1158300</v>
      </c>
      <c r="X599" s="10">
        <f t="shared" si="7"/>
        <v>1386990</v>
      </c>
      <c r="Y599" s="10"/>
      <c r="Z599" s="10"/>
      <c r="AA599" s="10"/>
      <c r="AB599" s="4" t="s">
        <v>1944</v>
      </c>
      <c r="AC599" s="4" t="s">
        <v>1942</v>
      </c>
      <c r="AD599" s="4">
        <v>43366.0</v>
      </c>
      <c r="AE599" s="4">
        <v>2018.0</v>
      </c>
      <c r="AF599" s="4" t="s">
        <v>1943</v>
      </c>
      <c r="AG599" s="4" t="s">
        <v>1885</v>
      </c>
      <c r="AH599" s="4" t="s">
        <v>50</v>
      </c>
      <c r="AI599" s="4" t="s">
        <v>68</v>
      </c>
      <c r="AJ599" s="4" t="s">
        <v>110</v>
      </c>
      <c r="AK599" s="4" t="s">
        <v>74</v>
      </c>
      <c r="AL599" s="4" t="s">
        <v>803</v>
      </c>
      <c r="AM599" s="4" t="s">
        <v>36</v>
      </c>
      <c r="AN599" s="4" t="s">
        <v>127</v>
      </c>
      <c r="AO599" s="4" t="s">
        <v>38</v>
      </c>
      <c r="AP599" s="4">
        <v>43366.0</v>
      </c>
      <c r="AQ599" s="4">
        <v>52650.0</v>
      </c>
      <c r="AR599" s="4">
        <v>128550.0</v>
      </c>
      <c r="AS599" s="4">
        <v>75900.0</v>
      </c>
      <c r="AT599" s="4">
        <v>22.0</v>
      </c>
      <c r="AU599" s="4">
        <v>2828100.0</v>
      </c>
      <c r="AV599" s="4">
        <v>0.1</v>
      </c>
      <c r="AW599" s="4">
        <v>282810.0</v>
      </c>
      <c r="AX599" s="4">
        <v>2545290.0</v>
      </c>
      <c r="AY599" s="4">
        <v>1158300.0</v>
      </c>
      <c r="AZ599" s="4">
        <v>1386990.0</v>
      </c>
    </row>
    <row r="600" ht="15.75" customHeight="1">
      <c r="A600" s="3" t="s">
        <v>1945</v>
      </c>
      <c r="B600" s="5">
        <v>43366.0</v>
      </c>
      <c r="C600" s="6">
        <f t="shared" si="1"/>
        <v>2018</v>
      </c>
      <c r="D600" s="7" t="s">
        <v>1594</v>
      </c>
      <c r="E600" s="7" t="s">
        <v>85</v>
      </c>
      <c r="F600" s="7" t="s">
        <v>50</v>
      </c>
      <c r="G600" s="5" t="s">
        <v>68</v>
      </c>
      <c r="H600" s="7" t="s">
        <v>80</v>
      </c>
      <c r="I600" s="7" t="s">
        <v>34</v>
      </c>
      <c r="J600" s="7" t="s">
        <v>843</v>
      </c>
      <c r="K600" s="7" t="s">
        <v>36</v>
      </c>
      <c r="L600" s="7" t="s">
        <v>45</v>
      </c>
      <c r="M600" s="7" t="s">
        <v>55</v>
      </c>
      <c r="N600" s="5">
        <v>43368.0</v>
      </c>
      <c r="O600" s="8">
        <v>13950.0</v>
      </c>
      <c r="P600" s="8">
        <v>24000.0</v>
      </c>
      <c r="Q600" s="8">
        <f t="shared" si="2"/>
        <v>10050</v>
      </c>
      <c r="R600" s="8">
        <v>24.0</v>
      </c>
      <c r="S600" s="8">
        <f t="shared" si="3"/>
        <v>576000</v>
      </c>
      <c r="T600" s="9">
        <v>0.04</v>
      </c>
      <c r="U600" s="8">
        <f t="shared" si="4"/>
        <v>23040</v>
      </c>
      <c r="V600" s="8">
        <f t="shared" si="5"/>
        <v>552960</v>
      </c>
      <c r="W600" s="10">
        <f t="shared" si="6"/>
        <v>334800</v>
      </c>
      <c r="X600" s="10">
        <f t="shared" si="7"/>
        <v>218160</v>
      </c>
      <c r="Y600" s="10"/>
      <c r="Z600" s="10"/>
      <c r="AA600" s="10"/>
      <c r="AB600" s="4" t="s">
        <v>1946</v>
      </c>
      <c r="AC600" s="4" t="s">
        <v>1945</v>
      </c>
      <c r="AD600" s="4">
        <v>43366.0</v>
      </c>
      <c r="AE600" s="4">
        <v>2018.0</v>
      </c>
      <c r="AF600" s="4" t="s">
        <v>1594</v>
      </c>
      <c r="AG600" s="4" t="s">
        <v>85</v>
      </c>
      <c r="AH600" s="4" t="s">
        <v>50</v>
      </c>
      <c r="AI600" s="4" t="s">
        <v>68</v>
      </c>
      <c r="AJ600" s="4" t="s">
        <v>80</v>
      </c>
      <c r="AK600" s="4" t="s">
        <v>34</v>
      </c>
      <c r="AL600" s="4" t="s">
        <v>843</v>
      </c>
      <c r="AM600" s="4" t="s">
        <v>36</v>
      </c>
      <c r="AN600" s="4" t="s">
        <v>45</v>
      </c>
      <c r="AO600" s="4" t="s">
        <v>55</v>
      </c>
      <c r="AP600" s="4">
        <v>43368.0</v>
      </c>
      <c r="AQ600" s="4">
        <v>13950.0</v>
      </c>
      <c r="AR600" s="4">
        <v>24000.0</v>
      </c>
      <c r="AS600" s="4">
        <v>10050.0</v>
      </c>
      <c r="AT600" s="4">
        <v>24.0</v>
      </c>
      <c r="AU600" s="4">
        <v>576000.0</v>
      </c>
      <c r="AV600" s="4">
        <v>0.04</v>
      </c>
      <c r="AW600" s="4">
        <v>23040.0</v>
      </c>
      <c r="AX600" s="4">
        <v>552960.0</v>
      </c>
      <c r="AY600" s="4">
        <v>334800.0</v>
      </c>
      <c r="AZ600" s="4">
        <v>218160.0</v>
      </c>
    </row>
    <row r="601" ht="15.75" customHeight="1">
      <c r="A601" s="3" t="s">
        <v>1947</v>
      </c>
      <c r="B601" s="5">
        <v>43368.0</v>
      </c>
      <c r="C601" s="6">
        <f t="shared" si="1"/>
        <v>2018</v>
      </c>
      <c r="D601" s="7" t="s">
        <v>487</v>
      </c>
      <c r="E601" s="7" t="s">
        <v>164</v>
      </c>
      <c r="F601" s="7" t="s">
        <v>50</v>
      </c>
      <c r="G601" s="5" t="s">
        <v>51</v>
      </c>
      <c r="H601" s="7" t="s">
        <v>69</v>
      </c>
      <c r="I601" s="7" t="s">
        <v>92</v>
      </c>
      <c r="J601" s="7" t="s">
        <v>277</v>
      </c>
      <c r="K601" s="7" t="s">
        <v>278</v>
      </c>
      <c r="L601" s="7" t="s">
        <v>127</v>
      </c>
      <c r="M601" s="7" t="s">
        <v>38</v>
      </c>
      <c r="N601" s="5">
        <v>43371.0</v>
      </c>
      <c r="O601" s="8">
        <v>82500.0</v>
      </c>
      <c r="P601" s="8">
        <v>183300.0</v>
      </c>
      <c r="Q601" s="8">
        <f t="shared" si="2"/>
        <v>100800</v>
      </c>
      <c r="R601" s="8">
        <v>8.0</v>
      </c>
      <c r="S601" s="8">
        <f t="shared" si="3"/>
        <v>1466400</v>
      </c>
      <c r="T601" s="9">
        <v>0.1</v>
      </c>
      <c r="U601" s="8">
        <f t="shared" si="4"/>
        <v>146640</v>
      </c>
      <c r="V601" s="8">
        <f t="shared" si="5"/>
        <v>1319760</v>
      </c>
      <c r="W601" s="10">
        <f t="shared" si="6"/>
        <v>660000</v>
      </c>
      <c r="X601" s="10">
        <f t="shared" si="7"/>
        <v>659760</v>
      </c>
      <c r="Y601" s="10"/>
      <c r="Z601" s="10"/>
      <c r="AA601" s="10"/>
      <c r="AB601" s="4" t="s">
        <v>1948</v>
      </c>
      <c r="AC601" s="4" t="s">
        <v>1947</v>
      </c>
      <c r="AD601" s="4">
        <v>43368.0</v>
      </c>
      <c r="AE601" s="4">
        <v>2018.0</v>
      </c>
      <c r="AF601" s="4" t="s">
        <v>487</v>
      </c>
      <c r="AG601" s="4" t="s">
        <v>164</v>
      </c>
      <c r="AH601" s="4" t="s">
        <v>50</v>
      </c>
      <c r="AI601" s="4" t="s">
        <v>51</v>
      </c>
      <c r="AJ601" s="4" t="s">
        <v>69</v>
      </c>
      <c r="AK601" s="4" t="s">
        <v>92</v>
      </c>
      <c r="AL601" s="4" t="s">
        <v>277</v>
      </c>
      <c r="AM601" s="4" t="s">
        <v>278</v>
      </c>
      <c r="AN601" s="4" t="s">
        <v>127</v>
      </c>
      <c r="AO601" s="4" t="s">
        <v>38</v>
      </c>
      <c r="AP601" s="4">
        <v>43371.0</v>
      </c>
      <c r="AQ601" s="4">
        <v>82500.0</v>
      </c>
      <c r="AR601" s="4">
        <v>183300.0</v>
      </c>
      <c r="AS601" s="4">
        <v>100800.0</v>
      </c>
      <c r="AT601" s="4">
        <v>8.0</v>
      </c>
      <c r="AU601" s="4">
        <v>1466400.0</v>
      </c>
      <c r="AV601" s="4">
        <v>0.1</v>
      </c>
      <c r="AW601" s="4">
        <v>146640.0</v>
      </c>
      <c r="AX601" s="4">
        <v>1319760.0</v>
      </c>
      <c r="AY601" s="4">
        <v>660000.0</v>
      </c>
      <c r="AZ601" s="4">
        <v>659760.0</v>
      </c>
    </row>
    <row r="602" ht="15.75" customHeight="1">
      <c r="A602" s="3" t="s">
        <v>1949</v>
      </c>
      <c r="B602" s="5">
        <v>43369.0</v>
      </c>
      <c r="C602" s="6">
        <f t="shared" si="1"/>
        <v>2018</v>
      </c>
      <c r="D602" s="7" t="s">
        <v>1950</v>
      </c>
      <c r="E602" s="7" t="s">
        <v>364</v>
      </c>
      <c r="F602" s="7" t="s">
        <v>31</v>
      </c>
      <c r="G602" s="5" t="s">
        <v>32</v>
      </c>
      <c r="H602" s="7" t="s">
        <v>43</v>
      </c>
      <c r="I602" s="7" t="s">
        <v>34</v>
      </c>
      <c r="J602" s="7" t="s">
        <v>462</v>
      </c>
      <c r="K602" s="7" t="s">
        <v>36</v>
      </c>
      <c r="L602" s="7" t="s">
        <v>45</v>
      </c>
      <c r="M602" s="7" t="s">
        <v>38</v>
      </c>
      <c r="N602" s="5">
        <v>43370.0</v>
      </c>
      <c r="O602" s="8">
        <v>19650.0</v>
      </c>
      <c r="P602" s="8">
        <v>42600.0</v>
      </c>
      <c r="Q602" s="8">
        <f t="shared" si="2"/>
        <v>22950</v>
      </c>
      <c r="R602" s="8">
        <v>23.0</v>
      </c>
      <c r="S602" s="8">
        <f t="shared" si="3"/>
        <v>979800</v>
      </c>
      <c r="T602" s="9">
        <v>0.06</v>
      </c>
      <c r="U602" s="8">
        <f t="shared" si="4"/>
        <v>58788</v>
      </c>
      <c r="V602" s="8">
        <f t="shared" si="5"/>
        <v>921012</v>
      </c>
      <c r="W602" s="10">
        <f t="shared" si="6"/>
        <v>451950</v>
      </c>
      <c r="X602" s="10">
        <f t="shared" si="7"/>
        <v>469062</v>
      </c>
      <c r="Y602" s="10"/>
      <c r="Z602" s="10"/>
      <c r="AA602" s="10"/>
      <c r="AB602" s="4" t="s">
        <v>1951</v>
      </c>
      <c r="AC602" s="4" t="s">
        <v>1949</v>
      </c>
      <c r="AD602" s="4">
        <v>43369.0</v>
      </c>
      <c r="AE602" s="4">
        <v>2018.0</v>
      </c>
      <c r="AF602" s="4" t="s">
        <v>1950</v>
      </c>
      <c r="AG602" s="4" t="s">
        <v>364</v>
      </c>
      <c r="AH602" s="4" t="s">
        <v>31</v>
      </c>
      <c r="AI602" s="4" t="s">
        <v>32</v>
      </c>
      <c r="AJ602" s="4" t="s">
        <v>43</v>
      </c>
      <c r="AK602" s="4" t="s">
        <v>34</v>
      </c>
      <c r="AL602" s="4" t="s">
        <v>462</v>
      </c>
      <c r="AM602" s="4" t="s">
        <v>36</v>
      </c>
      <c r="AN602" s="4" t="s">
        <v>45</v>
      </c>
      <c r="AO602" s="4" t="s">
        <v>38</v>
      </c>
      <c r="AP602" s="4">
        <v>43370.0</v>
      </c>
      <c r="AQ602" s="4">
        <v>19650.0</v>
      </c>
      <c r="AR602" s="4">
        <v>42600.0</v>
      </c>
      <c r="AS602" s="4">
        <v>22950.0</v>
      </c>
      <c r="AT602" s="4">
        <v>23.0</v>
      </c>
      <c r="AU602" s="4">
        <v>979800.0</v>
      </c>
      <c r="AV602" s="4">
        <v>0.06</v>
      </c>
      <c r="AW602" s="4">
        <v>58788.0</v>
      </c>
      <c r="AX602" s="4">
        <v>921012.0</v>
      </c>
      <c r="AY602" s="4">
        <v>451950.0</v>
      </c>
      <c r="AZ602" s="4">
        <v>469062.0</v>
      </c>
    </row>
    <row r="603" ht="15.75" customHeight="1">
      <c r="A603" s="3" t="s">
        <v>1952</v>
      </c>
      <c r="B603" s="5">
        <v>43375.0</v>
      </c>
      <c r="C603" s="6">
        <f t="shared" si="1"/>
        <v>2018</v>
      </c>
      <c r="D603" s="7" t="s">
        <v>1953</v>
      </c>
      <c r="E603" s="7" t="s">
        <v>393</v>
      </c>
      <c r="F603" s="7" t="s">
        <v>31</v>
      </c>
      <c r="G603" s="5" t="s">
        <v>91</v>
      </c>
      <c r="H603" s="7" t="s">
        <v>43</v>
      </c>
      <c r="I603" s="7" t="s">
        <v>92</v>
      </c>
      <c r="J603" s="7" t="s">
        <v>135</v>
      </c>
      <c r="K603" s="7" t="s">
        <v>36</v>
      </c>
      <c r="L603" s="7" t="s">
        <v>37</v>
      </c>
      <c r="M603" s="7" t="s">
        <v>38</v>
      </c>
      <c r="N603" s="5">
        <v>43377.0</v>
      </c>
      <c r="O603" s="8">
        <v>68850.0</v>
      </c>
      <c r="P603" s="8">
        <v>109200.0</v>
      </c>
      <c r="Q603" s="8">
        <f t="shared" si="2"/>
        <v>40350</v>
      </c>
      <c r="R603" s="8">
        <v>16.0</v>
      </c>
      <c r="S603" s="8">
        <f t="shared" si="3"/>
        <v>1747200</v>
      </c>
      <c r="T603" s="9">
        <v>0.07</v>
      </c>
      <c r="U603" s="8">
        <f t="shared" si="4"/>
        <v>122304</v>
      </c>
      <c r="V603" s="8">
        <f t="shared" si="5"/>
        <v>1624896</v>
      </c>
      <c r="W603" s="10">
        <f t="shared" si="6"/>
        <v>1101600</v>
      </c>
      <c r="X603" s="10">
        <f t="shared" si="7"/>
        <v>523296</v>
      </c>
      <c r="Y603" s="10"/>
      <c r="Z603" s="10"/>
      <c r="AA603" s="10"/>
      <c r="AB603" s="4" t="s">
        <v>1954</v>
      </c>
      <c r="AC603" s="4" t="s">
        <v>1952</v>
      </c>
      <c r="AD603" s="4">
        <v>43375.0</v>
      </c>
      <c r="AE603" s="4">
        <v>2018.0</v>
      </c>
      <c r="AF603" s="4" t="s">
        <v>1953</v>
      </c>
      <c r="AG603" s="4" t="s">
        <v>393</v>
      </c>
      <c r="AH603" s="4" t="s">
        <v>31</v>
      </c>
      <c r="AI603" s="4" t="s">
        <v>91</v>
      </c>
      <c r="AJ603" s="4" t="s">
        <v>43</v>
      </c>
      <c r="AK603" s="4" t="s">
        <v>92</v>
      </c>
      <c r="AL603" s="4" t="s">
        <v>135</v>
      </c>
      <c r="AM603" s="4" t="s">
        <v>36</v>
      </c>
      <c r="AN603" s="4" t="s">
        <v>37</v>
      </c>
      <c r="AO603" s="4" t="s">
        <v>38</v>
      </c>
      <c r="AP603" s="4">
        <v>43377.0</v>
      </c>
      <c r="AQ603" s="4">
        <v>68850.0</v>
      </c>
      <c r="AR603" s="4">
        <v>109200.0</v>
      </c>
      <c r="AS603" s="4">
        <v>40350.0</v>
      </c>
      <c r="AT603" s="4">
        <v>16.0</v>
      </c>
      <c r="AU603" s="4">
        <v>1747200.0</v>
      </c>
      <c r="AV603" s="4">
        <v>0.07</v>
      </c>
      <c r="AW603" s="4">
        <v>122304.0</v>
      </c>
      <c r="AX603" s="4">
        <v>1624896.0</v>
      </c>
      <c r="AY603" s="4">
        <v>1101600.0</v>
      </c>
      <c r="AZ603" s="4">
        <v>523296.0</v>
      </c>
    </row>
    <row r="604" ht="15.75" customHeight="1">
      <c r="A604" s="3" t="s">
        <v>1955</v>
      </c>
      <c r="B604" s="5">
        <v>43376.0</v>
      </c>
      <c r="C604" s="6">
        <f t="shared" si="1"/>
        <v>2018</v>
      </c>
      <c r="D604" s="7" t="s">
        <v>1956</v>
      </c>
      <c r="E604" s="7" t="s">
        <v>238</v>
      </c>
      <c r="F604" s="7" t="s">
        <v>50</v>
      </c>
      <c r="G604" s="5" t="s">
        <v>51</v>
      </c>
      <c r="H604" s="7" t="s">
        <v>151</v>
      </c>
      <c r="I604" s="7" t="s">
        <v>104</v>
      </c>
      <c r="J604" s="7" t="s">
        <v>318</v>
      </c>
      <c r="K604" s="7" t="s">
        <v>36</v>
      </c>
      <c r="L604" s="7" t="s">
        <v>37</v>
      </c>
      <c r="M604" s="7" t="s">
        <v>38</v>
      </c>
      <c r="N604" s="5">
        <v>43378.0</v>
      </c>
      <c r="O604" s="8">
        <v>33750.0</v>
      </c>
      <c r="P604" s="8">
        <v>55350.0</v>
      </c>
      <c r="Q604" s="8">
        <f t="shared" si="2"/>
        <v>21600</v>
      </c>
      <c r="R604" s="8">
        <v>42.0</v>
      </c>
      <c r="S604" s="8">
        <f t="shared" si="3"/>
        <v>2324700</v>
      </c>
      <c r="T604" s="9">
        <v>0.06</v>
      </c>
      <c r="U604" s="8">
        <f t="shared" si="4"/>
        <v>139482</v>
      </c>
      <c r="V604" s="8">
        <f t="shared" si="5"/>
        <v>2185218</v>
      </c>
      <c r="W604" s="10">
        <f t="shared" si="6"/>
        <v>1417500</v>
      </c>
      <c r="X604" s="10">
        <f t="shared" si="7"/>
        <v>767718</v>
      </c>
      <c r="Y604" s="10"/>
      <c r="Z604" s="10"/>
      <c r="AA604" s="10"/>
      <c r="AB604" s="4" t="s">
        <v>1957</v>
      </c>
      <c r="AC604" s="4" t="s">
        <v>1955</v>
      </c>
      <c r="AD604" s="4">
        <v>43376.0</v>
      </c>
      <c r="AE604" s="4">
        <v>2018.0</v>
      </c>
      <c r="AF604" s="4" t="s">
        <v>1956</v>
      </c>
      <c r="AG604" s="4" t="s">
        <v>238</v>
      </c>
      <c r="AH604" s="4" t="s">
        <v>50</v>
      </c>
      <c r="AI604" s="4" t="s">
        <v>51</v>
      </c>
      <c r="AJ604" s="4" t="s">
        <v>151</v>
      </c>
      <c r="AK604" s="4" t="s">
        <v>104</v>
      </c>
      <c r="AL604" s="4" t="s">
        <v>318</v>
      </c>
      <c r="AM604" s="4" t="s">
        <v>36</v>
      </c>
      <c r="AN604" s="4" t="s">
        <v>37</v>
      </c>
      <c r="AO604" s="4" t="s">
        <v>38</v>
      </c>
      <c r="AP604" s="4">
        <v>43378.0</v>
      </c>
      <c r="AQ604" s="4">
        <v>33750.0</v>
      </c>
      <c r="AR604" s="4">
        <v>55350.0</v>
      </c>
      <c r="AS604" s="4">
        <v>21600.0</v>
      </c>
      <c r="AT604" s="4">
        <v>42.0</v>
      </c>
      <c r="AU604" s="4">
        <v>2324700.0</v>
      </c>
      <c r="AV604" s="4">
        <v>0.06</v>
      </c>
      <c r="AW604" s="4">
        <v>139482.0</v>
      </c>
      <c r="AX604" s="4">
        <v>2185218.0</v>
      </c>
      <c r="AY604" s="4">
        <v>1417500.0</v>
      </c>
      <c r="AZ604" s="4">
        <v>767718.0</v>
      </c>
    </row>
    <row r="605" ht="15.75" customHeight="1">
      <c r="A605" s="3" t="s">
        <v>1958</v>
      </c>
      <c r="B605" s="5">
        <v>43380.0</v>
      </c>
      <c r="C605" s="6">
        <f t="shared" si="1"/>
        <v>2018</v>
      </c>
      <c r="D605" s="7" t="s">
        <v>881</v>
      </c>
      <c r="E605" s="7" t="s">
        <v>276</v>
      </c>
      <c r="F605" s="7" t="s">
        <v>50</v>
      </c>
      <c r="G605" s="5" t="s">
        <v>32</v>
      </c>
      <c r="H605" s="7" t="s">
        <v>110</v>
      </c>
      <c r="I605" s="7" t="s">
        <v>104</v>
      </c>
      <c r="J605" s="7" t="s">
        <v>75</v>
      </c>
      <c r="K605" s="7" t="s">
        <v>36</v>
      </c>
      <c r="L605" s="7" t="s">
        <v>45</v>
      </c>
      <c r="M605" s="7" t="s">
        <v>38</v>
      </c>
      <c r="N605" s="5">
        <v>43380.0</v>
      </c>
      <c r="O605" s="8">
        <v>16350.000000000002</v>
      </c>
      <c r="P605" s="8">
        <v>39000.0</v>
      </c>
      <c r="Q605" s="8">
        <f t="shared" si="2"/>
        <v>22650</v>
      </c>
      <c r="R605" s="8">
        <v>26.0</v>
      </c>
      <c r="S605" s="8">
        <f t="shared" si="3"/>
        <v>1014000</v>
      </c>
      <c r="T605" s="9">
        <v>0.08</v>
      </c>
      <c r="U605" s="8">
        <f t="shared" si="4"/>
        <v>81120</v>
      </c>
      <c r="V605" s="8">
        <f t="shared" si="5"/>
        <v>932880</v>
      </c>
      <c r="W605" s="10">
        <f t="shared" si="6"/>
        <v>425100</v>
      </c>
      <c r="X605" s="10">
        <f t="shared" si="7"/>
        <v>507780</v>
      </c>
      <c r="Y605" s="10"/>
      <c r="Z605" s="10"/>
      <c r="AA605" s="10"/>
      <c r="AB605" s="4" t="s">
        <v>1959</v>
      </c>
      <c r="AC605" s="4" t="s">
        <v>1958</v>
      </c>
      <c r="AD605" s="4">
        <v>43380.0</v>
      </c>
      <c r="AE605" s="4">
        <v>2018.0</v>
      </c>
      <c r="AF605" s="4" t="s">
        <v>881</v>
      </c>
      <c r="AG605" s="4" t="s">
        <v>276</v>
      </c>
      <c r="AH605" s="4" t="s">
        <v>50</v>
      </c>
      <c r="AI605" s="4" t="s">
        <v>32</v>
      </c>
      <c r="AJ605" s="4" t="s">
        <v>110</v>
      </c>
      <c r="AK605" s="4" t="s">
        <v>104</v>
      </c>
      <c r="AL605" s="4" t="s">
        <v>75</v>
      </c>
      <c r="AM605" s="4" t="s">
        <v>36</v>
      </c>
      <c r="AN605" s="4" t="s">
        <v>45</v>
      </c>
      <c r="AO605" s="4" t="s">
        <v>38</v>
      </c>
      <c r="AP605" s="4">
        <v>43380.0</v>
      </c>
      <c r="AQ605" s="4">
        <v>16350.0</v>
      </c>
      <c r="AR605" s="4">
        <v>39000.0</v>
      </c>
      <c r="AS605" s="4">
        <v>22650.0</v>
      </c>
      <c r="AT605" s="4">
        <v>26.0</v>
      </c>
      <c r="AU605" s="4">
        <v>1014000.0</v>
      </c>
      <c r="AV605" s="4">
        <v>0.08</v>
      </c>
      <c r="AW605" s="4">
        <v>81120.0</v>
      </c>
      <c r="AX605" s="4">
        <v>932880.0</v>
      </c>
      <c r="AY605" s="4">
        <v>425100.0</v>
      </c>
      <c r="AZ605" s="4">
        <v>507780.0</v>
      </c>
    </row>
    <row r="606" ht="15.75" customHeight="1">
      <c r="A606" s="3" t="s">
        <v>1960</v>
      </c>
      <c r="B606" s="5">
        <v>43380.0</v>
      </c>
      <c r="C606" s="6">
        <f t="shared" si="1"/>
        <v>2018</v>
      </c>
      <c r="D606" s="7" t="s">
        <v>881</v>
      </c>
      <c r="E606" s="7" t="s">
        <v>276</v>
      </c>
      <c r="F606" s="7" t="s">
        <v>50</v>
      </c>
      <c r="G606" s="5" t="s">
        <v>32</v>
      </c>
      <c r="H606" s="7" t="s">
        <v>110</v>
      </c>
      <c r="I606" s="7" t="s">
        <v>104</v>
      </c>
      <c r="J606" s="7" t="s">
        <v>649</v>
      </c>
      <c r="K606" s="7" t="s">
        <v>61</v>
      </c>
      <c r="L606" s="7" t="s">
        <v>37</v>
      </c>
      <c r="M606" s="7" t="s">
        <v>38</v>
      </c>
      <c r="N606" s="5">
        <v>43382.0</v>
      </c>
      <c r="O606" s="8">
        <v>631650.0</v>
      </c>
      <c r="P606" s="8">
        <v>1214700.0</v>
      </c>
      <c r="Q606" s="8">
        <f t="shared" si="2"/>
        <v>583050</v>
      </c>
      <c r="R606" s="8">
        <v>34.0</v>
      </c>
      <c r="S606" s="8">
        <f t="shared" si="3"/>
        <v>41299800</v>
      </c>
      <c r="T606" s="9">
        <v>0.02</v>
      </c>
      <c r="U606" s="8">
        <f t="shared" si="4"/>
        <v>825996</v>
      </c>
      <c r="V606" s="8">
        <f t="shared" si="5"/>
        <v>40473804</v>
      </c>
      <c r="W606" s="10">
        <f t="shared" si="6"/>
        <v>21476100</v>
      </c>
      <c r="X606" s="10">
        <f t="shared" si="7"/>
        <v>18997704</v>
      </c>
      <c r="Y606" s="10"/>
      <c r="Z606" s="10"/>
      <c r="AA606" s="10"/>
      <c r="AB606" s="4" t="s">
        <v>1961</v>
      </c>
      <c r="AC606" s="4" t="s">
        <v>1960</v>
      </c>
      <c r="AD606" s="4">
        <v>43380.0</v>
      </c>
      <c r="AE606" s="4">
        <v>2018.0</v>
      </c>
      <c r="AF606" s="4" t="s">
        <v>881</v>
      </c>
      <c r="AG606" s="4" t="s">
        <v>276</v>
      </c>
      <c r="AH606" s="4" t="s">
        <v>50</v>
      </c>
      <c r="AI606" s="4" t="s">
        <v>32</v>
      </c>
      <c r="AJ606" s="4" t="s">
        <v>110</v>
      </c>
      <c r="AK606" s="4" t="s">
        <v>104</v>
      </c>
      <c r="AL606" s="4" t="s">
        <v>649</v>
      </c>
      <c r="AM606" s="4" t="s">
        <v>61</v>
      </c>
      <c r="AN606" s="4" t="s">
        <v>37</v>
      </c>
      <c r="AO606" s="4" t="s">
        <v>38</v>
      </c>
      <c r="AP606" s="4">
        <v>43382.0</v>
      </c>
      <c r="AQ606" s="4">
        <v>631650.0</v>
      </c>
      <c r="AR606" s="4">
        <v>1214700.0</v>
      </c>
      <c r="AS606" s="4">
        <v>583050.0</v>
      </c>
      <c r="AT606" s="4">
        <v>34.0</v>
      </c>
      <c r="AU606" s="4">
        <v>4.12998E7</v>
      </c>
      <c r="AV606" s="4">
        <v>0.02</v>
      </c>
      <c r="AW606" s="4">
        <v>825996.0</v>
      </c>
      <c r="AX606" s="4">
        <v>4.0473804E7</v>
      </c>
      <c r="AY606" s="4">
        <v>2.14761E7</v>
      </c>
      <c r="AZ606" s="4">
        <v>1.8997704E7</v>
      </c>
    </row>
    <row r="607" ht="15.75" customHeight="1">
      <c r="A607" s="3" t="s">
        <v>1962</v>
      </c>
      <c r="B607" s="5">
        <v>43380.0</v>
      </c>
      <c r="C607" s="6">
        <f t="shared" si="1"/>
        <v>2018</v>
      </c>
      <c r="D607" s="7" t="s">
        <v>1963</v>
      </c>
      <c r="E607" s="7" t="s">
        <v>440</v>
      </c>
      <c r="F607" s="7" t="s">
        <v>50</v>
      </c>
      <c r="G607" s="5" t="s">
        <v>68</v>
      </c>
      <c r="H607" s="7" t="s">
        <v>140</v>
      </c>
      <c r="I607" s="7" t="s">
        <v>34</v>
      </c>
      <c r="J607" s="7" t="s">
        <v>294</v>
      </c>
      <c r="K607" s="7" t="s">
        <v>36</v>
      </c>
      <c r="L607" s="7" t="s">
        <v>37</v>
      </c>
      <c r="M607" s="7" t="s">
        <v>55</v>
      </c>
      <c r="N607" s="5">
        <v>43381.0</v>
      </c>
      <c r="O607" s="8">
        <v>17700.0</v>
      </c>
      <c r="P607" s="8">
        <v>28200.0</v>
      </c>
      <c r="Q607" s="8">
        <f t="shared" si="2"/>
        <v>10500</v>
      </c>
      <c r="R607" s="8">
        <v>5.0</v>
      </c>
      <c r="S607" s="8">
        <f t="shared" si="3"/>
        <v>141000</v>
      </c>
      <c r="T607" s="9">
        <v>0.08</v>
      </c>
      <c r="U607" s="8">
        <f t="shared" si="4"/>
        <v>11280</v>
      </c>
      <c r="V607" s="8">
        <f t="shared" si="5"/>
        <v>129720</v>
      </c>
      <c r="W607" s="10">
        <f t="shared" si="6"/>
        <v>88500</v>
      </c>
      <c r="X607" s="10">
        <f t="shared" si="7"/>
        <v>41220</v>
      </c>
      <c r="Y607" s="10"/>
      <c r="Z607" s="10"/>
      <c r="AA607" s="10"/>
      <c r="AB607" s="4" t="s">
        <v>1964</v>
      </c>
      <c r="AC607" s="4" t="s">
        <v>1962</v>
      </c>
      <c r="AD607" s="4">
        <v>43380.0</v>
      </c>
      <c r="AE607" s="4">
        <v>2018.0</v>
      </c>
      <c r="AF607" s="4" t="s">
        <v>1963</v>
      </c>
      <c r="AG607" s="4" t="s">
        <v>440</v>
      </c>
      <c r="AH607" s="4" t="s">
        <v>50</v>
      </c>
      <c r="AI607" s="4" t="s">
        <v>68</v>
      </c>
      <c r="AJ607" s="4" t="s">
        <v>140</v>
      </c>
      <c r="AK607" s="4" t="s">
        <v>34</v>
      </c>
      <c r="AL607" s="4" t="s">
        <v>294</v>
      </c>
      <c r="AM607" s="4" t="s">
        <v>36</v>
      </c>
      <c r="AN607" s="4" t="s">
        <v>37</v>
      </c>
      <c r="AO607" s="4" t="s">
        <v>55</v>
      </c>
      <c r="AP607" s="4">
        <v>43381.0</v>
      </c>
      <c r="AQ607" s="4">
        <v>17700.0</v>
      </c>
      <c r="AR607" s="4">
        <v>28200.0</v>
      </c>
      <c r="AS607" s="4">
        <v>10500.0</v>
      </c>
      <c r="AT607" s="4">
        <v>5.0</v>
      </c>
      <c r="AU607" s="4">
        <v>141000.0</v>
      </c>
      <c r="AV607" s="4">
        <v>0.08</v>
      </c>
      <c r="AW607" s="4">
        <v>11280.0</v>
      </c>
      <c r="AX607" s="4">
        <v>129720.0</v>
      </c>
      <c r="AY607" s="4">
        <v>88500.0</v>
      </c>
      <c r="AZ607" s="4">
        <v>41220.0</v>
      </c>
    </row>
    <row r="608" ht="15.75" customHeight="1">
      <c r="A608" s="3" t="s">
        <v>1965</v>
      </c>
      <c r="B608" s="5">
        <v>43382.0</v>
      </c>
      <c r="C608" s="6">
        <f t="shared" si="1"/>
        <v>2018</v>
      </c>
      <c r="D608" s="7" t="s">
        <v>1966</v>
      </c>
      <c r="E608" s="7" t="s">
        <v>393</v>
      </c>
      <c r="F608" s="7" t="s">
        <v>31</v>
      </c>
      <c r="G608" s="5" t="s">
        <v>51</v>
      </c>
      <c r="H608" s="7" t="s">
        <v>43</v>
      </c>
      <c r="I608" s="7" t="s">
        <v>104</v>
      </c>
      <c r="J608" s="7" t="s">
        <v>497</v>
      </c>
      <c r="K608" s="7" t="s">
        <v>36</v>
      </c>
      <c r="L608" s="7" t="s">
        <v>37</v>
      </c>
      <c r="M608" s="7" t="s">
        <v>38</v>
      </c>
      <c r="N608" s="5">
        <v>43384.0</v>
      </c>
      <c r="O608" s="8">
        <v>54750.0</v>
      </c>
      <c r="P608" s="8">
        <v>89700.0</v>
      </c>
      <c r="Q608" s="8">
        <f t="shared" si="2"/>
        <v>34950</v>
      </c>
      <c r="R608" s="8">
        <v>50.0</v>
      </c>
      <c r="S608" s="8">
        <f t="shared" si="3"/>
        <v>4485000</v>
      </c>
      <c r="T608" s="9">
        <v>0.02</v>
      </c>
      <c r="U608" s="8">
        <f t="shared" si="4"/>
        <v>89700</v>
      </c>
      <c r="V608" s="8">
        <f t="shared" si="5"/>
        <v>4395300</v>
      </c>
      <c r="W608" s="10">
        <f t="shared" si="6"/>
        <v>2737500</v>
      </c>
      <c r="X608" s="10">
        <f t="shared" si="7"/>
        <v>1657800</v>
      </c>
      <c r="Y608" s="10"/>
      <c r="Z608" s="10"/>
      <c r="AA608" s="10"/>
      <c r="AB608" s="4" t="s">
        <v>1967</v>
      </c>
      <c r="AC608" s="4" t="s">
        <v>1965</v>
      </c>
      <c r="AD608" s="4">
        <v>43382.0</v>
      </c>
      <c r="AE608" s="4">
        <v>2018.0</v>
      </c>
      <c r="AF608" s="4" t="s">
        <v>1966</v>
      </c>
      <c r="AG608" s="4" t="s">
        <v>393</v>
      </c>
      <c r="AH608" s="4" t="s">
        <v>31</v>
      </c>
      <c r="AI608" s="4" t="s">
        <v>51</v>
      </c>
      <c r="AJ608" s="4" t="s">
        <v>43</v>
      </c>
      <c r="AK608" s="4" t="s">
        <v>104</v>
      </c>
      <c r="AL608" s="4" t="s">
        <v>497</v>
      </c>
      <c r="AM608" s="4" t="s">
        <v>36</v>
      </c>
      <c r="AN608" s="4" t="s">
        <v>37</v>
      </c>
      <c r="AO608" s="4" t="s">
        <v>38</v>
      </c>
      <c r="AP608" s="4">
        <v>43384.0</v>
      </c>
      <c r="AQ608" s="4">
        <v>54750.0</v>
      </c>
      <c r="AR608" s="4">
        <v>89700.0</v>
      </c>
      <c r="AS608" s="4">
        <v>34950.0</v>
      </c>
      <c r="AT608" s="4">
        <v>50.0</v>
      </c>
      <c r="AU608" s="4">
        <v>4485000.0</v>
      </c>
      <c r="AV608" s="4">
        <v>0.02</v>
      </c>
      <c r="AW608" s="4">
        <v>89700.0</v>
      </c>
      <c r="AX608" s="4">
        <v>4395300.0</v>
      </c>
      <c r="AY608" s="4">
        <v>2737500.0</v>
      </c>
      <c r="AZ608" s="4">
        <v>1657800.0</v>
      </c>
    </row>
    <row r="609" ht="15.75" customHeight="1">
      <c r="A609" s="3" t="s">
        <v>1968</v>
      </c>
      <c r="B609" s="5">
        <v>43382.0</v>
      </c>
      <c r="C609" s="6">
        <f t="shared" si="1"/>
        <v>2018</v>
      </c>
      <c r="D609" s="7" t="s">
        <v>1969</v>
      </c>
      <c r="E609" s="7" t="s">
        <v>124</v>
      </c>
      <c r="F609" s="7" t="s">
        <v>31</v>
      </c>
      <c r="G609" s="5" t="s">
        <v>51</v>
      </c>
      <c r="H609" s="7" t="s">
        <v>43</v>
      </c>
      <c r="I609" s="7" t="s">
        <v>34</v>
      </c>
      <c r="J609" s="7" t="s">
        <v>533</v>
      </c>
      <c r="K609" s="7" t="s">
        <v>36</v>
      </c>
      <c r="L609" s="7" t="s">
        <v>45</v>
      </c>
      <c r="M609" s="7" t="s">
        <v>38</v>
      </c>
      <c r="N609" s="5">
        <v>43382.0</v>
      </c>
      <c r="O609" s="8">
        <v>22950.0</v>
      </c>
      <c r="P609" s="8">
        <v>41700.0</v>
      </c>
      <c r="Q609" s="8">
        <f t="shared" si="2"/>
        <v>18750</v>
      </c>
      <c r="R609" s="8">
        <v>44.0</v>
      </c>
      <c r="S609" s="8">
        <f t="shared" si="3"/>
        <v>1834800</v>
      </c>
      <c r="T609" s="9">
        <v>0.07</v>
      </c>
      <c r="U609" s="8">
        <f t="shared" si="4"/>
        <v>128436</v>
      </c>
      <c r="V609" s="8">
        <f t="shared" si="5"/>
        <v>1706364</v>
      </c>
      <c r="W609" s="10">
        <f t="shared" si="6"/>
        <v>1009800</v>
      </c>
      <c r="X609" s="10">
        <f t="shared" si="7"/>
        <v>696564</v>
      </c>
      <c r="Y609" s="10"/>
      <c r="Z609" s="10"/>
      <c r="AA609" s="10"/>
      <c r="AB609" s="4" t="s">
        <v>1970</v>
      </c>
      <c r="AC609" s="4" t="s">
        <v>1968</v>
      </c>
      <c r="AD609" s="4">
        <v>43382.0</v>
      </c>
      <c r="AE609" s="4">
        <v>2018.0</v>
      </c>
      <c r="AF609" s="4" t="s">
        <v>1969</v>
      </c>
      <c r="AG609" s="4" t="s">
        <v>124</v>
      </c>
      <c r="AH609" s="4" t="s">
        <v>31</v>
      </c>
      <c r="AI609" s="4" t="s">
        <v>51</v>
      </c>
      <c r="AJ609" s="4" t="s">
        <v>43</v>
      </c>
      <c r="AK609" s="4" t="s">
        <v>34</v>
      </c>
      <c r="AL609" s="4" t="s">
        <v>533</v>
      </c>
      <c r="AM609" s="4" t="s">
        <v>36</v>
      </c>
      <c r="AN609" s="4" t="s">
        <v>45</v>
      </c>
      <c r="AO609" s="4" t="s">
        <v>38</v>
      </c>
      <c r="AP609" s="4">
        <v>43382.0</v>
      </c>
      <c r="AQ609" s="4">
        <v>22950.0</v>
      </c>
      <c r="AR609" s="4">
        <v>41700.0</v>
      </c>
      <c r="AS609" s="4">
        <v>18750.0</v>
      </c>
      <c r="AT609" s="4">
        <v>44.0</v>
      </c>
      <c r="AU609" s="4">
        <v>1834800.0</v>
      </c>
      <c r="AV609" s="4">
        <v>0.07</v>
      </c>
      <c r="AW609" s="4">
        <v>128436.0</v>
      </c>
      <c r="AX609" s="4">
        <v>1706364.0</v>
      </c>
      <c r="AY609" s="4">
        <v>1009800.0</v>
      </c>
      <c r="AZ609" s="4">
        <v>696564.0</v>
      </c>
    </row>
    <row r="610" ht="15.75" customHeight="1">
      <c r="A610" s="3" t="s">
        <v>1971</v>
      </c>
      <c r="B610" s="5">
        <v>43382.0</v>
      </c>
      <c r="C610" s="6">
        <f t="shared" si="1"/>
        <v>2018</v>
      </c>
      <c r="D610" s="7" t="s">
        <v>1927</v>
      </c>
      <c r="E610" s="7" t="s">
        <v>642</v>
      </c>
      <c r="F610" s="7" t="s">
        <v>50</v>
      </c>
      <c r="G610" s="5" t="s">
        <v>51</v>
      </c>
      <c r="H610" s="7" t="s">
        <v>69</v>
      </c>
      <c r="I610" s="7" t="s">
        <v>92</v>
      </c>
      <c r="J610" s="7" t="s">
        <v>574</v>
      </c>
      <c r="K610" s="7" t="s">
        <v>36</v>
      </c>
      <c r="L610" s="7" t="s">
        <v>37</v>
      </c>
      <c r="M610" s="7" t="s">
        <v>38</v>
      </c>
      <c r="N610" s="5">
        <v>43384.0</v>
      </c>
      <c r="O610" s="8">
        <v>32700.000000000004</v>
      </c>
      <c r="P610" s="8">
        <v>52800.0</v>
      </c>
      <c r="Q610" s="8">
        <f t="shared" si="2"/>
        <v>20100</v>
      </c>
      <c r="R610" s="8">
        <v>1.0</v>
      </c>
      <c r="S610" s="8">
        <f t="shared" si="3"/>
        <v>52800</v>
      </c>
      <c r="T610" s="9">
        <v>0.04</v>
      </c>
      <c r="U610" s="8">
        <f t="shared" si="4"/>
        <v>2112</v>
      </c>
      <c r="V610" s="8">
        <f t="shared" si="5"/>
        <v>50688</v>
      </c>
      <c r="W610" s="10">
        <f t="shared" si="6"/>
        <v>32700</v>
      </c>
      <c r="X610" s="10">
        <f t="shared" si="7"/>
        <v>17988</v>
      </c>
      <c r="Y610" s="10"/>
      <c r="Z610" s="10"/>
      <c r="AA610" s="10"/>
      <c r="AB610" s="4" t="s">
        <v>1972</v>
      </c>
      <c r="AC610" s="4" t="s">
        <v>1971</v>
      </c>
      <c r="AD610" s="4">
        <v>43382.0</v>
      </c>
      <c r="AE610" s="4">
        <v>2018.0</v>
      </c>
      <c r="AF610" s="4" t="s">
        <v>1927</v>
      </c>
      <c r="AG610" s="4" t="s">
        <v>642</v>
      </c>
      <c r="AH610" s="4" t="s">
        <v>50</v>
      </c>
      <c r="AI610" s="4" t="s">
        <v>51</v>
      </c>
      <c r="AJ610" s="4" t="s">
        <v>69</v>
      </c>
      <c r="AK610" s="4" t="s">
        <v>92</v>
      </c>
      <c r="AL610" s="4" t="s">
        <v>574</v>
      </c>
      <c r="AM610" s="4" t="s">
        <v>36</v>
      </c>
      <c r="AN610" s="4" t="s">
        <v>37</v>
      </c>
      <c r="AO610" s="4" t="s">
        <v>38</v>
      </c>
      <c r="AP610" s="4">
        <v>43384.0</v>
      </c>
      <c r="AQ610" s="4">
        <v>32700.0</v>
      </c>
      <c r="AR610" s="4">
        <v>52800.0</v>
      </c>
      <c r="AS610" s="4">
        <v>20100.0</v>
      </c>
      <c r="AT610" s="4">
        <v>1.0</v>
      </c>
      <c r="AU610" s="4">
        <v>52800.0</v>
      </c>
      <c r="AV610" s="4">
        <v>0.04</v>
      </c>
      <c r="AW610" s="4">
        <v>2112.0</v>
      </c>
      <c r="AX610" s="4">
        <v>50688.0</v>
      </c>
      <c r="AY610" s="4">
        <v>32700.0</v>
      </c>
      <c r="AZ610" s="4">
        <v>17988.0</v>
      </c>
    </row>
    <row r="611" ht="15.75" customHeight="1">
      <c r="A611" s="3" t="s">
        <v>1973</v>
      </c>
      <c r="B611" s="5">
        <v>43383.0</v>
      </c>
      <c r="C611" s="6">
        <f t="shared" si="1"/>
        <v>2018</v>
      </c>
      <c r="D611" s="7" t="s">
        <v>874</v>
      </c>
      <c r="E611" s="7" t="s">
        <v>216</v>
      </c>
      <c r="F611" s="7" t="s">
        <v>50</v>
      </c>
      <c r="G611" s="5" t="s">
        <v>91</v>
      </c>
      <c r="H611" s="7" t="s">
        <v>151</v>
      </c>
      <c r="I611" s="7" t="s">
        <v>104</v>
      </c>
      <c r="J611" s="7" t="s">
        <v>613</v>
      </c>
      <c r="K611" s="7" t="s">
        <v>36</v>
      </c>
      <c r="L611" s="7" t="s">
        <v>37</v>
      </c>
      <c r="M611" s="7" t="s">
        <v>55</v>
      </c>
      <c r="N611" s="5">
        <v>43385.0</v>
      </c>
      <c r="O611" s="8">
        <v>36750.0</v>
      </c>
      <c r="P611" s="8">
        <v>58350.0</v>
      </c>
      <c r="Q611" s="8">
        <f t="shared" si="2"/>
        <v>21600</v>
      </c>
      <c r="R611" s="8">
        <v>32.0</v>
      </c>
      <c r="S611" s="8">
        <f t="shared" si="3"/>
        <v>1867200</v>
      </c>
      <c r="T611" s="9">
        <v>0.1</v>
      </c>
      <c r="U611" s="8">
        <f t="shared" si="4"/>
        <v>186720</v>
      </c>
      <c r="V611" s="8">
        <f t="shared" si="5"/>
        <v>1680480</v>
      </c>
      <c r="W611" s="10">
        <f t="shared" si="6"/>
        <v>1176000</v>
      </c>
      <c r="X611" s="10">
        <f t="shared" si="7"/>
        <v>504480</v>
      </c>
      <c r="Y611" s="10"/>
      <c r="Z611" s="10"/>
      <c r="AA611" s="10"/>
      <c r="AB611" s="4" t="s">
        <v>1974</v>
      </c>
      <c r="AC611" s="4" t="s">
        <v>1973</v>
      </c>
      <c r="AD611" s="4">
        <v>43383.0</v>
      </c>
      <c r="AE611" s="4">
        <v>2018.0</v>
      </c>
      <c r="AF611" s="4" t="s">
        <v>874</v>
      </c>
      <c r="AG611" s="4" t="s">
        <v>216</v>
      </c>
      <c r="AH611" s="4" t="s">
        <v>50</v>
      </c>
      <c r="AI611" s="4" t="s">
        <v>91</v>
      </c>
      <c r="AJ611" s="4" t="s">
        <v>151</v>
      </c>
      <c r="AK611" s="4" t="s">
        <v>104</v>
      </c>
      <c r="AL611" s="4" t="s">
        <v>613</v>
      </c>
      <c r="AM611" s="4" t="s">
        <v>36</v>
      </c>
      <c r="AN611" s="4" t="s">
        <v>37</v>
      </c>
      <c r="AO611" s="4" t="s">
        <v>55</v>
      </c>
      <c r="AP611" s="4">
        <v>43385.0</v>
      </c>
      <c r="AQ611" s="4">
        <v>36750.0</v>
      </c>
      <c r="AR611" s="4">
        <v>58350.0</v>
      </c>
      <c r="AS611" s="4">
        <v>21600.0</v>
      </c>
      <c r="AT611" s="4">
        <v>32.0</v>
      </c>
      <c r="AU611" s="4">
        <v>1867200.0</v>
      </c>
      <c r="AV611" s="4">
        <v>0.1</v>
      </c>
      <c r="AW611" s="4">
        <v>186720.0</v>
      </c>
      <c r="AX611" s="4">
        <v>1680480.0</v>
      </c>
      <c r="AY611" s="4">
        <v>1176000.0</v>
      </c>
      <c r="AZ611" s="4">
        <v>504480.0</v>
      </c>
    </row>
    <row r="612" ht="15.75" customHeight="1">
      <c r="A612" s="3" t="s">
        <v>1975</v>
      </c>
      <c r="B612" s="5">
        <v>43383.0</v>
      </c>
      <c r="C612" s="6">
        <f t="shared" si="1"/>
        <v>2018</v>
      </c>
      <c r="D612" s="7" t="s">
        <v>1976</v>
      </c>
      <c r="E612" s="7" t="s">
        <v>156</v>
      </c>
      <c r="F612" s="7" t="s">
        <v>50</v>
      </c>
      <c r="G612" s="5" t="s">
        <v>51</v>
      </c>
      <c r="H612" s="7" t="s">
        <v>110</v>
      </c>
      <c r="I612" s="7" t="s">
        <v>92</v>
      </c>
      <c r="J612" s="7" t="s">
        <v>490</v>
      </c>
      <c r="K612" s="7" t="s">
        <v>61</v>
      </c>
      <c r="L612" s="7" t="s">
        <v>37</v>
      </c>
      <c r="M612" s="7" t="s">
        <v>38</v>
      </c>
      <c r="N612" s="5">
        <v>43384.0</v>
      </c>
      <c r="O612" s="8">
        <v>97650.0</v>
      </c>
      <c r="P612" s="8">
        <v>464700.0</v>
      </c>
      <c r="Q612" s="8">
        <f t="shared" si="2"/>
        <v>367050</v>
      </c>
      <c r="R612" s="8">
        <v>6.0</v>
      </c>
      <c r="S612" s="8">
        <f t="shared" si="3"/>
        <v>2788200</v>
      </c>
      <c r="T612" s="9">
        <v>0.01</v>
      </c>
      <c r="U612" s="8">
        <f t="shared" si="4"/>
        <v>27882</v>
      </c>
      <c r="V612" s="8">
        <f t="shared" si="5"/>
        <v>2760318</v>
      </c>
      <c r="W612" s="10">
        <f t="shared" si="6"/>
        <v>585900</v>
      </c>
      <c r="X612" s="10">
        <f t="shared" si="7"/>
        <v>2174418</v>
      </c>
      <c r="Y612" s="10"/>
      <c r="Z612" s="10"/>
      <c r="AA612" s="10"/>
      <c r="AB612" s="4" t="s">
        <v>1977</v>
      </c>
      <c r="AC612" s="4" t="s">
        <v>1975</v>
      </c>
      <c r="AD612" s="4">
        <v>43383.0</v>
      </c>
      <c r="AE612" s="4">
        <v>2018.0</v>
      </c>
      <c r="AF612" s="4" t="s">
        <v>1976</v>
      </c>
      <c r="AG612" s="4" t="s">
        <v>156</v>
      </c>
      <c r="AH612" s="4" t="s">
        <v>50</v>
      </c>
      <c r="AI612" s="4" t="s">
        <v>51</v>
      </c>
      <c r="AJ612" s="4" t="s">
        <v>110</v>
      </c>
      <c r="AK612" s="4" t="s">
        <v>92</v>
      </c>
      <c r="AL612" s="4" t="s">
        <v>490</v>
      </c>
      <c r="AM612" s="4" t="s">
        <v>61</v>
      </c>
      <c r="AN612" s="4" t="s">
        <v>37</v>
      </c>
      <c r="AO612" s="4" t="s">
        <v>38</v>
      </c>
      <c r="AP612" s="4">
        <v>43384.0</v>
      </c>
      <c r="AQ612" s="4">
        <v>97650.0</v>
      </c>
      <c r="AR612" s="4">
        <v>464700.0</v>
      </c>
      <c r="AS612" s="4">
        <v>367050.0</v>
      </c>
      <c r="AT612" s="4">
        <v>6.0</v>
      </c>
      <c r="AU612" s="4">
        <v>2788200.0</v>
      </c>
      <c r="AV612" s="4">
        <v>0.01</v>
      </c>
      <c r="AW612" s="4">
        <v>27882.0</v>
      </c>
      <c r="AX612" s="4">
        <v>2760318.0</v>
      </c>
      <c r="AY612" s="4">
        <v>585900.0</v>
      </c>
      <c r="AZ612" s="4">
        <v>2174418.0</v>
      </c>
    </row>
    <row r="613" ht="15.75" customHeight="1">
      <c r="A613" s="3" t="s">
        <v>1978</v>
      </c>
      <c r="B613" s="5">
        <v>43384.0</v>
      </c>
      <c r="C613" s="6">
        <f t="shared" si="1"/>
        <v>2018</v>
      </c>
      <c r="D613" s="7" t="s">
        <v>1979</v>
      </c>
      <c r="E613" s="7" t="s">
        <v>1813</v>
      </c>
      <c r="F613" s="7" t="s">
        <v>50</v>
      </c>
      <c r="G613" s="5" t="s">
        <v>32</v>
      </c>
      <c r="H613" s="7" t="s">
        <v>110</v>
      </c>
      <c r="I613" s="7" t="s">
        <v>74</v>
      </c>
      <c r="J613" s="7" t="s">
        <v>1244</v>
      </c>
      <c r="K613" s="7" t="s">
        <v>36</v>
      </c>
      <c r="L613" s="7" t="s">
        <v>37</v>
      </c>
      <c r="M613" s="7" t="s">
        <v>38</v>
      </c>
      <c r="N613" s="5">
        <v>43388.0</v>
      </c>
      <c r="O613" s="8">
        <v>27600.0</v>
      </c>
      <c r="P613" s="8">
        <v>43200.0</v>
      </c>
      <c r="Q613" s="8">
        <f t="shared" si="2"/>
        <v>15600</v>
      </c>
      <c r="R613" s="8">
        <v>49.0</v>
      </c>
      <c r="S613" s="8">
        <f t="shared" si="3"/>
        <v>2116800</v>
      </c>
      <c r="T613" s="9">
        <v>0.01</v>
      </c>
      <c r="U613" s="8">
        <f t="shared" si="4"/>
        <v>21168</v>
      </c>
      <c r="V613" s="8">
        <f t="shared" si="5"/>
        <v>2095632</v>
      </c>
      <c r="W613" s="10">
        <f t="shared" si="6"/>
        <v>1352400</v>
      </c>
      <c r="X613" s="10">
        <f t="shared" si="7"/>
        <v>743232</v>
      </c>
      <c r="Y613" s="10"/>
      <c r="Z613" s="10"/>
      <c r="AA613" s="10"/>
      <c r="AB613" s="4" t="s">
        <v>1980</v>
      </c>
      <c r="AC613" s="4" t="s">
        <v>1978</v>
      </c>
      <c r="AD613" s="4">
        <v>43384.0</v>
      </c>
      <c r="AE613" s="4">
        <v>2018.0</v>
      </c>
      <c r="AF613" s="4" t="s">
        <v>1979</v>
      </c>
      <c r="AG613" s="4" t="s">
        <v>1813</v>
      </c>
      <c r="AH613" s="4" t="s">
        <v>50</v>
      </c>
      <c r="AI613" s="4" t="s">
        <v>32</v>
      </c>
      <c r="AJ613" s="4" t="s">
        <v>110</v>
      </c>
      <c r="AK613" s="4" t="s">
        <v>74</v>
      </c>
      <c r="AL613" s="4" t="s">
        <v>1244</v>
      </c>
      <c r="AM613" s="4" t="s">
        <v>36</v>
      </c>
      <c r="AN613" s="4" t="s">
        <v>37</v>
      </c>
      <c r="AO613" s="4" t="s">
        <v>38</v>
      </c>
      <c r="AP613" s="4">
        <v>43388.0</v>
      </c>
      <c r="AQ613" s="4">
        <v>27600.0</v>
      </c>
      <c r="AR613" s="4">
        <v>43200.0</v>
      </c>
      <c r="AS613" s="4">
        <v>15600.0</v>
      </c>
      <c r="AT613" s="4">
        <v>49.0</v>
      </c>
      <c r="AU613" s="4">
        <v>2116800.0</v>
      </c>
      <c r="AV613" s="4">
        <v>0.01</v>
      </c>
      <c r="AW613" s="4">
        <v>21168.0</v>
      </c>
      <c r="AX613" s="4">
        <v>2095632.0</v>
      </c>
      <c r="AY613" s="4">
        <v>1352400.0</v>
      </c>
      <c r="AZ613" s="4">
        <v>743232.0</v>
      </c>
    </row>
    <row r="614" ht="15.75" customHeight="1">
      <c r="A614" s="3" t="s">
        <v>1981</v>
      </c>
      <c r="B614" s="5">
        <v>43387.0</v>
      </c>
      <c r="C614" s="6">
        <f t="shared" si="1"/>
        <v>2018</v>
      </c>
      <c r="D614" s="7" t="s">
        <v>1982</v>
      </c>
      <c r="E614" s="7" t="s">
        <v>216</v>
      </c>
      <c r="F614" s="7" t="s">
        <v>50</v>
      </c>
      <c r="G614" s="5" t="s">
        <v>32</v>
      </c>
      <c r="H614" s="7" t="s">
        <v>151</v>
      </c>
      <c r="I614" s="7" t="s">
        <v>53</v>
      </c>
      <c r="J614" s="7" t="s">
        <v>404</v>
      </c>
      <c r="K614" s="7" t="s">
        <v>36</v>
      </c>
      <c r="L614" s="7" t="s">
        <v>45</v>
      </c>
      <c r="M614" s="7" t="s">
        <v>38</v>
      </c>
      <c r="N614" s="5">
        <v>43389.0</v>
      </c>
      <c r="O614" s="8">
        <v>166650.0</v>
      </c>
      <c r="P614" s="8">
        <v>297600.0</v>
      </c>
      <c r="Q614" s="8">
        <f t="shared" si="2"/>
        <v>130950</v>
      </c>
      <c r="R614" s="8">
        <v>1.0</v>
      </c>
      <c r="S614" s="8">
        <f t="shared" si="3"/>
        <v>297600</v>
      </c>
      <c r="T614" s="9">
        <v>0.05</v>
      </c>
      <c r="U614" s="8">
        <f t="shared" si="4"/>
        <v>14880</v>
      </c>
      <c r="V614" s="8">
        <f t="shared" si="5"/>
        <v>282720</v>
      </c>
      <c r="W614" s="10">
        <f t="shared" si="6"/>
        <v>166650</v>
      </c>
      <c r="X614" s="10">
        <f t="shared" si="7"/>
        <v>116070</v>
      </c>
      <c r="Y614" s="10"/>
      <c r="Z614" s="10"/>
      <c r="AA614" s="10"/>
      <c r="AB614" s="4" t="s">
        <v>1983</v>
      </c>
      <c r="AC614" s="4" t="s">
        <v>1981</v>
      </c>
      <c r="AD614" s="4">
        <v>43387.0</v>
      </c>
      <c r="AE614" s="4">
        <v>2018.0</v>
      </c>
      <c r="AF614" s="4" t="s">
        <v>1982</v>
      </c>
      <c r="AG614" s="4" t="s">
        <v>216</v>
      </c>
      <c r="AH614" s="4" t="s">
        <v>50</v>
      </c>
      <c r="AI614" s="4" t="s">
        <v>32</v>
      </c>
      <c r="AJ614" s="4" t="s">
        <v>151</v>
      </c>
      <c r="AK614" s="4" t="s">
        <v>53</v>
      </c>
      <c r="AL614" s="4" t="s">
        <v>404</v>
      </c>
      <c r="AM614" s="4" t="s">
        <v>36</v>
      </c>
      <c r="AN614" s="4" t="s">
        <v>45</v>
      </c>
      <c r="AO614" s="4" t="s">
        <v>38</v>
      </c>
      <c r="AP614" s="4">
        <v>43389.0</v>
      </c>
      <c r="AQ614" s="4">
        <v>166650.0</v>
      </c>
      <c r="AR614" s="4">
        <v>297600.0</v>
      </c>
      <c r="AS614" s="4">
        <v>130950.0</v>
      </c>
      <c r="AT614" s="4">
        <v>1.0</v>
      </c>
      <c r="AU614" s="4">
        <v>297600.0</v>
      </c>
      <c r="AV614" s="4">
        <v>0.05</v>
      </c>
      <c r="AW614" s="4">
        <v>14880.0</v>
      </c>
      <c r="AX614" s="4">
        <v>282720.0</v>
      </c>
      <c r="AY614" s="4">
        <v>166650.0</v>
      </c>
      <c r="AZ614" s="4">
        <v>116070.0</v>
      </c>
    </row>
    <row r="615" ht="15.75" customHeight="1">
      <c r="A615" s="3" t="s">
        <v>1984</v>
      </c>
      <c r="B615" s="5">
        <v>43389.0</v>
      </c>
      <c r="C615" s="6">
        <f t="shared" si="1"/>
        <v>2018</v>
      </c>
      <c r="D615" s="7" t="s">
        <v>1985</v>
      </c>
      <c r="E615" s="7" t="s">
        <v>1986</v>
      </c>
      <c r="F615" s="7" t="s">
        <v>50</v>
      </c>
      <c r="G615" s="5" t="s">
        <v>51</v>
      </c>
      <c r="H615" s="7" t="s">
        <v>140</v>
      </c>
      <c r="I615" s="7" t="s">
        <v>92</v>
      </c>
      <c r="J615" s="7" t="s">
        <v>824</v>
      </c>
      <c r="K615" s="7" t="s">
        <v>278</v>
      </c>
      <c r="L615" s="7" t="s">
        <v>127</v>
      </c>
      <c r="M615" s="7" t="s">
        <v>38</v>
      </c>
      <c r="N615" s="5">
        <v>43389.0</v>
      </c>
      <c r="O615" s="8">
        <v>170700.0</v>
      </c>
      <c r="P615" s="8">
        <v>279750.0</v>
      </c>
      <c r="Q615" s="8">
        <f t="shared" si="2"/>
        <v>109050</v>
      </c>
      <c r="R615" s="8">
        <v>44.0</v>
      </c>
      <c r="S615" s="8">
        <f t="shared" si="3"/>
        <v>12309000</v>
      </c>
      <c r="T615" s="9">
        <v>0.03</v>
      </c>
      <c r="U615" s="8">
        <f t="shared" si="4"/>
        <v>369270</v>
      </c>
      <c r="V615" s="8">
        <f t="shared" si="5"/>
        <v>11939730</v>
      </c>
      <c r="W615" s="10">
        <f t="shared" si="6"/>
        <v>7510800</v>
      </c>
      <c r="X615" s="10">
        <f t="shared" si="7"/>
        <v>4428930</v>
      </c>
      <c r="Y615" s="10"/>
      <c r="Z615" s="10"/>
      <c r="AA615" s="10"/>
      <c r="AB615" s="4" t="s">
        <v>1987</v>
      </c>
      <c r="AC615" s="4" t="s">
        <v>1984</v>
      </c>
      <c r="AD615" s="4">
        <v>43389.0</v>
      </c>
      <c r="AE615" s="4">
        <v>2018.0</v>
      </c>
      <c r="AF615" s="4" t="s">
        <v>1985</v>
      </c>
      <c r="AG615" s="4" t="s">
        <v>1986</v>
      </c>
      <c r="AH615" s="4" t="s">
        <v>50</v>
      </c>
      <c r="AI615" s="4" t="s">
        <v>51</v>
      </c>
      <c r="AJ615" s="4" t="s">
        <v>140</v>
      </c>
      <c r="AK615" s="4" t="s">
        <v>92</v>
      </c>
      <c r="AL615" s="4" t="s">
        <v>824</v>
      </c>
      <c r="AM615" s="4" t="s">
        <v>278</v>
      </c>
      <c r="AN615" s="4" t="s">
        <v>127</v>
      </c>
      <c r="AO615" s="4" t="s">
        <v>38</v>
      </c>
      <c r="AP615" s="4">
        <v>43389.0</v>
      </c>
      <c r="AQ615" s="4">
        <v>170700.0</v>
      </c>
      <c r="AR615" s="4">
        <v>279750.0</v>
      </c>
      <c r="AS615" s="4">
        <v>109050.0</v>
      </c>
      <c r="AT615" s="4">
        <v>44.0</v>
      </c>
      <c r="AU615" s="4">
        <v>1.2309E7</v>
      </c>
      <c r="AV615" s="4">
        <v>0.03</v>
      </c>
      <c r="AW615" s="4">
        <v>369270.0</v>
      </c>
      <c r="AX615" s="4">
        <v>1.193973E7</v>
      </c>
      <c r="AY615" s="4">
        <v>7510800.0</v>
      </c>
      <c r="AZ615" s="4">
        <v>4428930.0</v>
      </c>
    </row>
    <row r="616" ht="15.75" customHeight="1">
      <c r="A616" s="3" t="s">
        <v>1988</v>
      </c>
      <c r="B616" s="5">
        <v>43389.0</v>
      </c>
      <c r="C616" s="6">
        <f t="shared" si="1"/>
        <v>2018</v>
      </c>
      <c r="D616" s="7" t="s">
        <v>1912</v>
      </c>
      <c r="E616" s="7" t="s">
        <v>1913</v>
      </c>
      <c r="F616" s="7" t="s">
        <v>31</v>
      </c>
      <c r="G616" s="5" t="s">
        <v>51</v>
      </c>
      <c r="H616" s="7" t="s">
        <v>33</v>
      </c>
      <c r="I616" s="7" t="s">
        <v>34</v>
      </c>
      <c r="J616" s="7" t="s">
        <v>449</v>
      </c>
      <c r="K616" s="7" t="s">
        <v>36</v>
      </c>
      <c r="L616" s="7" t="s">
        <v>37</v>
      </c>
      <c r="M616" s="7" t="s">
        <v>38</v>
      </c>
      <c r="N616" s="5">
        <v>43390.0</v>
      </c>
      <c r="O616" s="8">
        <v>41100.0</v>
      </c>
      <c r="P616" s="8">
        <v>67350.0</v>
      </c>
      <c r="Q616" s="8">
        <f t="shared" si="2"/>
        <v>26250</v>
      </c>
      <c r="R616" s="8">
        <v>15.0</v>
      </c>
      <c r="S616" s="8">
        <f t="shared" si="3"/>
        <v>1010250</v>
      </c>
      <c r="T616" s="9">
        <v>0.05</v>
      </c>
      <c r="U616" s="8">
        <f t="shared" si="4"/>
        <v>50512.5</v>
      </c>
      <c r="V616" s="8">
        <f t="shared" si="5"/>
        <v>959737.5</v>
      </c>
      <c r="W616" s="10">
        <f t="shared" si="6"/>
        <v>616500</v>
      </c>
      <c r="X616" s="10">
        <f t="shared" si="7"/>
        <v>343237.5</v>
      </c>
      <c r="Y616" s="10"/>
      <c r="Z616" s="10"/>
      <c r="AA616" s="10"/>
      <c r="AB616" s="4" t="s">
        <v>1989</v>
      </c>
      <c r="AC616" s="4" t="s">
        <v>1988</v>
      </c>
      <c r="AD616" s="4">
        <v>43389.0</v>
      </c>
      <c r="AE616" s="4">
        <v>2018.0</v>
      </c>
      <c r="AF616" s="4" t="s">
        <v>1912</v>
      </c>
      <c r="AG616" s="4" t="s">
        <v>1913</v>
      </c>
      <c r="AH616" s="4" t="s">
        <v>31</v>
      </c>
      <c r="AI616" s="4" t="s">
        <v>51</v>
      </c>
      <c r="AJ616" s="4" t="s">
        <v>33</v>
      </c>
      <c r="AK616" s="4" t="s">
        <v>34</v>
      </c>
      <c r="AL616" s="4" t="s">
        <v>449</v>
      </c>
      <c r="AM616" s="4" t="s">
        <v>36</v>
      </c>
      <c r="AN616" s="4" t="s">
        <v>37</v>
      </c>
      <c r="AO616" s="4" t="s">
        <v>38</v>
      </c>
      <c r="AP616" s="4">
        <v>43390.0</v>
      </c>
      <c r="AQ616" s="4">
        <v>41100.0</v>
      </c>
      <c r="AR616" s="4">
        <v>67350.0</v>
      </c>
      <c r="AS616" s="4">
        <v>26250.0</v>
      </c>
      <c r="AT616" s="4">
        <v>15.0</v>
      </c>
      <c r="AU616" s="4">
        <v>1010250.0</v>
      </c>
      <c r="AV616" s="4">
        <v>0.05</v>
      </c>
      <c r="AW616" s="4">
        <v>50512.5</v>
      </c>
      <c r="AX616" s="4">
        <v>959737.5</v>
      </c>
      <c r="AY616" s="4">
        <v>616500.0</v>
      </c>
      <c r="AZ616" s="4">
        <v>343237.5</v>
      </c>
    </row>
    <row r="617" ht="15.75" customHeight="1">
      <c r="A617" s="3" t="s">
        <v>1990</v>
      </c>
      <c r="B617" s="5">
        <v>43390.0</v>
      </c>
      <c r="C617" s="6">
        <f t="shared" si="1"/>
        <v>2018</v>
      </c>
      <c r="D617" s="7" t="s">
        <v>842</v>
      </c>
      <c r="E617" s="7" t="s">
        <v>228</v>
      </c>
      <c r="F617" s="7" t="s">
        <v>50</v>
      </c>
      <c r="G617" s="5" t="s">
        <v>32</v>
      </c>
      <c r="H617" s="7" t="s">
        <v>140</v>
      </c>
      <c r="I617" s="7" t="s">
        <v>53</v>
      </c>
      <c r="J617" s="7" t="s">
        <v>243</v>
      </c>
      <c r="K617" s="7" t="s">
        <v>61</v>
      </c>
      <c r="L617" s="7" t="s">
        <v>244</v>
      </c>
      <c r="M617" s="7" t="s">
        <v>38</v>
      </c>
      <c r="N617" s="5">
        <v>43392.0</v>
      </c>
      <c r="O617" s="8">
        <v>132300.0</v>
      </c>
      <c r="P617" s="8">
        <v>314850.0</v>
      </c>
      <c r="Q617" s="8">
        <f t="shared" si="2"/>
        <v>182550</v>
      </c>
      <c r="R617" s="8">
        <v>49.0</v>
      </c>
      <c r="S617" s="8">
        <f t="shared" si="3"/>
        <v>15427650</v>
      </c>
      <c r="T617" s="9">
        <v>0.06</v>
      </c>
      <c r="U617" s="8">
        <f t="shared" si="4"/>
        <v>925659</v>
      </c>
      <c r="V617" s="8">
        <f t="shared" si="5"/>
        <v>14501991</v>
      </c>
      <c r="W617" s="10">
        <f t="shared" si="6"/>
        <v>6482700</v>
      </c>
      <c r="X617" s="10">
        <f t="shared" si="7"/>
        <v>8019291</v>
      </c>
      <c r="Y617" s="10"/>
      <c r="Z617" s="10"/>
      <c r="AA617" s="10"/>
      <c r="AB617" s="4" t="s">
        <v>1991</v>
      </c>
      <c r="AC617" s="4" t="s">
        <v>1990</v>
      </c>
      <c r="AD617" s="4">
        <v>43390.0</v>
      </c>
      <c r="AE617" s="4">
        <v>2018.0</v>
      </c>
      <c r="AF617" s="4" t="s">
        <v>842</v>
      </c>
      <c r="AG617" s="4" t="s">
        <v>228</v>
      </c>
      <c r="AH617" s="4" t="s">
        <v>50</v>
      </c>
      <c r="AI617" s="4" t="s">
        <v>32</v>
      </c>
      <c r="AJ617" s="4" t="s">
        <v>140</v>
      </c>
      <c r="AK617" s="4" t="s">
        <v>53</v>
      </c>
      <c r="AL617" s="4" t="s">
        <v>243</v>
      </c>
      <c r="AM617" s="4" t="s">
        <v>61</v>
      </c>
      <c r="AN617" s="4" t="s">
        <v>244</v>
      </c>
      <c r="AO617" s="4" t="s">
        <v>38</v>
      </c>
      <c r="AP617" s="4">
        <v>43392.0</v>
      </c>
      <c r="AQ617" s="4">
        <v>132300.0</v>
      </c>
      <c r="AR617" s="4">
        <v>314850.0</v>
      </c>
      <c r="AS617" s="4">
        <v>182550.0</v>
      </c>
      <c r="AT617" s="4">
        <v>49.0</v>
      </c>
      <c r="AU617" s="4">
        <v>1.542765E7</v>
      </c>
      <c r="AV617" s="4">
        <v>0.06</v>
      </c>
      <c r="AW617" s="4">
        <v>925659.0</v>
      </c>
      <c r="AX617" s="4">
        <v>1.4501991E7</v>
      </c>
      <c r="AY617" s="4">
        <v>6482700.0</v>
      </c>
      <c r="AZ617" s="4">
        <v>8019291.0</v>
      </c>
    </row>
    <row r="618" ht="15.75" customHeight="1">
      <c r="A618" s="3" t="s">
        <v>1992</v>
      </c>
      <c r="B618" s="5">
        <v>43394.0</v>
      </c>
      <c r="C618" s="6">
        <f t="shared" si="1"/>
        <v>2018</v>
      </c>
      <c r="D618" s="7" t="s">
        <v>1758</v>
      </c>
      <c r="E618" s="7" t="s">
        <v>134</v>
      </c>
      <c r="F618" s="7" t="s">
        <v>50</v>
      </c>
      <c r="G618" s="5" t="s">
        <v>32</v>
      </c>
      <c r="H618" s="7" t="s">
        <v>98</v>
      </c>
      <c r="I618" s="7" t="s">
        <v>92</v>
      </c>
      <c r="J618" s="7" t="s">
        <v>584</v>
      </c>
      <c r="K618" s="7" t="s">
        <v>278</v>
      </c>
      <c r="L618" s="7" t="s">
        <v>555</v>
      </c>
      <c r="M618" s="7" t="s">
        <v>38</v>
      </c>
      <c r="N618" s="5">
        <v>43395.0</v>
      </c>
      <c r="O618" s="8">
        <v>842400.0</v>
      </c>
      <c r="P618" s="8">
        <v>2054699.9999999998</v>
      </c>
      <c r="Q618" s="8">
        <f t="shared" si="2"/>
        <v>1212300</v>
      </c>
      <c r="R618" s="8">
        <v>7.0</v>
      </c>
      <c r="S618" s="8">
        <f t="shared" si="3"/>
        <v>14382900</v>
      </c>
      <c r="T618" s="9">
        <v>0.02</v>
      </c>
      <c r="U618" s="8">
        <f t="shared" si="4"/>
        <v>287658</v>
      </c>
      <c r="V618" s="8">
        <f t="shared" si="5"/>
        <v>14095242</v>
      </c>
      <c r="W618" s="10">
        <f t="shared" si="6"/>
        <v>5896800</v>
      </c>
      <c r="X618" s="10">
        <f t="shared" si="7"/>
        <v>8198442</v>
      </c>
      <c r="Y618" s="10"/>
      <c r="Z618" s="10"/>
      <c r="AA618" s="10"/>
      <c r="AB618" s="4" t="s">
        <v>1993</v>
      </c>
      <c r="AC618" s="4" t="s">
        <v>1992</v>
      </c>
      <c r="AD618" s="4">
        <v>43394.0</v>
      </c>
      <c r="AE618" s="4">
        <v>2018.0</v>
      </c>
      <c r="AF618" s="4" t="s">
        <v>1758</v>
      </c>
      <c r="AG618" s="4" t="s">
        <v>134</v>
      </c>
      <c r="AH618" s="4" t="s">
        <v>50</v>
      </c>
      <c r="AI618" s="4" t="s">
        <v>32</v>
      </c>
      <c r="AJ618" s="4" t="s">
        <v>98</v>
      </c>
      <c r="AK618" s="4" t="s">
        <v>92</v>
      </c>
      <c r="AL618" s="4" t="s">
        <v>584</v>
      </c>
      <c r="AM618" s="4" t="s">
        <v>278</v>
      </c>
      <c r="AN618" s="4" t="s">
        <v>555</v>
      </c>
      <c r="AO618" s="4" t="s">
        <v>38</v>
      </c>
      <c r="AP618" s="4">
        <v>43395.0</v>
      </c>
      <c r="AQ618" s="4">
        <v>842400.0</v>
      </c>
      <c r="AR618" s="4">
        <v>2054700.0</v>
      </c>
      <c r="AS618" s="4">
        <v>1212300.0</v>
      </c>
      <c r="AT618" s="4">
        <v>7.0</v>
      </c>
      <c r="AU618" s="4">
        <v>1.43829E7</v>
      </c>
      <c r="AV618" s="4">
        <v>0.02</v>
      </c>
      <c r="AW618" s="4">
        <v>287658.0</v>
      </c>
      <c r="AX618" s="4">
        <v>1.4095242E7</v>
      </c>
      <c r="AY618" s="4">
        <v>5896800.0</v>
      </c>
      <c r="AZ618" s="4">
        <v>8198442.0</v>
      </c>
    </row>
    <row r="619" ht="15.75" customHeight="1">
      <c r="A619" s="3" t="s">
        <v>1994</v>
      </c>
      <c r="B619" s="5">
        <v>43396.0</v>
      </c>
      <c r="C619" s="6">
        <f t="shared" si="1"/>
        <v>2018</v>
      </c>
      <c r="D619" s="7" t="s">
        <v>1585</v>
      </c>
      <c r="E619" s="7" t="s">
        <v>1586</v>
      </c>
      <c r="F619" s="7" t="s">
        <v>50</v>
      </c>
      <c r="G619" s="5" t="s">
        <v>91</v>
      </c>
      <c r="H619" s="7" t="s">
        <v>189</v>
      </c>
      <c r="I619" s="7" t="s">
        <v>104</v>
      </c>
      <c r="J619" s="7" t="s">
        <v>1513</v>
      </c>
      <c r="K619" s="7" t="s">
        <v>36</v>
      </c>
      <c r="L619" s="7" t="s">
        <v>45</v>
      </c>
      <c r="M619" s="7" t="s">
        <v>38</v>
      </c>
      <c r="N619" s="5">
        <v>43398.0</v>
      </c>
      <c r="O619" s="8">
        <v>14100.0</v>
      </c>
      <c r="P619" s="8">
        <v>28200.0</v>
      </c>
      <c r="Q619" s="8">
        <f t="shared" si="2"/>
        <v>14100</v>
      </c>
      <c r="R619" s="8">
        <v>22.0</v>
      </c>
      <c r="S619" s="8">
        <f t="shared" si="3"/>
        <v>620400</v>
      </c>
      <c r="T619" s="9">
        <v>0.07</v>
      </c>
      <c r="U619" s="8">
        <f t="shared" si="4"/>
        <v>43428</v>
      </c>
      <c r="V619" s="8">
        <f t="shared" si="5"/>
        <v>576972</v>
      </c>
      <c r="W619" s="10">
        <f t="shared" si="6"/>
        <v>310200</v>
      </c>
      <c r="X619" s="10">
        <f t="shared" si="7"/>
        <v>266772</v>
      </c>
      <c r="Y619" s="10"/>
      <c r="Z619" s="10"/>
      <c r="AA619" s="10"/>
      <c r="AB619" s="4" t="s">
        <v>1995</v>
      </c>
      <c r="AC619" s="4" t="s">
        <v>1994</v>
      </c>
      <c r="AD619" s="4">
        <v>43396.0</v>
      </c>
      <c r="AE619" s="4">
        <v>2018.0</v>
      </c>
      <c r="AF619" s="4" t="s">
        <v>1585</v>
      </c>
      <c r="AG619" s="4" t="s">
        <v>1586</v>
      </c>
      <c r="AH619" s="4" t="s">
        <v>50</v>
      </c>
      <c r="AI619" s="4" t="s">
        <v>91</v>
      </c>
      <c r="AJ619" s="4" t="s">
        <v>189</v>
      </c>
      <c r="AK619" s="4" t="s">
        <v>104</v>
      </c>
      <c r="AL619" s="4" t="s">
        <v>1513</v>
      </c>
      <c r="AM619" s="4" t="s">
        <v>36</v>
      </c>
      <c r="AN619" s="4" t="s">
        <v>45</v>
      </c>
      <c r="AO619" s="4" t="s">
        <v>38</v>
      </c>
      <c r="AP619" s="4">
        <v>43398.0</v>
      </c>
      <c r="AQ619" s="4">
        <v>14100.0</v>
      </c>
      <c r="AR619" s="4">
        <v>28200.0</v>
      </c>
      <c r="AS619" s="4">
        <v>14100.0</v>
      </c>
      <c r="AT619" s="4">
        <v>22.0</v>
      </c>
      <c r="AU619" s="4">
        <v>620400.0</v>
      </c>
      <c r="AV619" s="4">
        <v>0.07</v>
      </c>
      <c r="AW619" s="4">
        <v>43428.0</v>
      </c>
      <c r="AX619" s="4">
        <v>576972.0</v>
      </c>
      <c r="AY619" s="4">
        <v>310200.0</v>
      </c>
      <c r="AZ619" s="4">
        <v>266772.0</v>
      </c>
    </row>
    <row r="620" ht="15.75" customHeight="1">
      <c r="A620" s="3" t="s">
        <v>1996</v>
      </c>
      <c r="B620" s="5">
        <v>43397.0</v>
      </c>
      <c r="C620" s="6">
        <f t="shared" si="1"/>
        <v>2018</v>
      </c>
      <c r="D620" s="7" t="s">
        <v>1997</v>
      </c>
      <c r="E620" s="7" t="s">
        <v>939</v>
      </c>
      <c r="F620" s="7" t="s">
        <v>50</v>
      </c>
      <c r="G620" s="5" t="s">
        <v>32</v>
      </c>
      <c r="H620" s="7" t="s">
        <v>189</v>
      </c>
      <c r="I620" s="7" t="s">
        <v>74</v>
      </c>
      <c r="J620" s="7" t="s">
        <v>743</v>
      </c>
      <c r="K620" s="7" t="s">
        <v>36</v>
      </c>
      <c r="L620" s="7" t="s">
        <v>37</v>
      </c>
      <c r="M620" s="7" t="s">
        <v>38</v>
      </c>
      <c r="N620" s="5">
        <v>43399.0</v>
      </c>
      <c r="O620" s="8">
        <v>165600.0</v>
      </c>
      <c r="P620" s="8">
        <v>254700.0</v>
      </c>
      <c r="Q620" s="8">
        <f t="shared" si="2"/>
        <v>89100</v>
      </c>
      <c r="R620" s="8">
        <v>1.0</v>
      </c>
      <c r="S620" s="8">
        <f t="shared" si="3"/>
        <v>254700</v>
      </c>
      <c r="T620" s="9">
        <v>0.03</v>
      </c>
      <c r="U620" s="8">
        <f t="shared" si="4"/>
        <v>7641</v>
      </c>
      <c r="V620" s="8">
        <f t="shared" si="5"/>
        <v>247059</v>
      </c>
      <c r="W620" s="10">
        <f t="shared" si="6"/>
        <v>165600</v>
      </c>
      <c r="X620" s="10">
        <f t="shared" si="7"/>
        <v>81459</v>
      </c>
      <c r="Y620" s="10"/>
      <c r="Z620" s="10"/>
      <c r="AA620" s="10"/>
      <c r="AB620" s="4" t="s">
        <v>1998</v>
      </c>
      <c r="AC620" s="4" t="s">
        <v>1996</v>
      </c>
      <c r="AD620" s="4">
        <v>43397.0</v>
      </c>
      <c r="AE620" s="4">
        <v>2018.0</v>
      </c>
      <c r="AF620" s="4" t="s">
        <v>1997</v>
      </c>
      <c r="AG620" s="4" t="s">
        <v>939</v>
      </c>
      <c r="AH620" s="4" t="s">
        <v>50</v>
      </c>
      <c r="AI620" s="4" t="s">
        <v>32</v>
      </c>
      <c r="AJ620" s="4" t="s">
        <v>189</v>
      </c>
      <c r="AK620" s="4" t="s">
        <v>74</v>
      </c>
      <c r="AL620" s="4" t="s">
        <v>743</v>
      </c>
      <c r="AM620" s="4" t="s">
        <v>36</v>
      </c>
      <c r="AN620" s="4" t="s">
        <v>37</v>
      </c>
      <c r="AO620" s="4" t="s">
        <v>38</v>
      </c>
      <c r="AP620" s="4">
        <v>43399.0</v>
      </c>
      <c r="AQ620" s="4">
        <v>165600.0</v>
      </c>
      <c r="AR620" s="4">
        <v>254700.0</v>
      </c>
      <c r="AS620" s="4">
        <v>89100.0</v>
      </c>
      <c r="AT620" s="4">
        <v>1.0</v>
      </c>
      <c r="AU620" s="4">
        <v>254700.0</v>
      </c>
      <c r="AV620" s="4">
        <v>0.03</v>
      </c>
      <c r="AW620" s="4">
        <v>7641.0</v>
      </c>
      <c r="AX620" s="4">
        <v>247059.0</v>
      </c>
      <c r="AY620" s="4">
        <v>165600.0</v>
      </c>
      <c r="AZ620" s="4">
        <v>81459.0</v>
      </c>
    </row>
    <row r="621" ht="15.75" customHeight="1">
      <c r="A621" s="3" t="s">
        <v>1999</v>
      </c>
      <c r="B621" s="5">
        <v>43399.0</v>
      </c>
      <c r="C621" s="6">
        <f t="shared" si="1"/>
        <v>2018</v>
      </c>
      <c r="D621" s="7" t="s">
        <v>330</v>
      </c>
      <c r="E621" s="7" t="s">
        <v>139</v>
      </c>
      <c r="F621" s="7" t="s">
        <v>50</v>
      </c>
      <c r="G621" s="5" t="s">
        <v>91</v>
      </c>
      <c r="H621" s="7" t="s">
        <v>140</v>
      </c>
      <c r="I621" s="7" t="s">
        <v>74</v>
      </c>
      <c r="J621" s="7" t="s">
        <v>335</v>
      </c>
      <c r="K621" s="7" t="s">
        <v>36</v>
      </c>
      <c r="L621" s="7" t="s">
        <v>45</v>
      </c>
      <c r="M621" s="7" t="s">
        <v>55</v>
      </c>
      <c r="N621" s="5">
        <v>43404.0</v>
      </c>
      <c r="O621" s="8">
        <v>52200.0</v>
      </c>
      <c r="P621" s="8">
        <v>81450.0</v>
      </c>
      <c r="Q621" s="8">
        <f t="shared" si="2"/>
        <v>29250</v>
      </c>
      <c r="R621" s="8">
        <v>48.0</v>
      </c>
      <c r="S621" s="8">
        <f t="shared" si="3"/>
        <v>3909600</v>
      </c>
      <c r="T621" s="9">
        <v>0.05</v>
      </c>
      <c r="U621" s="8">
        <f t="shared" si="4"/>
        <v>195480</v>
      </c>
      <c r="V621" s="8">
        <f t="shared" si="5"/>
        <v>3714120</v>
      </c>
      <c r="W621" s="10">
        <f t="shared" si="6"/>
        <v>2505600</v>
      </c>
      <c r="X621" s="10">
        <f t="shared" si="7"/>
        <v>1208520</v>
      </c>
      <c r="Y621" s="10"/>
      <c r="Z621" s="10"/>
      <c r="AA621" s="10"/>
      <c r="AB621" s="4" t="s">
        <v>2000</v>
      </c>
      <c r="AC621" s="4" t="s">
        <v>1999</v>
      </c>
      <c r="AD621" s="4">
        <v>43399.0</v>
      </c>
      <c r="AE621" s="4">
        <v>2018.0</v>
      </c>
      <c r="AF621" s="4" t="s">
        <v>330</v>
      </c>
      <c r="AG621" s="4" t="s">
        <v>139</v>
      </c>
      <c r="AH621" s="4" t="s">
        <v>50</v>
      </c>
      <c r="AI621" s="4" t="s">
        <v>91</v>
      </c>
      <c r="AJ621" s="4" t="s">
        <v>140</v>
      </c>
      <c r="AK621" s="4" t="s">
        <v>74</v>
      </c>
      <c r="AL621" s="4" t="s">
        <v>335</v>
      </c>
      <c r="AM621" s="4" t="s">
        <v>36</v>
      </c>
      <c r="AN621" s="4" t="s">
        <v>45</v>
      </c>
      <c r="AO621" s="4" t="s">
        <v>55</v>
      </c>
      <c r="AP621" s="4">
        <v>43404.0</v>
      </c>
      <c r="AQ621" s="4">
        <v>52200.0</v>
      </c>
      <c r="AR621" s="4">
        <v>81450.0</v>
      </c>
      <c r="AS621" s="4">
        <v>29250.0</v>
      </c>
      <c r="AT621" s="4">
        <v>48.0</v>
      </c>
      <c r="AU621" s="4">
        <v>3909600.0</v>
      </c>
      <c r="AV621" s="4">
        <v>0.05</v>
      </c>
      <c r="AW621" s="4">
        <v>195480.0</v>
      </c>
      <c r="AX621" s="4">
        <v>3714120.0</v>
      </c>
      <c r="AY621" s="4">
        <v>2505600.0</v>
      </c>
      <c r="AZ621" s="4">
        <v>1208520.0</v>
      </c>
    </row>
    <row r="622" ht="15.75" customHeight="1">
      <c r="A622" s="3" t="s">
        <v>2001</v>
      </c>
      <c r="B622" s="5">
        <v>43400.0</v>
      </c>
      <c r="C622" s="6">
        <f t="shared" si="1"/>
        <v>2018</v>
      </c>
      <c r="D622" s="7" t="s">
        <v>2002</v>
      </c>
      <c r="E622" s="7" t="s">
        <v>188</v>
      </c>
      <c r="F622" s="7" t="s">
        <v>50</v>
      </c>
      <c r="G622" s="5" t="s">
        <v>68</v>
      </c>
      <c r="H622" s="7" t="s">
        <v>80</v>
      </c>
      <c r="I622" s="7" t="s">
        <v>74</v>
      </c>
      <c r="J622" s="7" t="s">
        <v>776</v>
      </c>
      <c r="K622" s="7" t="s">
        <v>36</v>
      </c>
      <c r="L622" s="7" t="s">
        <v>45</v>
      </c>
      <c r="M622" s="7" t="s">
        <v>38</v>
      </c>
      <c r="N622" s="5">
        <v>43404.0</v>
      </c>
      <c r="O622" s="8">
        <v>78300.0</v>
      </c>
      <c r="P622" s="8">
        <v>147750.0</v>
      </c>
      <c r="Q622" s="8">
        <f t="shared" si="2"/>
        <v>69450</v>
      </c>
      <c r="R622" s="8">
        <v>21.0</v>
      </c>
      <c r="S622" s="8">
        <f t="shared" si="3"/>
        <v>3102750</v>
      </c>
      <c r="T622" s="9">
        <v>0.1</v>
      </c>
      <c r="U622" s="8">
        <f t="shared" si="4"/>
        <v>310275</v>
      </c>
      <c r="V622" s="8">
        <f t="shared" si="5"/>
        <v>2792475</v>
      </c>
      <c r="W622" s="10">
        <f t="shared" si="6"/>
        <v>1644300</v>
      </c>
      <c r="X622" s="10">
        <f t="shared" si="7"/>
        <v>1148175</v>
      </c>
      <c r="Y622" s="10"/>
      <c r="Z622" s="10"/>
      <c r="AA622" s="10"/>
      <c r="AB622" s="4" t="s">
        <v>2003</v>
      </c>
      <c r="AC622" s="4" t="s">
        <v>2001</v>
      </c>
      <c r="AD622" s="4">
        <v>43400.0</v>
      </c>
      <c r="AE622" s="4">
        <v>2018.0</v>
      </c>
      <c r="AF622" s="4" t="s">
        <v>2002</v>
      </c>
      <c r="AG622" s="4" t="s">
        <v>188</v>
      </c>
      <c r="AH622" s="4" t="s">
        <v>50</v>
      </c>
      <c r="AI622" s="4" t="s">
        <v>68</v>
      </c>
      <c r="AJ622" s="4" t="s">
        <v>80</v>
      </c>
      <c r="AK622" s="4" t="s">
        <v>74</v>
      </c>
      <c r="AL622" s="4" t="s">
        <v>776</v>
      </c>
      <c r="AM622" s="4" t="s">
        <v>36</v>
      </c>
      <c r="AN622" s="4" t="s">
        <v>45</v>
      </c>
      <c r="AO622" s="4" t="s">
        <v>38</v>
      </c>
      <c r="AP622" s="4">
        <v>43404.0</v>
      </c>
      <c r="AQ622" s="4">
        <v>78300.0</v>
      </c>
      <c r="AR622" s="4">
        <v>147750.0</v>
      </c>
      <c r="AS622" s="4">
        <v>69450.0</v>
      </c>
      <c r="AT622" s="4">
        <v>21.0</v>
      </c>
      <c r="AU622" s="4">
        <v>3102750.0</v>
      </c>
      <c r="AV622" s="4">
        <v>0.1</v>
      </c>
      <c r="AW622" s="4">
        <v>310275.0</v>
      </c>
      <c r="AX622" s="4">
        <v>2792475.0</v>
      </c>
      <c r="AY622" s="4">
        <v>1644300.0</v>
      </c>
      <c r="AZ622" s="4">
        <v>1148175.0</v>
      </c>
    </row>
    <row r="623" ht="15.75" customHeight="1">
      <c r="A623" s="3" t="s">
        <v>2004</v>
      </c>
      <c r="B623" s="5">
        <v>43401.0</v>
      </c>
      <c r="C623" s="6">
        <f t="shared" si="1"/>
        <v>2018</v>
      </c>
      <c r="D623" s="7" t="s">
        <v>1102</v>
      </c>
      <c r="E623" s="7" t="s">
        <v>169</v>
      </c>
      <c r="F623" s="7" t="s">
        <v>31</v>
      </c>
      <c r="G623" s="5" t="s">
        <v>51</v>
      </c>
      <c r="H623" s="7" t="s">
        <v>43</v>
      </c>
      <c r="I623" s="7" t="s">
        <v>74</v>
      </c>
      <c r="J623" s="7" t="s">
        <v>1291</v>
      </c>
      <c r="K623" s="7" t="s">
        <v>36</v>
      </c>
      <c r="L623" s="7" t="s">
        <v>45</v>
      </c>
      <c r="M623" s="7" t="s">
        <v>38</v>
      </c>
      <c r="N623" s="5">
        <v>43405.0</v>
      </c>
      <c r="O623" s="8">
        <v>13800.0</v>
      </c>
      <c r="P623" s="8">
        <v>27150.0</v>
      </c>
      <c r="Q623" s="8">
        <f t="shared" si="2"/>
        <v>13350</v>
      </c>
      <c r="R623" s="8">
        <v>48.0</v>
      </c>
      <c r="S623" s="8">
        <f t="shared" si="3"/>
        <v>1303200</v>
      </c>
      <c r="T623" s="9">
        <v>0.02</v>
      </c>
      <c r="U623" s="8">
        <f t="shared" si="4"/>
        <v>26064</v>
      </c>
      <c r="V623" s="8">
        <f t="shared" si="5"/>
        <v>1277136</v>
      </c>
      <c r="W623" s="10">
        <f t="shared" si="6"/>
        <v>662400</v>
      </c>
      <c r="X623" s="10">
        <f t="shared" si="7"/>
        <v>614736</v>
      </c>
      <c r="Y623" s="10"/>
      <c r="Z623" s="10"/>
      <c r="AA623" s="10"/>
      <c r="AB623" s="4" t="s">
        <v>2005</v>
      </c>
      <c r="AC623" s="4" t="s">
        <v>2004</v>
      </c>
      <c r="AD623" s="4">
        <v>43401.0</v>
      </c>
      <c r="AE623" s="4">
        <v>2018.0</v>
      </c>
      <c r="AF623" s="4" t="s">
        <v>1102</v>
      </c>
      <c r="AG623" s="4" t="s">
        <v>169</v>
      </c>
      <c r="AH623" s="4" t="s">
        <v>31</v>
      </c>
      <c r="AI623" s="4" t="s">
        <v>51</v>
      </c>
      <c r="AJ623" s="4" t="s">
        <v>43</v>
      </c>
      <c r="AK623" s="4" t="s">
        <v>74</v>
      </c>
      <c r="AL623" s="4" t="s">
        <v>1291</v>
      </c>
      <c r="AM623" s="4" t="s">
        <v>36</v>
      </c>
      <c r="AN623" s="4" t="s">
        <v>45</v>
      </c>
      <c r="AO623" s="4" t="s">
        <v>38</v>
      </c>
      <c r="AP623" s="4">
        <v>43405.0</v>
      </c>
      <c r="AQ623" s="4">
        <v>13800.0</v>
      </c>
      <c r="AR623" s="4">
        <v>27150.0</v>
      </c>
      <c r="AS623" s="4">
        <v>13350.0</v>
      </c>
      <c r="AT623" s="4">
        <v>48.0</v>
      </c>
      <c r="AU623" s="4">
        <v>1303200.0</v>
      </c>
      <c r="AV623" s="4">
        <v>0.02</v>
      </c>
      <c r="AW623" s="4">
        <v>26064.0</v>
      </c>
      <c r="AX623" s="4">
        <v>1277136.0</v>
      </c>
      <c r="AY623" s="4">
        <v>662400.0</v>
      </c>
      <c r="AZ623" s="4">
        <v>614736.0</v>
      </c>
    </row>
    <row r="624" ht="15.75" customHeight="1">
      <c r="A624" s="3" t="s">
        <v>2006</v>
      </c>
      <c r="B624" s="5">
        <v>43402.0</v>
      </c>
      <c r="C624" s="6">
        <f t="shared" si="1"/>
        <v>2018</v>
      </c>
      <c r="D624" s="7" t="s">
        <v>2007</v>
      </c>
      <c r="E624" s="7" t="s">
        <v>1781</v>
      </c>
      <c r="F624" s="7" t="s">
        <v>50</v>
      </c>
      <c r="G624" s="5" t="s">
        <v>91</v>
      </c>
      <c r="H624" s="7" t="s">
        <v>110</v>
      </c>
      <c r="I624" s="7" t="s">
        <v>34</v>
      </c>
      <c r="J624" s="7" t="s">
        <v>54</v>
      </c>
      <c r="K624" s="7" t="s">
        <v>36</v>
      </c>
      <c r="L624" s="7" t="s">
        <v>45</v>
      </c>
      <c r="M624" s="7" t="s">
        <v>38</v>
      </c>
      <c r="N624" s="5">
        <v>43402.0</v>
      </c>
      <c r="O624" s="8">
        <v>36150.0</v>
      </c>
      <c r="P624" s="8">
        <v>55650.0</v>
      </c>
      <c r="Q624" s="8">
        <f t="shared" si="2"/>
        <v>19500</v>
      </c>
      <c r="R624" s="8">
        <v>13.0</v>
      </c>
      <c r="S624" s="8">
        <f t="shared" si="3"/>
        <v>723450</v>
      </c>
      <c r="T624" s="9">
        <v>0.06</v>
      </c>
      <c r="U624" s="8">
        <f t="shared" si="4"/>
        <v>43407</v>
      </c>
      <c r="V624" s="8">
        <f t="shared" si="5"/>
        <v>680043</v>
      </c>
      <c r="W624" s="10">
        <f t="shared" si="6"/>
        <v>469950</v>
      </c>
      <c r="X624" s="10">
        <f t="shared" si="7"/>
        <v>210093</v>
      </c>
      <c r="Y624" s="10"/>
      <c r="Z624" s="10"/>
      <c r="AA624" s="10"/>
      <c r="AB624" s="4" t="s">
        <v>2008</v>
      </c>
      <c r="AC624" s="4" t="s">
        <v>2006</v>
      </c>
      <c r="AD624" s="4">
        <v>43402.0</v>
      </c>
      <c r="AE624" s="4">
        <v>2018.0</v>
      </c>
      <c r="AF624" s="4" t="s">
        <v>2007</v>
      </c>
      <c r="AG624" s="4" t="s">
        <v>1781</v>
      </c>
      <c r="AH624" s="4" t="s">
        <v>50</v>
      </c>
      <c r="AI624" s="4" t="s">
        <v>91</v>
      </c>
      <c r="AJ624" s="4" t="s">
        <v>110</v>
      </c>
      <c r="AK624" s="4" t="s">
        <v>34</v>
      </c>
      <c r="AL624" s="4" t="s">
        <v>54</v>
      </c>
      <c r="AM624" s="4" t="s">
        <v>36</v>
      </c>
      <c r="AN624" s="4" t="s">
        <v>45</v>
      </c>
      <c r="AO624" s="4" t="s">
        <v>38</v>
      </c>
      <c r="AP624" s="4">
        <v>43402.0</v>
      </c>
      <c r="AQ624" s="4">
        <v>36150.0</v>
      </c>
      <c r="AR624" s="4">
        <v>55650.0</v>
      </c>
      <c r="AS624" s="4">
        <v>19500.0</v>
      </c>
      <c r="AT624" s="4">
        <v>13.0</v>
      </c>
      <c r="AU624" s="4">
        <v>723450.0</v>
      </c>
      <c r="AV624" s="4">
        <v>0.06</v>
      </c>
      <c r="AW624" s="4">
        <v>43407.0</v>
      </c>
      <c r="AX624" s="4">
        <v>680043.0</v>
      </c>
      <c r="AY624" s="4">
        <v>469950.0</v>
      </c>
      <c r="AZ624" s="4">
        <v>210093.0</v>
      </c>
    </row>
    <row r="625" ht="15.75" customHeight="1">
      <c r="A625" s="3" t="s">
        <v>2009</v>
      </c>
      <c r="B625" s="5">
        <v>43403.0</v>
      </c>
      <c r="C625" s="6">
        <f t="shared" si="1"/>
        <v>2018</v>
      </c>
      <c r="D625" s="7" t="s">
        <v>683</v>
      </c>
      <c r="E625" s="7" t="s">
        <v>684</v>
      </c>
      <c r="F625" s="7" t="s">
        <v>50</v>
      </c>
      <c r="G625" s="5" t="s">
        <v>51</v>
      </c>
      <c r="H625" s="7" t="s">
        <v>98</v>
      </c>
      <c r="I625" s="7" t="s">
        <v>34</v>
      </c>
      <c r="J625" s="7" t="s">
        <v>654</v>
      </c>
      <c r="K625" s="7" t="s">
        <v>36</v>
      </c>
      <c r="L625" s="7" t="s">
        <v>127</v>
      </c>
      <c r="M625" s="7" t="s">
        <v>38</v>
      </c>
      <c r="N625" s="5">
        <v>43405.0</v>
      </c>
      <c r="O625" s="8">
        <v>37500.0</v>
      </c>
      <c r="P625" s="8">
        <v>85200.0</v>
      </c>
      <c r="Q625" s="8">
        <f t="shared" si="2"/>
        <v>47700</v>
      </c>
      <c r="R625" s="8">
        <v>21.0</v>
      </c>
      <c r="S625" s="8">
        <f t="shared" si="3"/>
        <v>1789200</v>
      </c>
      <c r="T625" s="9">
        <v>0.07</v>
      </c>
      <c r="U625" s="8">
        <f t="shared" si="4"/>
        <v>125244</v>
      </c>
      <c r="V625" s="8">
        <f t="shared" si="5"/>
        <v>1663956</v>
      </c>
      <c r="W625" s="10">
        <f t="shared" si="6"/>
        <v>787500</v>
      </c>
      <c r="X625" s="10">
        <f t="shared" si="7"/>
        <v>876456</v>
      </c>
      <c r="Y625" s="10"/>
      <c r="Z625" s="10"/>
      <c r="AA625" s="10"/>
      <c r="AB625" s="4" t="s">
        <v>2010</v>
      </c>
      <c r="AC625" s="4" t="s">
        <v>2009</v>
      </c>
      <c r="AD625" s="4">
        <v>43403.0</v>
      </c>
      <c r="AE625" s="4">
        <v>2018.0</v>
      </c>
      <c r="AF625" s="4" t="s">
        <v>683</v>
      </c>
      <c r="AG625" s="4" t="s">
        <v>684</v>
      </c>
      <c r="AH625" s="4" t="s">
        <v>50</v>
      </c>
      <c r="AI625" s="4" t="s">
        <v>51</v>
      </c>
      <c r="AJ625" s="4" t="s">
        <v>98</v>
      </c>
      <c r="AK625" s="4" t="s">
        <v>34</v>
      </c>
      <c r="AL625" s="4" t="s">
        <v>654</v>
      </c>
      <c r="AM625" s="4" t="s">
        <v>36</v>
      </c>
      <c r="AN625" s="4" t="s">
        <v>127</v>
      </c>
      <c r="AO625" s="4" t="s">
        <v>38</v>
      </c>
      <c r="AP625" s="4">
        <v>43405.0</v>
      </c>
      <c r="AQ625" s="4">
        <v>37500.0</v>
      </c>
      <c r="AR625" s="4">
        <v>85200.0</v>
      </c>
      <c r="AS625" s="4">
        <v>47700.0</v>
      </c>
      <c r="AT625" s="4">
        <v>21.0</v>
      </c>
      <c r="AU625" s="4">
        <v>1789200.0</v>
      </c>
      <c r="AV625" s="4">
        <v>0.07</v>
      </c>
      <c r="AW625" s="4">
        <v>125244.0</v>
      </c>
      <c r="AX625" s="4">
        <v>1663956.0</v>
      </c>
      <c r="AY625" s="4">
        <v>787500.0</v>
      </c>
      <c r="AZ625" s="4">
        <v>876456.0</v>
      </c>
    </row>
    <row r="626" ht="15.75" customHeight="1">
      <c r="A626" s="3" t="s">
        <v>2011</v>
      </c>
      <c r="B626" s="5">
        <v>43403.0</v>
      </c>
      <c r="C626" s="6">
        <f t="shared" si="1"/>
        <v>2018</v>
      </c>
      <c r="D626" s="7" t="s">
        <v>58</v>
      </c>
      <c r="E626" s="7" t="s">
        <v>59</v>
      </c>
      <c r="F626" s="7" t="s">
        <v>31</v>
      </c>
      <c r="G626" s="5" t="s">
        <v>51</v>
      </c>
      <c r="H626" s="7" t="s">
        <v>33</v>
      </c>
      <c r="I626" s="7" t="s">
        <v>34</v>
      </c>
      <c r="J626" s="7" t="s">
        <v>538</v>
      </c>
      <c r="K626" s="7" t="s">
        <v>36</v>
      </c>
      <c r="L626" s="7" t="s">
        <v>37</v>
      </c>
      <c r="M626" s="7" t="s">
        <v>38</v>
      </c>
      <c r="N626" s="5">
        <v>43405.0</v>
      </c>
      <c r="O626" s="8">
        <v>33900.0</v>
      </c>
      <c r="P626" s="8">
        <v>53700.0</v>
      </c>
      <c r="Q626" s="8">
        <f t="shared" si="2"/>
        <v>19800</v>
      </c>
      <c r="R626" s="8">
        <v>43.0</v>
      </c>
      <c r="S626" s="8">
        <f t="shared" si="3"/>
        <v>2309100</v>
      </c>
      <c r="T626" s="9">
        <v>0.08</v>
      </c>
      <c r="U626" s="8">
        <f t="shared" si="4"/>
        <v>184728</v>
      </c>
      <c r="V626" s="8">
        <f t="shared" si="5"/>
        <v>2124372</v>
      </c>
      <c r="W626" s="10">
        <f t="shared" si="6"/>
        <v>1457700</v>
      </c>
      <c r="X626" s="10">
        <f t="shared" si="7"/>
        <v>666672</v>
      </c>
      <c r="Y626" s="10"/>
      <c r="Z626" s="10"/>
      <c r="AA626" s="10"/>
      <c r="AB626" s="4" t="s">
        <v>2012</v>
      </c>
      <c r="AC626" s="4" t="s">
        <v>2011</v>
      </c>
      <c r="AD626" s="4">
        <v>43403.0</v>
      </c>
      <c r="AE626" s="4">
        <v>2018.0</v>
      </c>
      <c r="AF626" s="4" t="s">
        <v>58</v>
      </c>
      <c r="AG626" s="4" t="s">
        <v>59</v>
      </c>
      <c r="AH626" s="4" t="s">
        <v>31</v>
      </c>
      <c r="AI626" s="4" t="s">
        <v>51</v>
      </c>
      <c r="AJ626" s="4" t="s">
        <v>33</v>
      </c>
      <c r="AK626" s="4" t="s">
        <v>34</v>
      </c>
      <c r="AL626" s="4" t="s">
        <v>538</v>
      </c>
      <c r="AM626" s="4" t="s">
        <v>36</v>
      </c>
      <c r="AN626" s="4" t="s">
        <v>37</v>
      </c>
      <c r="AO626" s="4" t="s">
        <v>38</v>
      </c>
      <c r="AP626" s="4">
        <v>43405.0</v>
      </c>
      <c r="AQ626" s="4">
        <v>33900.0</v>
      </c>
      <c r="AR626" s="4">
        <v>53700.0</v>
      </c>
      <c r="AS626" s="4">
        <v>19800.0</v>
      </c>
      <c r="AT626" s="4">
        <v>43.0</v>
      </c>
      <c r="AU626" s="4">
        <v>2309100.0</v>
      </c>
      <c r="AV626" s="4">
        <v>0.08</v>
      </c>
      <c r="AW626" s="4">
        <v>184728.0</v>
      </c>
      <c r="AX626" s="4">
        <v>2124372.0</v>
      </c>
      <c r="AY626" s="4">
        <v>1457700.0</v>
      </c>
      <c r="AZ626" s="4">
        <v>666672.0</v>
      </c>
    </row>
    <row r="627" ht="15.75" customHeight="1">
      <c r="A627" s="3" t="s">
        <v>2013</v>
      </c>
      <c r="B627" s="5">
        <v>43404.0</v>
      </c>
      <c r="C627" s="6">
        <f t="shared" si="1"/>
        <v>2018</v>
      </c>
      <c r="D627" s="7" t="s">
        <v>172</v>
      </c>
      <c r="E627" s="7" t="s">
        <v>173</v>
      </c>
      <c r="F627" s="7" t="s">
        <v>31</v>
      </c>
      <c r="G627" s="5" t="s">
        <v>91</v>
      </c>
      <c r="H627" s="7" t="s">
        <v>43</v>
      </c>
      <c r="I627" s="7" t="s">
        <v>104</v>
      </c>
      <c r="J627" s="7" t="s">
        <v>563</v>
      </c>
      <c r="K627" s="7" t="s">
        <v>36</v>
      </c>
      <c r="L627" s="7" t="s">
        <v>37</v>
      </c>
      <c r="M627" s="7" t="s">
        <v>38</v>
      </c>
      <c r="N627" s="5">
        <v>43405.0</v>
      </c>
      <c r="O627" s="8">
        <v>52500.0</v>
      </c>
      <c r="P627" s="8">
        <v>86100.0</v>
      </c>
      <c r="Q627" s="8">
        <f t="shared" si="2"/>
        <v>33600</v>
      </c>
      <c r="R627" s="8">
        <v>41.0</v>
      </c>
      <c r="S627" s="8">
        <f t="shared" si="3"/>
        <v>3530100</v>
      </c>
      <c r="T627" s="9">
        <v>0.08</v>
      </c>
      <c r="U627" s="8">
        <f t="shared" si="4"/>
        <v>282408</v>
      </c>
      <c r="V627" s="8">
        <f t="shared" si="5"/>
        <v>3247692</v>
      </c>
      <c r="W627" s="10">
        <f t="shared" si="6"/>
        <v>2152500</v>
      </c>
      <c r="X627" s="10">
        <f t="shared" si="7"/>
        <v>1095192</v>
      </c>
      <c r="Y627" s="10"/>
      <c r="Z627" s="10"/>
      <c r="AA627" s="10"/>
      <c r="AB627" s="4" t="s">
        <v>2014</v>
      </c>
      <c r="AC627" s="4" t="s">
        <v>2013</v>
      </c>
      <c r="AD627" s="4">
        <v>43404.0</v>
      </c>
      <c r="AE627" s="4">
        <v>2018.0</v>
      </c>
      <c r="AF627" s="4" t="s">
        <v>172</v>
      </c>
      <c r="AG627" s="4" t="s">
        <v>173</v>
      </c>
      <c r="AH627" s="4" t="s">
        <v>31</v>
      </c>
      <c r="AI627" s="4" t="s">
        <v>91</v>
      </c>
      <c r="AJ627" s="4" t="s">
        <v>43</v>
      </c>
      <c r="AK627" s="4" t="s">
        <v>104</v>
      </c>
      <c r="AL627" s="4" t="s">
        <v>563</v>
      </c>
      <c r="AM627" s="4" t="s">
        <v>36</v>
      </c>
      <c r="AN627" s="4" t="s">
        <v>37</v>
      </c>
      <c r="AO627" s="4" t="s">
        <v>38</v>
      </c>
      <c r="AP627" s="4">
        <v>43405.0</v>
      </c>
      <c r="AQ627" s="4">
        <v>52500.0</v>
      </c>
      <c r="AR627" s="4">
        <v>86100.0</v>
      </c>
      <c r="AS627" s="4">
        <v>33600.0</v>
      </c>
      <c r="AT627" s="4">
        <v>41.0</v>
      </c>
      <c r="AU627" s="4">
        <v>3530100.0</v>
      </c>
      <c r="AV627" s="4">
        <v>0.08</v>
      </c>
      <c r="AW627" s="4">
        <v>282408.0</v>
      </c>
      <c r="AX627" s="4">
        <v>3247692.0</v>
      </c>
      <c r="AY627" s="4">
        <v>2152500.0</v>
      </c>
      <c r="AZ627" s="4">
        <v>1095192.0</v>
      </c>
    </row>
    <row r="628" ht="15.75" customHeight="1">
      <c r="A628" s="3" t="s">
        <v>2015</v>
      </c>
      <c r="B628" s="5">
        <v>43405.0</v>
      </c>
      <c r="C628" s="6">
        <f t="shared" si="1"/>
        <v>2018</v>
      </c>
      <c r="D628" s="7" t="s">
        <v>605</v>
      </c>
      <c r="E628" s="7" t="s">
        <v>150</v>
      </c>
      <c r="F628" s="7" t="s">
        <v>50</v>
      </c>
      <c r="G628" s="5" t="s">
        <v>68</v>
      </c>
      <c r="H628" s="7" t="s">
        <v>151</v>
      </c>
      <c r="I628" s="7" t="s">
        <v>53</v>
      </c>
      <c r="J628" s="7" t="s">
        <v>889</v>
      </c>
      <c r="K628" s="7" t="s">
        <v>36</v>
      </c>
      <c r="L628" s="7" t="s">
        <v>127</v>
      </c>
      <c r="M628" s="7" t="s">
        <v>38</v>
      </c>
      <c r="N628" s="5">
        <v>43408.0</v>
      </c>
      <c r="O628" s="8">
        <v>61499.99999999999</v>
      </c>
      <c r="P628" s="8">
        <v>139650.0</v>
      </c>
      <c r="Q628" s="8">
        <f t="shared" si="2"/>
        <v>78150</v>
      </c>
      <c r="R628" s="8">
        <v>26.0</v>
      </c>
      <c r="S628" s="8">
        <f t="shared" si="3"/>
        <v>3630900</v>
      </c>
      <c r="T628" s="9">
        <v>0.06</v>
      </c>
      <c r="U628" s="8">
        <f t="shared" si="4"/>
        <v>217854</v>
      </c>
      <c r="V628" s="8">
        <f t="shared" si="5"/>
        <v>3413046</v>
      </c>
      <c r="W628" s="10">
        <f t="shared" si="6"/>
        <v>1599000</v>
      </c>
      <c r="X628" s="10">
        <f t="shared" si="7"/>
        <v>1814046</v>
      </c>
      <c r="Y628" s="10"/>
      <c r="Z628" s="10"/>
      <c r="AA628" s="10"/>
      <c r="AB628" s="4" t="s">
        <v>2016</v>
      </c>
      <c r="AC628" s="4" t="s">
        <v>2015</v>
      </c>
      <c r="AD628" s="4">
        <v>43405.0</v>
      </c>
      <c r="AE628" s="4">
        <v>2018.0</v>
      </c>
      <c r="AF628" s="4" t="s">
        <v>605</v>
      </c>
      <c r="AG628" s="4" t="s">
        <v>150</v>
      </c>
      <c r="AH628" s="4" t="s">
        <v>50</v>
      </c>
      <c r="AI628" s="4" t="s">
        <v>68</v>
      </c>
      <c r="AJ628" s="4" t="s">
        <v>151</v>
      </c>
      <c r="AK628" s="4" t="s">
        <v>53</v>
      </c>
      <c r="AL628" s="4" t="s">
        <v>889</v>
      </c>
      <c r="AM628" s="4" t="s">
        <v>36</v>
      </c>
      <c r="AN628" s="4" t="s">
        <v>127</v>
      </c>
      <c r="AO628" s="4" t="s">
        <v>38</v>
      </c>
      <c r="AP628" s="4">
        <v>43408.0</v>
      </c>
      <c r="AQ628" s="4">
        <v>61500.0</v>
      </c>
      <c r="AR628" s="4">
        <v>139650.0</v>
      </c>
      <c r="AS628" s="4">
        <v>78150.0</v>
      </c>
      <c r="AT628" s="4">
        <v>26.0</v>
      </c>
      <c r="AU628" s="4">
        <v>3630900.0</v>
      </c>
      <c r="AV628" s="4">
        <v>0.06</v>
      </c>
      <c r="AW628" s="4">
        <v>217854.0</v>
      </c>
      <c r="AX628" s="4">
        <v>3413046.0</v>
      </c>
      <c r="AY628" s="4">
        <v>1599000.0</v>
      </c>
      <c r="AZ628" s="4">
        <v>1814046.0</v>
      </c>
    </row>
    <row r="629" ht="15.75" customHeight="1">
      <c r="A629" s="3" t="s">
        <v>2017</v>
      </c>
      <c r="B629" s="5">
        <v>43408.0</v>
      </c>
      <c r="C629" s="6">
        <f t="shared" si="1"/>
        <v>2018</v>
      </c>
      <c r="D629" s="7" t="s">
        <v>2018</v>
      </c>
      <c r="E629" s="7" t="s">
        <v>985</v>
      </c>
      <c r="F629" s="7" t="s">
        <v>50</v>
      </c>
      <c r="G629" s="5" t="s">
        <v>32</v>
      </c>
      <c r="H629" s="7" t="s">
        <v>140</v>
      </c>
      <c r="I629" s="7" t="s">
        <v>74</v>
      </c>
      <c r="J629" s="7" t="s">
        <v>195</v>
      </c>
      <c r="K629" s="7" t="s">
        <v>61</v>
      </c>
      <c r="L629" s="7" t="s">
        <v>37</v>
      </c>
      <c r="M629" s="7" t="s">
        <v>38</v>
      </c>
      <c r="N629" s="5">
        <v>43415.0</v>
      </c>
      <c r="O629" s="8">
        <v>480300.00000000006</v>
      </c>
      <c r="P629" s="8">
        <v>2287200.0</v>
      </c>
      <c r="Q629" s="8">
        <f t="shared" si="2"/>
        <v>1806900</v>
      </c>
      <c r="R629" s="8">
        <v>14.0</v>
      </c>
      <c r="S629" s="8">
        <f t="shared" si="3"/>
        <v>32020800</v>
      </c>
      <c r="T629" s="9">
        <v>0.03</v>
      </c>
      <c r="U629" s="8">
        <f t="shared" si="4"/>
        <v>960624</v>
      </c>
      <c r="V629" s="8">
        <f t="shared" si="5"/>
        <v>31060176</v>
      </c>
      <c r="W629" s="10">
        <f t="shared" si="6"/>
        <v>6724200</v>
      </c>
      <c r="X629" s="10">
        <f t="shared" si="7"/>
        <v>24335976</v>
      </c>
      <c r="Y629" s="10"/>
      <c r="Z629" s="10"/>
      <c r="AA629" s="10"/>
      <c r="AB629" s="4" t="s">
        <v>2019</v>
      </c>
      <c r="AC629" s="4" t="s">
        <v>2017</v>
      </c>
      <c r="AD629" s="4">
        <v>43408.0</v>
      </c>
      <c r="AE629" s="4">
        <v>2018.0</v>
      </c>
      <c r="AF629" s="4" t="s">
        <v>2018</v>
      </c>
      <c r="AG629" s="4" t="s">
        <v>985</v>
      </c>
      <c r="AH629" s="4" t="s">
        <v>50</v>
      </c>
      <c r="AI629" s="4" t="s">
        <v>32</v>
      </c>
      <c r="AJ629" s="4" t="s">
        <v>140</v>
      </c>
      <c r="AK629" s="4" t="s">
        <v>74</v>
      </c>
      <c r="AL629" s="4" t="s">
        <v>195</v>
      </c>
      <c r="AM629" s="4" t="s">
        <v>61</v>
      </c>
      <c r="AN629" s="4" t="s">
        <v>37</v>
      </c>
      <c r="AO629" s="4" t="s">
        <v>38</v>
      </c>
      <c r="AP629" s="4">
        <v>43415.0</v>
      </c>
      <c r="AQ629" s="4">
        <v>480300.0</v>
      </c>
      <c r="AR629" s="4">
        <v>2287200.0</v>
      </c>
      <c r="AS629" s="4">
        <v>1806900.0</v>
      </c>
      <c r="AT629" s="4">
        <v>14.0</v>
      </c>
      <c r="AU629" s="4">
        <v>3.20208E7</v>
      </c>
      <c r="AV629" s="4">
        <v>0.03</v>
      </c>
      <c r="AW629" s="4">
        <v>960624.0</v>
      </c>
      <c r="AX629" s="4">
        <v>3.1060176E7</v>
      </c>
      <c r="AY629" s="4">
        <v>6724200.0</v>
      </c>
      <c r="AZ629" s="4">
        <v>2.4335976E7</v>
      </c>
    </row>
    <row r="630" ht="15.75" customHeight="1">
      <c r="A630" s="3" t="s">
        <v>2020</v>
      </c>
      <c r="B630" s="5">
        <v>43408.0</v>
      </c>
      <c r="C630" s="6">
        <f t="shared" si="1"/>
        <v>2018</v>
      </c>
      <c r="D630" s="7" t="s">
        <v>2021</v>
      </c>
      <c r="E630" s="7" t="s">
        <v>139</v>
      </c>
      <c r="F630" s="7" t="s">
        <v>50</v>
      </c>
      <c r="G630" s="5" t="s">
        <v>51</v>
      </c>
      <c r="H630" s="7" t="s">
        <v>140</v>
      </c>
      <c r="I630" s="7" t="s">
        <v>92</v>
      </c>
      <c r="J630" s="7" t="s">
        <v>627</v>
      </c>
      <c r="K630" s="7" t="s">
        <v>36</v>
      </c>
      <c r="L630" s="7" t="s">
        <v>45</v>
      </c>
      <c r="M630" s="7" t="s">
        <v>55</v>
      </c>
      <c r="N630" s="5">
        <v>43409.0</v>
      </c>
      <c r="O630" s="8">
        <v>49800.0</v>
      </c>
      <c r="P630" s="8">
        <v>77700.0</v>
      </c>
      <c r="Q630" s="8">
        <f t="shared" si="2"/>
        <v>27900</v>
      </c>
      <c r="R630" s="8">
        <v>1.0</v>
      </c>
      <c r="S630" s="8">
        <f t="shared" si="3"/>
        <v>77700</v>
      </c>
      <c r="T630" s="9">
        <v>0.0</v>
      </c>
      <c r="U630" s="8">
        <f t="shared" si="4"/>
        <v>0</v>
      </c>
      <c r="V630" s="8">
        <f t="shared" si="5"/>
        <v>77700</v>
      </c>
      <c r="W630" s="10">
        <f t="shared" si="6"/>
        <v>49800</v>
      </c>
      <c r="X630" s="10">
        <f t="shared" si="7"/>
        <v>27900</v>
      </c>
      <c r="Y630" s="10"/>
      <c r="Z630" s="10"/>
      <c r="AA630" s="10"/>
      <c r="AB630" s="4" t="s">
        <v>2022</v>
      </c>
      <c r="AC630" s="4" t="s">
        <v>2020</v>
      </c>
      <c r="AD630" s="4">
        <v>43408.0</v>
      </c>
      <c r="AE630" s="4">
        <v>2018.0</v>
      </c>
      <c r="AF630" s="4" t="s">
        <v>2021</v>
      </c>
      <c r="AG630" s="4" t="s">
        <v>139</v>
      </c>
      <c r="AH630" s="4" t="s">
        <v>50</v>
      </c>
      <c r="AI630" s="4" t="s">
        <v>51</v>
      </c>
      <c r="AJ630" s="4" t="s">
        <v>140</v>
      </c>
      <c r="AK630" s="4" t="s">
        <v>92</v>
      </c>
      <c r="AL630" s="4" t="s">
        <v>627</v>
      </c>
      <c r="AM630" s="4" t="s">
        <v>36</v>
      </c>
      <c r="AN630" s="4" t="s">
        <v>45</v>
      </c>
      <c r="AO630" s="4" t="s">
        <v>55</v>
      </c>
      <c r="AP630" s="4">
        <v>43409.0</v>
      </c>
      <c r="AQ630" s="4">
        <v>49800.0</v>
      </c>
      <c r="AR630" s="4">
        <v>77700.0</v>
      </c>
      <c r="AS630" s="4">
        <v>27900.0</v>
      </c>
      <c r="AT630" s="4">
        <v>1.0</v>
      </c>
      <c r="AU630" s="4">
        <v>77700.0</v>
      </c>
      <c r="AV630" s="4">
        <v>0.0</v>
      </c>
      <c r="AW630" s="4">
        <v>0.0</v>
      </c>
      <c r="AX630" s="4">
        <v>77700.0</v>
      </c>
      <c r="AY630" s="4">
        <v>49800.0</v>
      </c>
      <c r="AZ630" s="4">
        <v>27900.0</v>
      </c>
    </row>
    <row r="631" ht="15.75" customHeight="1">
      <c r="A631" s="3" t="s">
        <v>2023</v>
      </c>
      <c r="B631" s="5">
        <v>43408.0</v>
      </c>
      <c r="C631" s="6">
        <f t="shared" si="1"/>
        <v>2018</v>
      </c>
      <c r="D631" s="7" t="s">
        <v>379</v>
      </c>
      <c r="E631" s="7" t="s">
        <v>173</v>
      </c>
      <c r="F631" s="7" t="s">
        <v>31</v>
      </c>
      <c r="G631" s="5" t="s">
        <v>68</v>
      </c>
      <c r="H631" s="7" t="s">
        <v>43</v>
      </c>
      <c r="I631" s="7" t="s">
        <v>53</v>
      </c>
      <c r="J631" s="7" t="s">
        <v>294</v>
      </c>
      <c r="K631" s="7" t="s">
        <v>36</v>
      </c>
      <c r="L631" s="7" t="s">
        <v>37</v>
      </c>
      <c r="M631" s="7" t="s">
        <v>38</v>
      </c>
      <c r="N631" s="5">
        <v>43409.0</v>
      </c>
      <c r="O631" s="8">
        <v>17700.0</v>
      </c>
      <c r="P631" s="8">
        <v>28200.0</v>
      </c>
      <c r="Q631" s="8">
        <f t="shared" si="2"/>
        <v>10500</v>
      </c>
      <c r="R631" s="8">
        <v>8.0</v>
      </c>
      <c r="S631" s="8">
        <f t="shared" si="3"/>
        <v>225600</v>
      </c>
      <c r="T631" s="9">
        <v>0.05</v>
      </c>
      <c r="U631" s="8">
        <f t="shared" si="4"/>
        <v>11280</v>
      </c>
      <c r="V631" s="8">
        <f t="shared" si="5"/>
        <v>214320</v>
      </c>
      <c r="W631" s="10">
        <f t="shared" si="6"/>
        <v>141600</v>
      </c>
      <c r="X631" s="10">
        <f t="shared" si="7"/>
        <v>72720</v>
      </c>
      <c r="Y631" s="10"/>
      <c r="Z631" s="10"/>
      <c r="AA631" s="10"/>
      <c r="AB631" s="4" t="s">
        <v>2024</v>
      </c>
      <c r="AC631" s="4" t="s">
        <v>2023</v>
      </c>
      <c r="AD631" s="4">
        <v>43408.0</v>
      </c>
      <c r="AE631" s="4">
        <v>2018.0</v>
      </c>
      <c r="AF631" s="4" t="s">
        <v>379</v>
      </c>
      <c r="AG631" s="4" t="s">
        <v>173</v>
      </c>
      <c r="AH631" s="4" t="s">
        <v>31</v>
      </c>
      <c r="AI631" s="4" t="s">
        <v>68</v>
      </c>
      <c r="AJ631" s="4" t="s">
        <v>43</v>
      </c>
      <c r="AK631" s="4" t="s">
        <v>53</v>
      </c>
      <c r="AL631" s="4" t="s">
        <v>294</v>
      </c>
      <c r="AM631" s="4" t="s">
        <v>36</v>
      </c>
      <c r="AN631" s="4" t="s">
        <v>37</v>
      </c>
      <c r="AO631" s="4" t="s">
        <v>38</v>
      </c>
      <c r="AP631" s="4">
        <v>43409.0</v>
      </c>
      <c r="AQ631" s="4">
        <v>17700.0</v>
      </c>
      <c r="AR631" s="4">
        <v>28200.0</v>
      </c>
      <c r="AS631" s="4">
        <v>10500.0</v>
      </c>
      <c r="AT631" s="4">
        <v>8.0</v>
      </c>
      <c r="AU631" s="4">
        <v>225600.0</v>
      </c>
      <c r="AV631" s="4">
        <v>0.05</v>
      </c>
      <c r="AW631" s="4">
        <v>11280.0</v>
      </c>
      <c r="AX631" s="4">
        <v>214320.0</v>
      </c>
      <c r="AY631" s="4">
        <v>141600.0</v>
      </c>
      <c r="AZ631" s="4">
        <v>72720.0</v>
      </c>
    </row>
    <row r="632" ht="15.75" customHeight="1">
      <c r="A632" s="3" t="s">
        <v>2025</v>
      </c>
      <c r="B632" s="5">
        <v>43409.0</v>
      </c>
      <c r="C632" s="6">
        <f t="shared" si="1"/>
        <v>2018</v>
      </c>
      <c r="D632" s="7" t="s">
        <v>2026</v>
      </c>
      <c r="E632" s="7" t="s">
        <v>103</v>
      </c>
      <c r="F632" s="7" t="s">
        <v>31</v>
      </c>
      <c r="G632" s="5" t="s">
        <v>32</v>
      </c>
      <c r="H632" s="7" t="s">
        <v>43</v>
      </c>
      <c r="I632" s="7" t="s">
        <v>34</v>
      </c>
      <c r="J632" s="7" t="s">
        <v>1446</v>
      </c>
      <c r="K632" s="7" t="s">
        <v>36</v>
      </c>
      <c r="L632" s="7" t="s">
        <v>37</v>
      </c>
      <c r="M632" s="7" t="s">
        <v>38</v>
      </c>
      <c r="N632" s="5">
        <v>43411.0</v>
      </c>
      <c r="O632" s="8">
        <v>17850.0</v>
      </c>
      <c r="P632" s="8">
        <v>29700.0</v>
      </c>
      <c r="Q632" s="8">
        <f t="shared" si="2"/>
        <v>11850</v>
      </c>
      <c r="R632" s="8">
        <v>21.0</v>
      </c>
      <c r="S632" s="8">
        <f t="shared" si="3"/>
        <v>623700</v>
      </c>
      <c r="T632" s="9">
        <v>0.01</v>
      </c>
      <c r="U632" s="8">
        <f t="shared" si="4"/>
        <v>6237</v>
      </c>
      <c r="V632" s="8">
        <f t="shared" si="5"/>
        <v>617463</v>
      </c>
      <c r="W632" s="10">
        <f t="shared" si="6"/>
        <v>374850</v>
      </c>
      <c r="X632" s="10">
        <f t="shared" si="7"/>
        <v>242613</v>
      </c>
      <c r="Y632" s="10"/>
      <c r="Z632" s="10"/>
      <c r="AA632" s="10"/>
      <c r="AB632" s="4" t="s">
        <v>2027</v>
      </c>
      <c r="AC632" s="4" t="s">
        <v>2025</v>
      </c>
      <c r="AD632" s="4">
        <v>43409.0</v>
      </c>
      <c r="AE632" s="4">
        <v>2018.0</v>
      </c>
      <c r="AF632" s="4" t="s">
        <v>2026</v>
      </c>
      <c r="AG632" s="4" t="s">
        <v>103</v>
      </c>
      <c r="AH632" s="4" t="s">
        <v>31</v>
      </c>
      <c r="AI632" s="4" t="s">
        <v>32</v>
      </c>
      <c r="AJ632" s="4" t="s">
        <v>43</v>
      </c>
      <c r="AK632" s="4" t="s">
        <v>34</v>
      </c>
      <c r="AL632" s="4" t="s">
        <v>1446</v>
      </c>
      <c r="AM632" s="4" t="s">
        <v>36</v>
      </c>
      <c r="AN632" s="4" t="s">
        <v>37</v>
      </c>
      <c r="AO632" s="4" t="s">
        <v>38</v>
      </c>
      <c r="AP632" s="4">
        <v>43411.0</v>
      </c>
      <c r="AQ632" s="4">
        <v>17850.0</v>
      </c>
      <c r="AR632" s="4">
        <v>29700.0</v>
      </c>
      <c r="AS632" s="4">
        <v>11850.0</v>
      </c>
      <c r="AT632" s="4">
        <v>21.0</v>
      </c>
      <c r="AU632" s="4">
        <v>623700.0</v>
      </c>
      <c r="AV632" s="4">
        <v>0.01</v>
      </c>
      <c r="AW632" s="4">
        <v>6237.0</v>
      </c>
      <c r="AX632" s="4">
        <v>617463.0</v>
      </c>
      <c r="AY632" s="4">
        <v>374850.0</v>
      </c>
      <c r="AZ632" s="4">
        <v>242613.0</v>
      </c>
    </row>
    <row r="633" ht="15.75" customHeight="1">
      <c r="A633" s="3" t="s">
        <v>2028</v>
      </c>
      <c r="B633" s="5">
        <v>43409.0</v>
      </c>
      <c r="C633" s="6">
        <f t="shared" si="1"/>
        <v>2018</v>
      </c>
      <c r="D633" s="7" t="s">
        <v>1213</v>
      </c>
      <c r="E633" s="7" t="s">
        <v>466</v>
      </c>
      <c r="F633" s="7" t="s">
        <v>50</v>
      </c>
      <c r="G633" s="5" t="s">
        <v>51</v>
      </c>
      <c r="H633" s="7" t="s">
        <v>110</v>
      </c>
      <c r="I633" s="7" t="s">
        <v>34</v>
      </c>
      <c r="J633" s="7" t="s">
        <v>796</v>
      </c>
      <c r="K633" s="7" t="s">
        <v>36</v>
      </c>
      <c r="L633" s="7" t="s">
        <v>45</v>
      </c>
      <c r="M633" s="7" t="s">
        <v>38</v>
      </c>
      <c r="N633" s="5">
        <v>43411.0</v>
      </c>
      <c r="O633" s="8">
        <v>26400.0</v>
      </c>
      <c r="P633" s="8">
        <v>44100.0</v>
      </c>
      <c r="Q633" s="8">
        <f t="shared" si="2"/>
        <v>17700</v>
      </c>
      <c r="R633" s="8">
        <v>35.0</v>
      </c>
      <c r="S633" s="8">
        <f t="shared" si="3"/>
        <v>1543500</v>
      </c>
      <c r="T633" s="9">
        <v>0.09</v>
      </c>
      <c r="U633" s="8">
        <f t="shared" si="4"/>
        <v>138915</v>
      </c>
      <c r="V633" s="8">
        <f t="shared" si="5"/>
        <v>1404585</v>
      </c>
      <c r="W633" s="10">
        <f t="shared" si="6"/>
        <v>924000</v>
      </c>
      <c r="X633" s="10">
        <f t="shared" si="7"/>
        <v>480585</v>
      </c>
      <c r="Y633" s="10"/>
      <c r="Z633" s="10"/>
      <c r="AA633" s="10"/>
      <c r="AB633" s="4" t="s">
        <v>2029</v>
      </c>
      <c r="AC633" s="4" t="s">
        <v>2028</v>
      </c>
      <c r="AD633" s="4">
        <v>43409.0</v>
      </c>
      <c r="AE633" s="4">
        <v>2018.0</v>
      </c>
      <c r="AF633" s="4" t="s">
        <v>1213</v>
      </c>
      <c r="AG633" s="4" t="s">
        <v>466</v>
      </c>
      <c r="AH633" s="4" t="s">
        <v>50</v>
      </c>
      <c r="AI633" s="4" t="s">
        <v>51</v>
      </c>
      <c r="AJ633" s="4" t="s">
        <v>110</v>
      </c>
      <c r="AK633" s="4" t="s">
        <v>34</v>
      </c>
      <c r="AL633" s="4" t="s">
        <v>796</v>
      </c>
      <c r="AM633" s="4" t="s">
        <v>36</v>
      </c>
      <c r="AN633" s="4" t="s">
        <v>45</v>
      </c>
      <c r="AO633" s="4" t="s">
        <v>38</v>
      </c>
      <c r="AP633" s="4">
        <v>43411.0</v>
      </c>
      <c r="AQ633" s="4">
        <v>26400.0</v>
      </c>
      <c r="AR633" s="4">
        <v>44100.0</v>
      </c>
      <c r="AS633" s="4">
        <v>17700.0</v>
      </c>
      <c r="AT633" s="4">
        <v>35.0</v>
      </c>
      <c r="AU633" s="4">
        <v>1543500.0</v>
      </c>
      <c r="AV633" s="4">
        <v>0.09</v>
      </c>
      <c r="AW633" s="4">
        <v>138915.0</v>
      </c>
      <c r="AX633" s="4">
        <v>1404585.0</v>
      </c>
      <c r="AY633" s="4">
        <v>924000.0</v>
      </c>
      <c r="AZ633" s="4">
        <v>480585.0</v>
      </c>
    </row>
    <row r="634" ht="15.75" customHeight="1">
      <c r="A634" s="3" t="s">
        <v>2030</v>
      </c>
      <c r="B634" s="5">
        <v>43410.0</v>
      </c>
      <c r="C634" s="6">
        <f t="shared" si="1"/>
        <v>2018</v>
      </c>
      <c r="D634" s="7" t="s">
        <v>2031</v>
      </c>
      <c r="E634" s="7" t="s">
        <v>364</v>
      </c>
      <c r="F634" s="7" t="s">
        <v>31</v>
      </c>
      <c r="G634" s="5" t="s">
        <v>32</v>
      </c>
      <c r="H634" s="7" t="s">
        <v>33</v>
      </c>
      <c r="I634" s="7" t="s">
        <v>34</v>
      </c>
      <c r="J634" s="7" t="s">
        <v>1224</v>
      </c>
      <c r="K634" s="7" t="s">
        <v>36</v>
      </c>
      <c r="L634" s="7" t="s">
        <v>45</v>
      </c>
      <c r="M634" s="7" t="s">
        <v>55</v>
      </c>
      <c r="N634" s="5">
        <v>43411.0</v>
      </c>
      <c r="O634" s="8">
        <v>28200.0</v>
      </c>
      <c r="P634" s="8">
        <v>47100.0</v>
      </c>
      <c r="Q634" s="8">
        <f t="shared" si="2"/>
        <v>18900</v>
      </c>
      <c r="R634" s="8">
        <v>43.0</v>
      </c>
      <c r="S634" s="8">
        <f t="shared" si="3"/>
        <v>2025300</v>
      </c>
      <c r="T634" s="9">
        <v>0.07</v>
      </c>
      <c r="U634" s="8">
        <f t="shared" si="4"/>
        <v>141771</v>
      </c>
      <c r="V634" s="8">
        <f t="shared" si="5"/>
        <v>1883529</v>
      </c>
      <c r="W634" s="10">
        <f t="shared" si="6"/>
        <v>1212600</v>
      </c>
      <c r="X634" s="10">
        <f t="shared" si="7"/>
        <v>670929</v>
      </c>
      <c r="Y634" s="10"/>
      <c r="Z634" s="10"/>
      <c r="AA634" s="10"/>
      <c r="AB634" s="4" t="s">
        <v>2032</v>
      </c>
      <c r="AC634" s="4" t="s">
        <v>2030</v>
      </c>
      <c r="AD634" s="4">
        <v>43410.0</v>
      </c>
      <c r="AE634" s="4">
        <v>2018.0</v>
      </c>
      <c r="AF634" s="4" t="s">
        <v>2031</v>
      </c>
      <c r="AG634" s="4" t="s">
        <v>364</v>
      </c>
      <c r="AH634" s="4" t="s">
        <v>31</v>
      </c>
      <c r="AI634" s="4" t="s">
        <v>32</v>
      </c>
      <c r="AJ634" s="4" t="s">
        <v>33</v>
      </c>
      <c r="AK634" s="4" t="s">
        <v>34</v>
      </c>
      <c r="AL634" s="4" t="s">
        <v>1224</v>
      </c>
      <c r="AM634" s="4" t="s">
        <v>36</v>
      </c>
      <c r="AN634" s="4" t="s">
        <v>45</v>
      </c>
      <c r="AO634" s="4" t="s">
        <v>55</v>
      </c>
      <c r="AP634" s="4">
        <v>43411.0</v>
      </c>
      <c r="AQ634" s="4">
        <v>28200.0</v>
      </c>
      <c r="AR634" s="4">
        <v>47100.0</v>
      </c>
      <c r="AS634" s="4">
        <v>18900.0</v>
      </c>
      <c r="AT634" s="4">
        <v>43.0</v>
      </c>
      <c r="AU634" s="4">
        <v>2025300.0</v>
      </c>
      <c r="AV634" s="4">
        <v>0.07</v>
      </c>
      <c r="AW634" s="4">
        <v>141771.0</v>
      </c>
      <c r="AX634" s="4">
        <v>1883529.0</v>
      </c>
      <c r="AY634" s="4">
        <v>1212600.0</v>
      </c>
      <c r="AZ634" s="4">
        <v>670929.0</v>
      </c>
    </row>
    <row r="635" ht="15.75" customHeight="1">
      <c r="A635" s="3" t="s">
        <v>2033</v>
      </c>
      <c r="B635" s="5">
        <v>43410.0</v>
      </c>
      <c r="C635" s="6">
        <f t="shared" si="1"/>
        <v>2018</v>
      </c>
      <c r="D635" s="7" t="s">
        <v>2031</v>
      </c>
      <c r="E635" s="7" t="s">
        <v>364</v>
      </c>
      <c r="F635" s="7" t="s">
        <v>31</v>
      </c>
      <c r="G635" s="5" t="s">
        <v>32</v>
      </c>
      <c r="H635" s="7" t="s">
        <v>33</v>
      </c>
      <c r="I635" s="7" t="s">
        <v>34</v>
      </c>
      <c r="J635" s="7" t="s">
        <v>543</v>
      </c>
      <c r="K635" s="7" t="s">
        <v>36</v>
      </c>
      <c r="L635" s="7" t="s">
        <v>127</v>
      </c>
      <c r="M635" s="7" t="s">
        <v>38</v>
      </c>
      <c r="N635" s="5">
        <v>43412.0</v>
      </c>
      <c r="O635" s="8">
        <v>21900.0</v>
      </c>
      <c r="P635" s="8">
        <v>53550.0</v>
      </c>
      <c r="Q635" s="8">
        <f t="shared" si="2"/>
        <v>31650</v>
      </c>
      <c r="R635" s="8">
        <v>19.0</v>
      </c>
      <c r="S635" s="8">
        <f t="shared" si="3"/>
        <v>1017450</v>
      </c>
      <c r="T635" s="9">
        <v>0.08</v>
      </c>
      <c r="U635" s="8">
        <f t="shared" si="4"/>
        <v>81396</v>
      </c>
      <c r="V635" s="8">
        <f t="shared" si="5"/>
        <v>936054</v>
      </c>
      <c r="W635" s="10">
        <f t="shared" si="6"/>
        <v>416100</v>
      </c>
      <c r="X635" s="10">
        <f t="shared" si="7"/>
        <v>519954</v>
      </c>
      <c r="Y635" s="10"/>
      <c r="Z635" s="10"/>
      <c r="AA635" s="10"/>
      <c r="AB635" s="4" t="s">
        <v>2034</v>
      </c>
      <c r="AC635" s="4" t="s">
        <v>2033</v>
      </c>
      <c r="AD635" s="4">
        <v>43410.0</v>
      </c>
      <c r="AE635" s="4">
        <v>2018.0</v>
      </c>
      <c r="AF635" s="4" t="s">
        <v>2031</v>
      </c>
      <c r="AG635" s="4" t="s">
        <v>364</v>
      </c>
      <c r="AH635" s="4" t="s">
        <v>31</v>
      </c>
      <c r="AI635" s="4" t="s">
        <v>32</v>
      </c>
      <c r="AJ635" s="4" t="s">
        <v>33</v>
      </c>
      <c r="AK635" s="4" t="s">
        <v>34</v>
      </c>
      <c r="AL635" s="4" t="s">
        <v>543</v>
      </c>
      <c r="AM635" s="4" t="s">
        <v>36</v>
      </c>
      <c r="AN635" s="4" t="s">
        <v>127</v>
      </c>
      <c r="AO635" s="4" t="s">
        <v>38</v>
      </c>
      <c r="AP635" s="4">
        <v>43412.0</v>
      </c>
      <c r="AQ635" s="4">
        <v>21900.0</v>
      </c>
      <c r="AR635" s="4">
        <v>53550.0</v>
      </c>
      <c r="AS635" s="4">
        <v>31650.0</v>
      </c>
      <c r="AT635" s="4">
        <v>19.0</v>
      </c>
      <c r="AU635" s="4">
        <v>1017450.0</v>
      </c>
      <c r="AV635" s="4">
        <v>0.08</v>
      </c>
      <c r="AW635" s="4">
        <v>81396.0</v>
      </c>
      <c r="AX635" s="4">
        <v>936054.0</v>
      </c>
      <c r="AY635" s="4">
        <v>416100.0</v>
      </c>
      <c r="AZ635" s="4">
        <v>519954.0</v>
      </c>
    </row>
    <row r="636" ht="15.75" customHeight="1">
      <c r="A636" s="3" t="s">
        <v>2035</v>
      </c>
      <c r="B636" s="5">
        <v>43410.0</v>
      </c>
      <c r="C636" s="6">
        <f t="shared" si="1"/>
        <v>2018</v>
      </c>
      <c r="D636" s="7" t="s">
        <v>1843</v>
      </c>
      <c r="E636" s="7" t="s">
        <v>542</v>
      </c>
      <c r="F636" s="7" t="s">
        <v>31</v>
      </c>
      <c r="G636" s="5" t="s">
        <v>32</v>
      </c>
      <c r="H636" s="7" t="s">
        <v>33</v>
      </c>
      <c r="I636" s="7" t="s">
        <v>53</v>
      </c>
      <c r="J636" s="7" t="s">
        <v>428</v>
      </c>
      <c r="K636" s="7" t="s">
        <v>36</v>
      </c>
      <c r="L636" s="7" t="s">
        <v>37</v>
      </c>
      <c r="M636" s="7" t="s">
        <v>38</v>
      </c>
      <c r="N636" s="5">
        <v>43413.0</v>
      </c>
      <c r="O636" s="8">
        <v>29700.0</v>
      </c>
      <c r="P636" s="8">
        <v>47250.0</v>
      </c>
      <c r="Q636" s="8">
        <f t="shared" si="2"/>
        <v>17550</v>
      </c>
      <c r="R636" s="8">
        <v>17.0</v>
      </c>
      <c r="S636" s="8">
        <f t="shared" si="3"/>
        <v>803250</v>
      </c>
      <c r="T636" s="9">
        <v>0.05</v>
      </c>
      <c r="U636" s="8">
        <f t="shared" si="4"/>
        <v>40162.5</v>
      </c>
      <c r="V636" s="8">
        <f t="shared" si="5"/>
        <v>763087.5</v>
      </c>
      <c r="W636" s="10">
        <f t="shared" si="6"/>
        <v>504900</v>
      </c>
      <c r="X636" s="10">
        <f t="shared" si="7"/>
        <v>258187.5</v>
      </c>
      <c r="Y636" s="10"/>
      <c r="Z636" s="10"/>
      <c r="AA636" s="10"/>
      <c r="AB636" s="4" t="s">
        <v>2036</v>
      </c>
      <c r="AC636" s="4" t="s">
        <v>2035</v>
      </c>
      <c r="AD636" s="4">
        <v>43410.0</v>
      </c>
      <c r="AE636" s="4">
        <v>2018.0</v>
      </c>
      <c r="AF636" s="4" t="s">
        <v>1843</v>
      </c>
      <c r="AG636" s="4" t="s">
        <v>542</v>
      </c>
      <c r="AH636" s="4" t="s">
        <v>31</v>
      </c>
      <c r="AI636" s="4" t="s">
        <v>32</v>
      </c>
      <c r="AJ636" s="4" t="s">
        <v>33</v>
      </c>
      <c r="AK636" s="4" t="s">
        <v>53</v>
      </c>
      <c r="AL636" s="4" t="s">
        <v>428</v>
      </c>
      <c r="AM636" s="4" t="s">
        <v>36</v>
      </c>
      <c r="AN636" s="4" t="s">
        <v>37</v>
      </c>
      <c r="AO636" s="4" t="s">
        <v>38</v>
      </c>
      <c r="AP636" s="4">
        <v>43413.0</v>
      </c>
      <c r="AQ636" s="4">
        <v>29700.0</v>
      </c>
      <c r="AR636" s="4">
        <v>47250.0</v>
      </c>
      <c r="AS636" s="4">
        <v>17550.0</v>
      </c>
      <c r="AT636" s="4">
        <v>17.0</v>
      </c>
      <c r="AU636" s="4">
        <v>803250.0</v>
      </c>
      <c r="AV636" s="4">
        <v>0.05</v>
      </c>
      <c r="AW636" s="4">
        <v>40162.5</v>
      </c>
      <c r="AX636" s="4">
        <v>763087.5</v>
      </c>
      <c r="AY636" s="4">
        <v>504900.0</v>
      </c>
      <c r="AZ636" s="4">
        <v>258187.5</v>
      </c>
    </row>
    <row r="637" ht="15.75" customHeight="1">
      <c r="A637" s="3" t="s">
        <v>2037</v>
      </c>
      <c r="B637" s="5">
        <v>43411.0</v>
      </c>
      <c r="C637" s="6">
        <f t="shared" si="1"/>
        <v>2018</v>
      </c>
      <c r="D637" s="7" t="s">
        <v>198</v>
      </c>
      <c r="E637" s="7" t="s">
        <v>199</v>
      </c>
      <c r="F637" s="7" t="s">
        <v>50</v>
      </c>
      <c r="G637" s="5" t="s">
        <v>68</v>
      </c>
      <c r="H637" s="7" t="s">
        <v>200</v>
      </c>
      <c r="I637" s="7" t="s">
        <v>104</v>
      </c>
      <c r="J637" s="7" t="s">
        <v>135</v>
      </c>
      <c r="K637" s="7" t="s">
        <v>36</v>
      </c>
      <c r="L637" s="7" t="s">
        <v>37</v>
      </c>
      <c r="M637" s="7" t="s">
        <v>55</v>
      </c>
      <c r="N637" s="5">
        <v>43412.0</v>
      </c>
      <c r="O637" s="8">
        <v>68850.0</v>
      </c>
      <c r="P637" s="8">
        <v>109200.0</v>
      </c>
      <c r="Q637" s="8">
        <f t="shared" si="2"/>
        <v>40350</v>
      </c>
      <c r="R637" s="8">
        <v>20.0</v>
      </c>
      <c r="S637" s="8">
        <f t="shared" si="3"/>
        <v>2184000</v>
      </c>
      <c r="T637" s="9">
        <v>0.1</v>
      </c>
      <c r="U637" s="8">
        <f t="shared" si="4"/>
        <v>218400</v>
      </c>
      <c r="V637" s="8">
        <f t="shared" si="5"/>
        <v>1965600</v>
      </c>
      <c r="W637" s="10">
        <f t="shared" si="6"/>
        <v>1377000</v>
      </c>
      <c r="X637" s="10">
        <f t="shared" si="7"/>
        <v>588600</v>
      </c>
      <c r="Y637" s="10"/>
      <c r="Z637" s="10"/>
      <c r="AA637" s="10"/>
      <c r="AB637" s="4" t="s">
        <v>2038</v>
      </c>
      <c r="AC637" s="4" t="s">
        <v>2037</v>
      </c>
      <c r="AD637" s="4">
        <v>43411.0</v>
      </c>
      <c r="AE637" s="4">
        <v>2018.0</v>
      </c>
      <c r="AF637" s="4" t="s">
        <v>198</v>
      </c>
      <c r="AG637" s="4" t="s">
        <v>199</v>
      </c>
      <c r="AH637" s="4" t="s">
        <v>50</v>
      </c>
      <c r="AI637" s="4" t="s">
        <v>68</v>
      </c>
      <c r="AJ637" s="4" t="s">
        <v>200</v>
      </c>
      <c r="AK637" s="4" t="s">
        <v>104</v>
      </c>
      <c r="AL637" s="4" t="s">
        <v>135</v>
      </c>
      <c r="AM637" s="4" t="s">
        <v>36</v>
      </c>
      <c r="AN637" s="4" t="s">
        <v>37</v>
      </c>
      <c r="AO637" s="4" t="s">
        <v>55</v>
      </c>
      <c r="AP637" s="4">
        <v>43412.0</v>
      </c>
      <c r="AQ637" s="4">
        <v>68850.0</v>
      </c>
      <c r="AR637" s="4">
        <v>109200.0</v>
      </c>
      <c r="AS637" s="4">
        <v>40350.0</v>
      </c>
      <c r="AT637" s="4">
        <v>20.0</v>
      </c>
      <c r="AU637" s="4">
        <v>2184000.0</v>
      </c>
      <c r="AV637" s="4">
        <v>0.1</v>
      </c>
      <c r="AW637" s="4">
        <v>218400.0</v>
      </c>
      <c r="AX637" s="4">
        <v>1965600.0</v>
      </c>
      <c r="AY637" s="4">
        <v>1377000.0</v>
      </c>
      <c r="AZ637" s="4">
        <v>588600.0</v>
      </c>
    </row>
    <row r="638" ht="15.75" customHeight="1">
      <c r="A638" s="3" t="s">
        <v>2039</v>
      </c>
      <c r="B638" s="5">
        <v>43411.0</v>
      </c>
      <c r="C638" s="6">
        <f t="shared" si="1"/>
        <v>2018</v>
      </c>
      <c r="D638" s="7" t="s">
        <v>1427</v>
      </c>
      <c r="E638" s="7" t="s">
        <v>1428</v>
      </c>
      <c r="F638" s="7" t="s">
        <v>50</v>
      </c>
      <c r="G638" s="5" t="s">
        <v>51</v>
      </c>
      <c r="H638" s="7" t="s">
        <v>110</v>
      </c>
      <c r="I638" s="7" t="s">
        <v>34</v>
      </c>
      <c r="J638" s="7" t="s">
        <v>739</v>
      </c>
      <c r="K638" s="7" t="s">
        <v>36</v>
      </c>
      <c r="L638" s="7" t="s">
        <v>37</v>
      </c>
      <c r="M638" s="7" t="s">
        <v>38</v>
      </c>
      <c r="N638" s="5">
        <v>43411.0</v>
      </c>
      <c r="O638" s="8">
        <v>67950.0</v>
      </c>
      <c r="P638" s="8">
        <v>109500.0</v>
      </c>
      <c r="Q638" s="8">
        <f t="shared" si="2"/>
        <v>41550</v>
      </c>
      <c r="R638" s="8">
        <v>12.0</v>
      </c>
      <c r="S638" s="8">
        <f t="shared" si="3"/>
        <v>1314000</v>
      </c>
      <c r="T638" s="9">
        <v>0.03</v>
      </c>
      <c r="U638" s="8">
        <f t="shared" si="4"/>
        <v>39420</v>
      </c>
      <c r="V638" s="8">
        <f t="shared" si="5"/>
        <v>1274580</v>
      </c>
      <c r="W638" s="10">
        <f t="shared" si="6"/>
        <v>815400</v>
      </c>
      <c r="X638" s="10">
        <f t="shared" si="7"/>
        <v>459180</v>
      </c>
      <c r="Y638" s="10"/>
      <c r="Z638" s="10"/>
      <c r="AA638" s="10"/>
      <c r="AB638" s="4" t="s">
        <v>2040</v>
      </c>
      <c r="AC638" s="4" t="s">
        <v>2039</v>
      </c>
      <c r="AD638" s="4">
        <v>43411.0</v>
      </c>
      <c r="AE638" s="4">
        <v>2018.0</v>
      </c>
      <c r="AF638" s="4" t="s">
        <v>1427</v>
      </c>
      <c r="AG638" s="4" t="s">
        <v>1428</v>
      </c>
      <c r="AH638" s="4" t="s">
        <v>50</v>
      </c>
      <c r="AI638" s="4" t="s">
        <v>51</v>
      </c>
      <c r="AJ638" s="4" t="s">
        <v>110</v>
      </c>
      <c r="AK638" s="4" t="s">
        <v>34</v>
      </c>
      <c r="AL638" s="4" t="s">
        <v>739</v>
      </c>
      <c r="AM638" s="4" t="s">
        <v>36</v>
      </c>
      <c r="AN638" s="4" t="s">
        <v>37</v>
      </c>
      <c r="AO638" s="4" t="s">
        <v>38</v>
      </c>
      <c r="AP638" s="4">
        <v>43411.0</v>
      </c>
      <c r="AQ638" s="4">
        <v>67950.0</v>
      </c>
      <c r="AR638" s="4">
        <v>109500.0</v>
      </c>
      <c r="AS638" s="4">
        <v>41550.0</v>
      </c>
      <c r="AT638" s="4">
        <v>12.0</v>
      </c>
      <c r="AU638" s="4">
        <v>1314000.0</v>
      </c>
      <c r="AV638" s="4">
        <v>0.03</v>
      </c>
      <c r="AW638" s="4">
        <v>39420.0</v>
      </c>
      <c r="AX638" s="4">
        <v>1274580.0</v>
      </c>
      <c r="AY638" s="4">
        <v>815400.0</v>
      </c>
      <c r="AZ638" s="4">
        <v>459180.0</v>
      </c>
    </row>
    <row r="639" ht="15.75" customHeight="1">
      <c r="A639" s="3" t="s">
        <v>2041</v>
      </c>
      <c r="B639" s="5">
        <v>43412.0</v>
      </c>
      <c r="C639" s="6">
        <f t="shared" si="1"/>
        <v>2018</v>
      </c>
      <c r="D639" s="7" t="s">
        <v>1604</v>
      </c>
      <c r="E639" s="7" t="s">
        <v>183</v>
      </c>
      <c r="F639" s="7" t="s">
        <v>31</v>
      </c>
      <c r="G639" s="5" t="s">
        <v>91</v>
      </c>
      <c r="H639" s="7" t="s">
        <v>43</v>
      </c>
      <c r="I639" s="7" t="s">
        <v>74</v>
      </c>
      <c r="J639" s="7" t="s">
        <v>567</v>
      </c>
      <c r="K639" s="7" t="s">
        <v>36</v>
      </c>
      <c r="L639" s="7" t="s">
        <v>45</v>
      </c>
      <c r="M639" s="7" t="s">
        <v>55</v>
      </c>
      <c r="N639" s="5">
        <v>43416.0</v>
      </c>
      <c r="O639" s="8">
        <v>13950.0</v>
      </c>
      <c r="P639" s="8">
        <v>22200.0</v>
      </c>
      <c r="Q639" s="8">
        <f t="shared" si="2"/>
        <v>8250</v>
      </c>
      <c r="R639" s="8">
        <v>37.0</v>
      </c>
      <c r="S639" s="8">
        <f t="shared" si="3"/>
        <v>821400</v>
      </c>
      <c r="T639" s="9">
        <v>0.04</v>
      </c>
      <c r="U639" s="8">
        <f t="shared" si="4"/>
        <v>32856</v>
      </c>
      <c r="V639" s="8">
        <f t="shared" si="5"/>
        <v>788544</v>
      </c>
      <c r="W639" s="10">
        <f t="shared" si="6"/>
        <v>516150</v>
      </c>
      <c r="X639" s="10">
        <f t="shared" si="7"/>
        <v>272394</v>
      </c>
      <c r="Y639" s="10"/>
      <c r="Z639" s="10"/>
      <c r="AA639" s="10"/>
      <c r="AB639" s="4" t="s">
        <v>2042</v>
      </c>
      <c r="AC639" s="4" t="s">
        <v>2041</v>
      </c>
      <c r="AD639" s="4">
        <v>43412.0</v>
      </c>
      <c r="AE639" s="4">
        <v>2018.0</v>
      </c>
      <c r="AF639" s="4" t="s">
        <v>1604</v>
      </c>
      <c r="AG639" s="4" t="s">
        <v>183</v>
      </c>
      <c r="AH639" s="4" t="s">
        <v>31</v>
      </c>
      <c r="AI639" s="4" t="s">
        <v>91</v>
      </c>
      <c r="AJ639" s="4" t="s">
        <v>43</v>
      </c>
      <c r="AK639" s="4" t="s">
        <v>74</v>
      </c>
      <c r="AL639" s="4" t="s">
        <v>567</v>
      </c>
      <c r="AM639" s="4" t="s">
        <v>36</v>
      </c>
      <c r="AN639" s="4" t="s">
        <v>45</v>
      </c>
      <c r="AO639" s="4" t="s">
        <v>55</v>
      </c>
      <c r="AP639" s="4">
        <v>43416.0</v>
      </c>
      <c r="AQ639" s="4">
        <v>13950.0</v>
      </c>
      <c r="AR639" s="4">
        <v>22200.0</v>
      </c>
      <c r="AS639" s="4">
        <v>8250.0</v>
      </c>
      <c r="AT639" s="4">
        <v>37.0</v>
      </c>
      <c r="AU639" s="4">
        <v>821400.0</v>
      </c>
      <c r="AV639" s="4">
        <v>0.04</v>
      </c>
      <c r="AW639" s="4">
        <v>32856.0</v>
      </c>
      <c r="AX639" s="4">
        <v>788544.0</v>
      </c>
      <c r="AY639" s="4">
        <v>516150.0</v>
      </c>
      <c r="AZ639" s="4">
        <v>272394.0</v>
      </c>
    </row>
    <row r="640" ht="15.75" customHeight="1">
      <c r="A640" s="3" t="s">
        <v>2043</v>
      </c>
      <c r="B640" s="5">
        <v>43412.0</v>
      </c>
      <c r="C640" s="6">
        <f t="shared" si="1"/>
        <v>2018</v>
      </c>
      <c r="D640" s="7" t="s">
        <v>1604</v>
      </c>
      <c r="E640" s="7" t="s">
        <v>183</v>
      </c>
      <c r="F640" s="7" t="s">
        <v>31</v>
      </c>
      <c r="G640" s="5" t="s">
        <v>91</v>
      </c>
      <c r="H640" s="7" t="s">
        <v>43</v>
      </c>
      <c r="I640" s="7" t="s">
        <v>74</v>
      </c>
      <c r="J640" s="7" t="s">
        <v>404</v>
      </c>
      <c r="K640" s="7" t="s">
        <v>36</v>
      </c>
      <c r="L640" s="7" t="s">
        <v>45</v>
      </c>
      <c r="M640" s="7" t="s">
        <v>38</v>
      </c>
      <c r="N640" s="5">
        <v>43417.0</v>
      </c>
      <c r="O640" s="8">
        <v>166650.0</v>
      </c>
      <c r="P640" s="8">
        <v>297600.0</v>
      </c>
      <c r="Q640" s="8">
        <f t="shared" si="2"/>
        <v>130950</v>
      </c>
      <c r="R640" s="8">
        <v>28.0</v>
      </c>
      <c r="S640" s="8">
        <f t="shared" si="3"/>
        <v>8332800</v>
      </c>
      <c r="T640" s="9">
        <v>0.08</v>
      </c>
      <c r="U640" s="8">
        <f t="shared" si="4"/>
        <v>666624</v>
      </c>
      <c r="V640" s="8">
        <f t="shared" si="5"/>
        <v>7666176</v>
      </c>
      <c r="W640" s="10">
        <f t="shared" si="6"/>
        <v>4666200</v>
      </c>
      <c r="X640" s="10">
        <f t="shared" si="7"/>
        <v>2999976</v>
      </c>
      <c r="Y640" s="10"/>
      <c r="Z640" s="10"/>
      <c r="AA640" s="10"/>
      <c r="AB640" s="4" t="s">
        <v>2044</v>
      </c>
      <c r="AC640" s="4" t="s">
        <v>2043</v>
      </c>
      <c r="AD640" s="4">
        <v>43412.0</v>
      </c>
      <c r="AE640" s="4">
        <v>2018.0</v>
      </c>
      <c r="AF640" s="4" t="s">
        <v>1604</v>
      </c>
      <c r="AG640" s="4" t="s">
        <v>183</v>
      </c>
      <c r="AH640" s="4" t="s">
        <v>31</v>
      </c>
      <c r="AI640" s="4" t="s">
        <v>91</v>
      </c>
      <c r="AJ640" s="4" t="s">
        <v>43</v>
      </c>
      <c r="AK640" s="4" t="s">
        <v>74</v>
      </c>
      <c r="AL640" s="4" t="s">
        <v>404</v>
      </c>
      <c r="AM640" s="4" t="s">
        <v>36</v>
      </c>
      <c r="AN640" s="4" t="s">
        <v>45</v>
      </c>
      <c r="AO640" s="4" t="s">
        <v>38</v>
      </c>
      <c r="AP640" s="4">
        <v>43417.0</v>
      </c>
      <c r="AQ640" s="4">
        <v>166650.0</v>
      </c>
      <c r="AR640" s="4">
        <v>297600.0</v>
      </c>
      <c r="AS640" s="4">
        <v>130950.0</v>
      </c>
      <c r="AT640" s="4">
        <v>28.0</v>
      </c>
      <c r="AU640" s="4">
        <v>8332800.0</v>
      </c>
      <c r="AV640" s="4">
        <v>0.08</v>
      </c>
      <c r="AW640" s="4">
        <v>666624.0</v>
      </c>
      <c r="AX640" s="4">
        <v>7666176.0</v>
      </c>
      <c r="AY640" s="4">
        <v>4666200.0</v>
      </c>
      <c r="AZ640" s="4">
        <v>2999976.0</v>
      </c>
    </row>
    <row r="641" ht="15.75" customHeight="1">
      <c r="A641" s="3" t="s">
        <v>2045</v>
      </c>
      <c r="B641" s="5">
        <v>43414.0</v>
      </c>
      <c r="C641" s="6">
        <f t="shared" si="1"/>
        <v>2018</v>
      </c>
      <c r="D641" s="7" t="s">
        <v>2046</v>
      </c>
      <c r="E641" s="7" t="s">
        <v>393</v>
      </c>
      <c r="F641" s="7" t="s">
        <v>31</v>
      </c>
      <c r="G641" s="5" t="s">
        <v>51</v>
      </c>
      <c r="H641" s="7" t="s">
        <v>43</v>
      </c>
      <c r="I641" s="7" t="s">
        <v>34</v>
      </c>
      <c r="J641" s="7" t="s">
        <v>533</v>
      </c>
      <c r="K641" s="7" t="s">
        <v>36</v>
      </c>
      <c r="L641" s="7" t="s">
        <v>45</v>
      </c>
      <c r="M641" s="7" t="s">
        <v>38</v>
      </c>
      <c r="N641" s="5">
        <v>43416.0</v>
      </c>
      <c r="O641" s="8">
        <v>22950.0</v>
      </c>
      <c r="P641" s="8">
        <v>41700.0</v>
      </c>
      <c r="Q641" s="8">
        <f t="shared" si="2"/>
        <v>18750</v>
      </c>
      <c r="R641" s="8">
        <v>38.0</v>
      </c>
      <c r="S641" s="8">
        <f t="shared" si="3"/>
        <v>1584600</v>
      </c>
      <c r="T641" s="9">
        <v>0.1</v>
      </c>
      <c r="U641" s="8">
        <f t="shared" si="4"/>
        <v>158460</v>
      </c>
      <c r="V641" s="8">
        <f t="shared" si="5"/>
        <v>1426140</v>
      </c>
      <c r="W641" s="10">
        <f t="shared" si="6"/>
        <v>872100</v>
      </c>
      <c r="X641" s="10">
        <f t="shared" si="7"/>
        <v>554040</v>
      </c>
      <c r="Y641" s="10"/>
      <c r="Z641" s="10"/>
      <c r="AA641" s="10"/>
      <c r="AB641" s="4" t="s">
        <v>2047</v>
      </c>
      <c r="AC641" s="4" t="s">
        <v>2045</v>
      </c>
      <c r="AD641" s="4">
        <v>43414.0</v>
      </c>
      <c r="AE641" s="4">
        <v>2018.0</v>
      </c>
      <c r="AF641" s="4" t="s">
        <v>2046</v>
      </c>
      <c r="AG641" s="4" t="s">
        <v>393</v>
      </c>
      <c r="AH641" s="4" t="s">
        <v>31</v>
      </c>
      <c r="AI641" s="4" t="s">
        <v>51</v>
      </c>
      <c r="AJ641" s="4" t="s">
        <v>43</v>
      </c>
      <c r="AK641" s="4" t="s">
        <v>34</v>
      </c>
      <c r="AL641" s="4" t="s">
        <v>533</v>
      </c>
      <c r="AM641" s="4" t="s">
        <v>36</v>
      </c>
      <c r="AN641" s="4" t="s">
        <v>45</v>
      </c>
      <c r="AO641" s="4" t="s">
        <v>38</v>
      </c>
      <c r="AP641" s="4">
        <v>43416.0</v>
      </c>
      <c r="AQ641" s="4">
        <v>22950.0</v>
      </c>
      <c r="AR641" s="4">
        <v>41700.0</v>
      </c>
      <c r="AS641" s="4">
        <v>18750.0</v>
      </c>
      <c r="AT641" s="4">
        <v>38.0</v>
      </c>
      <c r="AU641" s="4">
        <v>1584600.0</v>
      </c>
      <c r="AV641" s="4">
        <v>0.1</v>
      </c>
      <c r="AW641" s="4">
        <v>158460.0</v>
      </c>
      <c r="AX641" s="4">
        <v>1426140.0</v>
      </c>
      <c r="AY641" s="4">
        <v>872100.0</v>
      </c>
      <c r="AZ641" s="4">
        <v>554040.0</v>
      </c>
    </row>
    <row r="642" ht="15.75" customHeight="1">
      <c r="A642" s="3" t="s">
        <v>2048</v>
      </c>
      <c r="B642" s="5">
        <v>43414.0</v>
      </c>
      <c r="C642" s="6">
        <f t="shared" si="1"/>
        <v>2018</v>
      </c>
      <c r="D642" s="7" t="s">
        <v>2049</v>
      </c>
      <c r="E642" s="7" t="s">
        <v>2050</v>
      </c>
      <c r="F642" s="7" t="s">
        <v>50</v>
      </c>
      <c r="G642" s="5" t="s">
        <v>32</v>
      </c>
      <c r="H642" s="7" t="s">
        <v>200</v>
      </c>
      <c r="I642" s="7" t="s">
        <v>92</v>
      </c>
      <c r="J642" s="7" t="s">
        <v>93</v>
      </c>
      <c r="K642" s="7" t="s">
        <v>36</v>
      </c>
      <c r="L642" s="7" t="s">
        <v>37</v>
      </c>
      <c r="M642" s="7" t="s">
        <v>38</v>
      </c>
      <c r="N642" s="5">
        <v>43415.0</v>
      </c>
      <c r="O642" s="8">
        <v>814350.0</v>
      </c>
      <c r="P642" s="8">
        <v>1357200.0</v>
      </c>
      <c r="Q642" s="8">
        <f t="shared" si="2"/>
        <v>542850</v>
      </c>
      <c r="R642" s="8">
        <v>15.0</v>
      </c>
      <c r="S642" s="8">
        <f t="shared" si="3"/>
        <v>20358000</v>
      </c>
      <c r="T642" s="9">
        <v>0.01</v>
      </c>
      <c r="U642" s="8">
        <f t="shared" si="4"/>
        <v>203580</v>
      </c>
      <c r="V642" s="8">
        <f t="shared" si="5"/>
        <v>20154420</v>
      </c>
      <c r="W642" s="10">
        <f t="shared" si="6"/>
        <v>12215250</v>
      </c>
      <c r="X642" s="10">
        <f t="shared" si="7"/>
        <v>7939170</v>
      </c>
      <c r="Y642" s="10"/>
      <c r="Z642" s="10"/>
      <c r="AA642" s="10"/>
      <c r="AB642" s="4" t="s">
        <v>2051</v>
      </c>
      <c r="AC642" s="4" t="s">
        <v>2048</v>
      </c>
      <c r="AD642" s="4">
        <v>43414.0</v>
      </c>
      <c r="AE642" s="4">
        <v>2018.0</v>
      </c>
      <c r="AF642" s="4" t="s">
        <v>2049</v>
      </c>
      <c r="AG642" s="4" t="s">
        <v>2050</v>
      </c>
      <c r="AH642" s="4" t="s">
        <v>50</v>
      </c>
      <c r="AI642" s="4" t="s">
        <v>32</v>
      </c>
      <c r="AJ642" s="4" t="s">
        <v>200</v>
      </c>
      <c r="AK642" s="4" t="s">
        <v>92</v>
      </c>
      <c r="AL642" s="4" t="s">
        <v>93</v>
      </c>
      <c r="AM642" s="4" t="s">
        <v>36</v>
      </c>
      <c r="AN642" s="4" t="s">
        <v>37</v>
      </c>
      <c r="AO642" s="4" t="s">
        <v>38</v>
      </c>
      <c r="AP642" s="4">
        <v>43415.0</v>
      </c>
      <c r="AQ642" s="4">
        <v>814350.0</v>
      </c>
      <c r="AR642" s="4">
        <v>1357200.0</v>
      </c>
      <c r="AS642" s="4">
        <v>542850.0</v>
      </c>
      <c r="AT642" s="4">
        <v>15.0</v>
      </c>
      <c r="AU642" s="4">
        <v>2.0358E7</v>
      </c>
      <c r="AV642" s="4">
        <v>0.01</v>
      </c>
      <c r="AW642" s="4">
        <v>203580.0</v>
      </c>
      <c r="AX642" s="4">
        <v>2.015442E7</v>
      </c>
      <c r="AY642" s="4">
        <v>1.221525E7</v>
      </c>
      <c r="AZ642" s="4">
        <v>7939170.0</v>
      </c>
    </row>
    <row r="643" ht="15.75" customHeight="1">
      <c r="A643" s="3" t="s">
        <v>2052</v>
      </c>
      <c r="B643" s="5">
        <v>43415.0</v>
      </c>
      <c r="C643" s="6">
        <f t="shared" si="1"/>
        <v>2018</v>
      </c>
      <c r="D643" s="7" t="s">
        <v>2053</v>
      </c>
      <c r="E643" s="7" t="s">
        <v>156</v>
      </c>
      <c r="F643" s="7" t="s">
        <v>50</v>
      </c>
      <c r="G643" s="5" t="s">
        <v>32</v>
      </c>
      <c r="H643" s="7" t="s">
        <v>110</v>
      </c>
      <c r="I643" s="7" t="s">
        <v>34</v>
      </c>
      <c r="J643" s="7" t="s">
        <v>771</v>
      </c>
      <c r="K643" s="7" t="s">
        <v>36</v>
      </c>
      <c r="L643" s="7" t="s">
        <v>37</v>
      </c>
      <c r="M643" s="7" t="s">
        <v>55</v>
      </c>
      <c r="N643" s="5">
        <v>43416.0</v>
      </c>
      <c r="O643" s="8">
        <v>34350.0</v>
      </c>
      <c r="P643" s="8">
        <v>55350.0</v>
      </c>
      <c r="Q643" s="8">
        <f t="shared" si="2"/>
        <v>21000</v>
      </c>
      <c r="R643" s="8">
        <v>48.0</v>
      </c>
      <c r="S643" s="8">
        <f t="shared" si="3"/>
        <v>2656800</v>
      </c>
      <c r="T643" s="9">
        <v>0.1</v>
      </c>
      <c r="U643" s="8">
        <f t="shared" si="4"/>
        <v>265680</v>
      </c>
      <c r="V643" s="8">
        <f t="shared" si="5"/>
        <v>2391120</v>
      </c>
      <c r="W643" s="10">
        <f t="shared" si="6"/>
        <v>1648800</v>
      </c>
      <c r="X643" s="10">
        <f t="shared" si="7"/>
        <v>742320</v>
      </c>
      <c r="Y643" s="10"/>
      <c r="Z643" s="10"/>
      <c r="AA643" s="10"/>
      <c r="AB643" s="4" t="s">
        <v>2054</v>
      </c>
      <c r="AC643" s="4" t="s">
        <v>2052</v>
      </c>
      <c r="AD643" s="4">
        <v>43415.0</v>
      </c>
      <c r="AE643" s="4">
        <v>2018.0</v>
      </c>
      <c r="AF643" s="4" t="s">
        <v>2053</v>
      </c>
      <c r="AG643" s="4" t="s">
        <v>156</v>
      </c>
      <c r="AH643" s="4" t="s">
        <v>50</v>
      </c>
      <c r="AI643" s="4" t="s">
        <v>32</v>
      </c>
      <c r="AJ643" s="4" t="s">
        <v>110</v>
      </c>
      <c r="AK643" s="4" t="s">
        <v>34</v>
      </c>
      <c r="AL643" s="4" t="s">
        <v>771</v>
      </c>
      <c r="AM643" s="4" t="s">
        <v>36</v>
      </c>
      <c r="AN643" s="4" t="s">
        <v>37</v>
      </c>
      <c r="AO643" s="4" t="s">
        <v>55</v>
      </c>
      <c r="AP643" s="4">
        <v>43416.0</v>
      </c>
      <c r="AQ643" s="4">
        <v>34350.0</v>
      </c>
      <c r="AR643" s="4">
        <v>55350.0</v>
      </c>
      <c r="AS643" s="4">
        <v>21000.0</v>
      </c>
      <c r="AT643" s="4">
        <v>48.0</v>
      </c>
      <c r="AU643" s="4">
        <v>2656800.0</v>
      </c>
      <c r="AV643" s="4">
        <v>0.1</v>
      </c>
      <c r="AW643" s="4">
        <v>265680.0</v>
      </c>
      <c r="AX643" s="4">
        <v>2391120.0</v>
      </c>
      <c r="AY643" s="4">
        <v>1648800.0</v>
      </c>
      <c r="AZ643" s="4">
        <v>742320.0</v>
      </c>
    </row>
    <row r="644" ht="15.75" customHeight="1">
      <c r="A644" s="3" t="s">
        <v>2055</v>
      </c>
      <c r="B644" s="5">
        <v>43415.0</v>
      </c>
      <c r="C644" s="6">
        <f t="shared" si="1"/>
        <v>2018</v>
      </c>
      <c r="D644" s="7" t="s">
        <v>995</v>
      </c>
      <c r="E644" s="7" t="s">
        <v>258</v>
      </c>
      <c r="F644" s="7" t="s">
        <v>50</v>
      </c>
      <c r="G644" s="5" t="s">
        <v>32</v>
      </c>
      <c r="H644" s="7" t="s">
        <v>98</v>
      </c>
      <c r="I644" s="7" t="s">
        <v>104</v>
      </c>
      <c r="J644" s="7" t="s">
        <v>1261</v>
      </c>
      <c r="K644" s="7" t="s">
        <v>61</v>
      </c>
      <c r="L644" s="7" t="s">
        <v>37</v>
      </c>
      <c r="M644" s="7" t="s">
        <v>55</v>
      </c>
      <c r="N644" s="5">
        <v>43416.0</v>
      </c>
      <c r="O644" s="8">
        <v>220500.0</v>
      </c>
      <c r="P644" s="8">
        <v>449850.0</v>
      </c>
      <c r="Q644" s="8">
        <f t="shared" si="2"/>
        <v>229350</v>
      </c>
      <c r="R644" s="8">
        <v>27.0</v>
      </c>
      <c r="S644" s="8">
        <f t="shared" si="3"/>
        <v>12145950</v>
      </c>
      <c r="T644" s="9">
        <v>0.05</v>
      </c>
      <c r="U644" s="8">
        <f t="shared" si="4"/>
        <v>607297.5</v>
      </c>
      <c r="V644" s="8">
        <f t="shared" si="5"/>
        <v>11538652.5</v>
      </c>
      <c r="W644" s="10">
        <f t="shared" si="6"/>
        <v>5953500</v>
      </c>
      <c r="X644" s="10">
        <f t="shared" si="7"/>
        <v>5585152.5</v>
      </c>
      <c r="Y644" s="10"/>
      <c r="Z644" s="10"/>
      <c r="AA644" s="10"/>
      <c r="AB644" s="4" t="s">
        <v>2056</v>
      </c>
      <c r="AC644" s="4" t="s">
        <v>2055</v>
      </c>
      <c r="AD644" s="4">
        <v>43415.0</v>
      </c>
      <c r="AE644" s="4">
        <v>2018.0</v>
      </c>
      <c r="AF644" s="4" t="s">
        <v>995</v>
      </c>
      <c r="AG644" s="4" t="s">
        <v>258</v>
      </c>
      <c r="AH644" s="4" t="s">
        <v>50</v>
      </c>
      <c r="AI644" s="4" t="s">
        <v>32</v>
      </c>
      <c r="AJ644" s="4" t="s">
        <v>98</v>
      </c>
      <c r="AK644" s="4" t="s">
        <v>104</v>
      </c>
      <c r="AL644" s="4" t="s">
        <v>1261</v>
      </c>
      <c r="AM644" s="4" t="s">
        <v>61</v>
      </c>
      <c r="AN644" s="4" t="s">
        <v>37</v>
      </c>
      <c r="AO644" s="4" t="s">
        <v>55</v>
      </c>
      <c r="AP644" s="4">
        <v>43416.0</v>
      </c>
      <c r="AQ644" s="4">
        <v>220500.0</v>
      </c>
      <c r="AR644" s="4">
        <v>449850.0</v>
      </c>
      <c r="AS644" s="4">
        <v>229350.0</v>
      </c>
      <c r="AT644" s="4">
        <v>27.0</v>
      </c>
      <c r="AU644" s="4">
        <v>1.214595E7</v>
      </c>
      <c r="AV644" s="4">
        <v>0.05</v>
      </c>
      <c r="AW644" s="4">
        <v>607297.5</v>
      </c>
      <c r="AX644" s="4">
        <v>1.15386525E7</v>
      </c>
      <c r="AY644" s="4">
        <v>5953500.0</v>
      </c>
      <c r="AZ644" s="4">
        <v>5585152.5</v>
      </c>
    </row>
    <row r="645" ht="15.75" customHeight="1">
      <c r="A645" s="3" t="s">
        <v>2057</v>
      </c>
      <c r="B645" s="5">
        <v>43417.0</v>
      </c>
      <c r="C645" s="6">
        <f t="shared" si="1"/>
        <v>2018</v>
      </c>
      <c r="D645" s="7" t="s">
        <v>496</v>
      </c>
      <c r="E645" s="7" t="s">
        <v>263</v>
      </c>
      <c r="F645" s="7" t="s">
        <v>50</v>
      </c>
      <c r="G645" s="5" t="s">
        <v>32</v>
      </c>
      <c r="H645" s="7" t="s">
        <v>140</v>
      </c>
      <c r="I645" s="7" t="s">
        <v>53</v>
      </c>
      <c r="J645" s="7" t="s">
        <v>649</v>
      </c>
      <c r="K645" s="7" t="s">
        <v>61</v>
      </c>
      <c r="L645" s="7" t="s">
        <v>37</v>
      </c>
      <c r="M645" s="7" t="s">
        <v>38</v>
      </c>
      <c r="N645" s="5">
        <v>43419.0</v>
      </c>
      <c r="O645" s="8">
        <v>631650.0</v>
      </c>
      <c r="P645" s="8">
        <v>1214700.0</v>
      </c>
      <c r="Q645" s="8">
        <f t="shared" si="2"/>
        <v>583050</v>
      </c>
      <c r="R645" s="8">
        <v>22.0</v>
      </c>
      <c r="S645" s="8">
        <f t="shared" si="3"/>
        <v>26723400</v>
      </c>
      <c r="T645" s="9">
        <v>0.1</v>
      </c>
      <c r="U645" s="8">
        <f t="shared" si="4"/>
        <v>2672340</v>
      </c>
      <c r="V645" s="8">
        <f t="shared" si="5"/>
        <v>24051060</v>
      </c>
      <c r="W645" s="10">
        <f t="shared" si="6"/>
        <v>13896300</v>
      </c>
      <c r="X645" s="10">
        <f t="shared" si="7"/>
        <v>10154760</v>
      </c>
      <c r="Y645" s="10"/>
      <c r="Z645" s="10"/>
      <c r="AA645" s="10"/>
      <c r="AB645" s="4" t="s">
        <v>2058</v>
      </c>
      <c r="AC645" s="4" t="s">
        <v>2057</v>
      </c>
      <c r="AD645" s="4">
        <v>43417.0</v>
      </c>
      <c r="AE645" s="4">
        <v>2018.0</v>
      </c>
      <c r="AF645" s="4" t="s">
        <v>496</v>
      </c>
      <c r="AG645" s="4" t="s">
        <v>263</v>
      </c>
      <c r="AH645" s="4" t="s">
        <v>50</v>
      </c>
      <c r="AI645" s="4" t="s">
        <v>32</v>
      </c>
      <c r="AJ645" s="4" t="s">
        <v>140</v>
      </c>
      <c r="AK645" s="4" t="s">
        <v>53</v>
      </c>
      <c r="AL645" s="4" t="s">
        <v>649</v>
      </c>
      <c r="AM645" s="4" t="s">
        <v>61</v>
      </c>
      <c r="AN645" s="4" t="s">
        <v>37</v>
      </c>
      <c r="AO645" s="4" t="s">
        <v>38</v>
      </c>
      <c r="AP645" s="4">
        <v>43419.0</v>
      </c>
      <c r="AQ645" s="4">
        <v>631650.0</v>
      </c>
      <c r="AR645" s="4">
        <v>1214700.0</v>
      </c>
      <c r="AS645" s="4">
        <v>583050.0</v>
      </c>
      <c r="AT645" s="4">
        <v>22.0</v>
      </c>
      <c r="AU645" s="4">
        <v>2.67234E7</v>
      </c>
      <c r="AV645" s="4">
        <v>0.1</v>
      </c>
      <c r="AW645" s="4">
        <v>2672340.0</v>
      </c>
      <c r="AX645" s="4">
        <v>2.405106E7</v>
      </c>
      <c r="AY645" s="4">
        <v>1.38963E7</v>
      </c>
      <c r="AZ645" s="4">
        <v>1.015476E7</v>
      </c>
    </row>
    <row r="646" ht="15.75" customHeight="1">
      <c r="A646" s="3" t="s">
        <v>2059</v>
      </c>
      <c r="B646" s="5">
        <v>43418.0</v>
      </c>
      <c r="C646" s="6">
        <f t="shared" si="1"/>
        <v>2018</v>
      </c>
      <c r="D646" s="7" t="s">
        <v>2060</v>
      </c>
      <c r="E646" s="7" t="s">
        <v>2061</v>
      </c>
      <c r="F646" s="7" t="s">
        <v>50</v>
      </c>
      <c r="G646" s="5" t="s">
        <v>32</v>
      </c>
      <c r="H646" s="7" t="s">
        <v>69</v>
      </c>
      <c r="I646" s="7" t="s">
        <v>92</v>
      </c>
      <c r="J646" s="7" t="s">
        <v>484</v>
      </c>
      <c r="K646" s="7" t="s">
        <v>61</v>
      </c>
      <c r="L646" s="7" t="s">
        <v>555</v>
      </c>
      <c r="M646" s="7" t="s">
        <v>38</v>
      </c>
      <c r="N646" s="5">
        <v>43420.0</v>
      </c>
      <c r="O646" s="8">
        <v>3240000.0</v>
      </c>
      <c r="P646" s="8">
        <v>6749850.0</v>
      </c>
      <c r="Q646" s="8">
        <f t="shared" si="2"/>
        <v>3509850</v>
      </c>
      <c r="R646" s="8">
        <v>29.0</v>
      </c>
      <c r="S646" s="8">
        <f t="shared" si="3"/>
        <v>195745650</v>
      </c>
      <c r="T646" s="9">
        <v>0.0</v>
      </c>
      <c r="U646" s="8">
        <f t="shared" si="4"/>
        <v>0</v>
      </c>
      <c r="V646" s="8">
        <f t="shared" si="5"/>
        <v>195745650</v>
      </c>
      <c r="W646" s="10">
        <f t="shared" si="6"/>
        <v>93960000</v>
      </c>
      <c r="X646" s="10">
        <f t="shared" si="7"/>
        <v>101785650</v>
      </c>
      <c r="Y646" s="10"/>
      <c r="Z646" s="10"/>
      <c r="AA646" s="10"/>
      <c r="AB646" s="4" t="s">
        <v>2062</v>
      </c>
      <c r="AC646" s="4" t="s">
        <v>2059</v>
      </c>
      <c r="AD646" s="4">
        <v>43418.0</v>
      </c>
      <c r="AE646" s="4">
        <v>2018.0</v>
      </c>
      <c r="AF646" s="4" t="s">
        <v>2060</v>
      </c>
      <c r="AG646" s="4" t="s">
        <v>2061</v>
      </c>
      <c r="AH646" s="4" t="s">
        <v>50</v>
      </c>
      <c r="AI646" s="4" t="s">
        <v>32</v>
      </c>
      <c r="AJ646" s="4" t="s">
        <v>69</v>
      </c>
      <c r="AK646" s="4" t="s">
        <v>92</v>
      </c>
      <c r="AL646" s="4" t="s">
        <v>484</v>
      </c>
      <c r="AM646" s="4" t="s">
        <v>61</v>
      </c>
      <c r="AN646" s="4" t="s">
        <v>555</v>
      </c>
      <c r="AO646" s="4" t="s">
        <v>38</v>
      </c>
      <c r="AP646" s="4">
        <v>43420.0</v>
      </c>
      <c r="AQ646" s="4">
        <v>3240000.0</v>
      </c>
      <c r="AR646" s="4">
        <v>6749850.0</v>
      </c>
      <c r="AS646" s="4">
        <v>3509850.0</v>
      </c>
      <c r="AT646" s="4">
        <v>29.0</v>
      </c>
      <c r="AU646" s="4">
        <v>1.9574565E8</v>
      </c>
      <c r="AV646" s="4">
        <v>0.0</v>
      </c>
      <c r="AW646" s="4">
        <v>0.0</v>
      </c>
      <c r="AX646" s="4">
        <v>1.9574565E8</v>
      </c>
      <c r="AY646" s="4">
        <v>9.396E7</v>
      </c>
      <c r="AZ646" s="4">
        <v>1.0178565E8</v>
      </c>
    </row>
    <row r="647" ht="15.75" customHeight="1">
      <c r="A647" s="3" t="s">
        <v>2063</v>
      </c>
      <c r="B647" s="5">
        <v>43418.0</v>
      </c>
      <c r="C647" s="6">
        <f t="shared" si="1"/>
        <v>2018</v>
      </c>
      <c r="D647" s="7" t="s">
        <v>2064</v>
      </c>
      <c r="E647" s="7" t="s">
        <v>542</v>
      </c>
      <c r="F647" s="7" t="s">
        <v>31</v>
      </c>
      <c r="G647" s="5" t="s">
        <v>68</v>
      </c>
      <c r="H647" s="7" t="s">
        <v>43</v>
      </c>
      <c r="I647" s="7" t="s">
        <v>92</v>
      </c>
      <c r="J647" s="7" t="s">
        <v>322</v>
      </c>
      <c r="K647" s="7" t="s">
        <v>36</v>
      </c>
      <c r="L647" s="7" t="s">
        <v>37</v>
      </c>
      <c r="M647" s="7" t="s">
        <v>38</v>
      </c>
      <c r="N647" s="5">
        <v>43420.0</v>
      </c>
      <c r="O647" s="8">
        <v>185850.0</v>
      </c>
      <c r="P647" s="8">
        <v>299700.0</v>
      </c>
      <c r="Q647" s="8">
        <f t="shared" si="2"/>
        <v>113850</v>
      </c>
      <c r="R647" s="8">
        <v>44.0</v>
      </c>
      <c r="S647" s="8">
        <f t="shared" si="3"/>
        <v>13186800</v>
      </c>
      <c r="T647" s="9">
        <v>0.07</v>
      </c>
      <c r="U647" s="8">
        <f t="shared" si="4"/>
        <v>923076</v>
      </c>
      <c r="V647" s="8">
        <f t="shared" si="5"/>
        <v>12263724</v>
      </c>
      <c r="W647" s="10">
        <f t="shared" si="6"/>
        <v>8177400</v>
      </c>
      <c r="X647" s="10">
        <f t="shared" si="7"/>
        <v>4086324</v>
      </c>
      <c r="Y647" s="10"/>
      <c r="Z647" s="10"/>
      <c r="AA647" s="10"/>
      <c r="AB647" s="4" t="s">
        <v>2065</v>
      </c>
      <c r="AC647" s="4" t="s">
        <v>2063</v>
      </c>
      <c r="AD647" s="4">
        <v>43418.0</v>
      </c>
      <c r="AE647" s="4">
        <v>2018.0</v>
      </c>
      <c r="AF647" s="4" t="s">
        <v>2064</v>
      </c>
      <c r="AG647" s="4" t="s">
        <v>542</v>
      </c>
      <c r="AH647" s="4" t="s">
        <v>31</v>
      </c>
      <c r="AI647" s="4" t="s">
        <v>68</v>
      </c>
      <c r="AJ647" s="4" t="s">
        <v>43</v>
      </c>
      <c r="AK647" s="4" t="s">
        <v>92</v>
      </c>
      <c r="AL647" s="4" t="s">
        <v>322</v>
      </c>
      <c r="AM647" s="4" t="s">
        <v>36</v>
      </c>
      <c r="AN647" s="4" t="s">
        <v>37</v>
      </c>
      <c r="AO647" s="4" t="s">
        <v>38</v>
      </c>
      <c r="AP647" s="4">
        <v>43420.0</v>
      </c>
      <c r="AQ647" s="4">
        <v>185850.0</v>
      </c>
      <c r="AR647" s="4">
        <v>299700.0</v>
      </c>
      <c r="AS647" s="4">
        <v>113850.0</v>
      </c>
      <c r="AT647" s="4">
        <v>44.0</v>
      </c>
      <c r="AU647" s="4">
        <v>1.31868E7</v>
      </c>
      <c r="AV647" s="4">
        <v>0.07</v>
      </c>
      <c r="AW647" s="4">
        <v>923076.0</v>
      </c>
      <c r="AX647" s="4">
        <v>1.2263724E7</v>
      </c>
      <c r="AY647" s="4">
        <v>8177400.0</v>
      </c>
      <c r="AZ647" s="4">
        <v>4086324.0</v>
      </c>
    </row>
    <row r="648" ht="15.75" customHeight="1">
      <c r="A648" s="3" t="s">
        <v>2066</v>
      </c>
      <c r="B648" s="5">
        <v>43419.0</v>
      </c>
      <c r="C648" s="6">
        <f t="shared" si="1"/>
        <v>2018</v>
      </c>
      <c r="D648" s="7" t="s">
        <v>1611</v>
      </c>
      <c r="E648" s="7" t="s">
        <v>591</v>
      </c>
      <c r="F648" s="7" t="s">
        <v>50</v>
      </c>
      <c r="G648" s="5" t="s">
        <v>51</v>
      </c>
      <c r="H648" s="7" t="s">
        <v>189</v>
      </c>
      <c r="I648" s="7" t="s">
        <v>74</v>
      </c>
      <c r="J648" s="7" t="s">
        <v>412</v>
      </c>
      <c r="K648" s="7" t="s">
        <v>36</v>
      </c>
      <c r="L648" s="7" t="s">
        <v>37</v>
      </c>
      <c r="M648" s="7" t="s">
        <v>38</v>
      </c>
      <c r="N648" s="5">
        <v>43424.0</v>
      </c>
      <c r="O648" s="8">
        <v>19950.0</v>
      </c>
      <c r="P648" s="8">
        <v>31200.0</v>
      </c>
      <c r="Q648" s="8">
        <f t="shared" si="2"/>
        <v>11250</v>
      </c>
      <c r="R648" s="8">
        <v>20.0</v>
      </c>
      <c r="S648" s="8">
        <f t="shared" si="3"/>
        <v>624000</v>
      </c>
      <c r="T648" s="9">
        <v>0.1</v>
      </c>
      <c r="U648" s="8">
        <f t="shared" si="4"/>
        <v>62400</v>
      </c>
      <c r="V648" s="8">
        <f t="shared" si="5"/>
        <v>561600</v>
      </c>
      <c r="W648" s="10">
        <f t="shared" si="6"/>
        <v>399000</v>
      </c>
      <c r="X648" s="10">
        <f t="shared" si="7"/>
        <v>162600</v>
      </c>
      <c r="Y648" s="10"/>
      <c r="Z648" s="10"/>
      <c r="AA648" s="10"/>
      <c r="AB648" s="4" t="s">
        <v>2067</v>
      </c>
      <c r="AC648" s="4" t="s">
        <v>2066</v>
      </c>
      <c r="AD648" s="4">
        <v>43419.0</v>
      </c>
      <c r="AE648" s="4">
        <v>2018.0</v>
      </c>
      <c r="AF648" s="4" t="s">
        <v>1611</v>
      </c>
      <c r="AG648" s="4" t="s">
        <v>591</v>
      </c>
      <c r="AH648" s="4" t="s">
        <v>50</v>
      </c>
      <c r="AI648" s="4" t="s">
        <v>51</v>
      </c>
      <c r="AJ648" s="4" t="s">
        <v>189</v>
      </c>
      <c r="AK648" s="4" t="s">
        <v>74</v>
      </c>
      <c r="AL648" s="4" t="s">
        <v>412</v>
      </c>
      <c r="AM648" s="4" t="s">
        <v>36</v>
      </c>
      <c r="AN648" s="4" t="s">
        <v>37</v>
      </c>
      <c r="AO648" s="4" t="s">
        <v>38</v>
      </c>
      <c r="AP648" s="4">
        <v>43424.0</v>
      </c>
      <c r="AQ648" s="4">
        <v>19950.0</v>
      </c>
      <c r="AR648" s="4">
        <v>31200.0</v>
      </c>
      <c r="AS648" s="4">
        <v>11250.0</v>
      </c>
      <c r="AT648" s="4">
        <v>20.0</v>
      </c>
      <c r="AU648" s="4">
        <v>624000.0</v>
      </c>
      <c r="AV648" s="4">
        <v>0.1</v>
      </c>
      <c r="AW648" s="4">
        <v>62400.0</v>
      </c>
      <c r="AX648" s="4">
        <v>561600.0</v>
      </c>
      <c r="AY648" s="4">
        <v>399000.0</v>
      </c>
      <c r="AZ648" s="4">
        <v>162600.0</v>
      </c>
    </row>
    <row r="649" ht="15.75" customHeight="1">
      <c r="A649" s="3" t="s">
        <v>2068</v>
      </c>
      <c r="B649" s="5">
        <v>43423.0</v>
      </c>
      <c r="C649" s="6">
        <f t="shared" si="1"/>
        <v>2018</v>
      </c>
      <c r="D649" s="7" t="s">
        <v>1780</v>
      </c>
      <c r="E649" s="7" t="s">
        <v>1781</v>
      </c>
      <c r="F649" s="7" t="s">
        <v>50</v>
      </c>
      <c r="G649" s="5" t="s">
        <v>51</v>
      </c>
      <c r="H649" s="7" t="s">
        <v>52</v>
      </c>
      <c r="I649" s="7" t="s">
        <v>53</v>
      </c>
      <c r="J649" s="7" t="s">
        <v>981</v>
      </c>
      <c r="K649" s="7" t="s">
        <v>36</v>
      </c>
      <c r="L649" s="7" t="s">
        <v>45</v>
      </c>
      <c r="M649" s="7" t="s">
        <v>38</v>
      </c>
      <c r="N649" s="5">
        <v>43424.0</v>
      </c>
      <c r="O649" s="8">
        <v>38850.0</v>
      </c>
      <c r="P649" s="8">
        <v>59700.0</v>
      </c>
      <c r="Q649" s="8">
        <f t="shared" si="2"/>
        <v>20850</v>
      </c>
      <c r="R649" s="8">
        <v>16.0</v>
      </c>
      <c r="S649" s="8">
        <f t="shared" si="3"/>
        <v>955200</v>
      </c>
      <c r="T649" s="9">
        <v>0.09</v>
      </c>
      <c r="U649" s="8">
        <f t="shared" si="4"/>
        <v>85968</v>
      </c>
      <c r="V649" s="8">
        <f t="shared" si="5"/>
        <v>869232</v>
      </c>
      <c r="W649" s="10">
        <f t="shared" si="6"/>
        <v>621600</v>
      </c>
      <c r="X649" s="10">
        <f t="shared" si="7"/>
        <v>247632</v>
      </c>
      <c r="Y649" s="10"/>
      <c r="Z649" s="10"/>
      <c r="AA649" s="10"/>
      <c r="AB649" s="4" t="s">
        <v>2069</v>
      </c>
      <c r="AC649" s="4" t="s">
        <v>2068</v>
      </c>
      <c r="AD649" s="4">
        <v>43423.0</v>
      </c>
      <c r="AE649" s="4">
        <v>2018.0</v>
      </c>
      <c r="AF649" s="4" t="s">
        <v>1780</v>
      </c>
      <c r="AG649" s="4" t="s">
        <v>1781</v>
      </c>
      <c r="AH649" s="4" t="s">
        <v>50</v>
      </c>
      <c r="AI649" s="4" t="s">
        <v>51</v>
      </c>
      <c r="AJ649" s="4" t="s">
        <v>52</v>
      </c>
      <c r="AK649" s="4" t="s">
        <v>53</v>
      </c>
      <c r="AL649" s="4" t="s">
        <v>981</v>
      </c>
      <c r="AM649" s="4" t="s">
        <v>36</v>
      </c>
      <c r="AN649" s="4" t="s">
        <v>45</v>
      </c>
      <c r="AO649" s="4" t="s">
        <v>38</v>
      </c>
      <c r="AP649" s="4">
        <v>43424.0</v>
      </c>
      <c r="AQ649" s="4">
        <v>38850.0</v>
      </c>
      <c r="AR649" s="4">
        <v>59700.0</v>
      </c>
      <c r="AS649" s="4">
        <v>20850.0</v>
      </c>
      <c r="AT649" s="4">
        <v>16.0</v>
      </c>
      <c r="AU649" s="4">
        <v>955200.0</v>
      </c>
      <c r="AV649" s="4">
        <v>0.09</v>
      </c>
      <c r="AW649" s="4">
        <v>85968.0</v>
      </c>
      <c r="AX649" s="4">
        <v>869232.0</v>
      </c>
      <c r="AY649" s="4">
        <v>621600.0</v>
      </c>
      <c r="AZ649" s="4">
        <v>247632.0</v>
      </c>
    </row>
    <row r="650" ht="15.75" customHeight="1">
      <c r="A650" s="3" t="s">
        <v>2070</v>
      </c>
      <c r="B650" s="5">
        <v>43424.0</v>
      </c>
      <c r="C650" s="6">
        <f t="shared" si="1"/>
        <v>2018</v>
      </c>
      <c r="D650" s="7" t="s">
        <v>830</v>
      </c>
      <c r="E650" s="7" t="s">
        <v>537</v>
      </c>
      <c r="F650" s="7" t="s">
        <v>31</v>
      </c>
      <c r="G650" s="5" t="s">
        <v>51</v>
      </c>
      <c r="H650" s="7" t="s">
        <v>33</v>
      </c>
      <c r="I650" s="7" t="s">
        <v>34</v>
      </c>
      <c r="J650" s="7" t="s">
        <v>99</v>
      </c>
      <c r="K650" s="7" t="s">
        <v>36</v>
      </c>
      <c r="L650" s="7" t="s">
        <v>37</v>
      </c>
      <c r="M650" s="7" t="s">
        <v>55</v>
      </c>
      <c r="N650" s="5">
        <v>43425.0</v>
      </c>
      <c r="O650" s="8">
        <v>79950.0</v>
      </c>
      <c r="P650" s="8">
        <v>129000.0</v>
      </c>
      <c r="Q650" s="8">
        <f t="shared" si="2"/>
        <v>49050</v>
      </c>
      <c r="R650" s="8">
        <v>15.0</v>
      </c>
      <c r="S650" s="8">
        <f t="shared" si="3"/>
        <v>1935000</v>
      </c>
      <c r="T650" s="9">
        <v>0.04</v>
      </c>
      <c r="U650" s="8">
        <f t="shared" si="4"/>
        <v>77400</v>
      </c>
      <c r="V650" s="8">
        <f t="shared" si="5"/>
        <v>1857600</v>
      </c>
      <c r="W650" s="10">
        <f t="shared" si="6"/>
        <v>1199250</v>
      </c>
      <c r="X650" s="10">
        <f t="shared" si="7"/>
        <v>658350</v>
      </c>
      <c r="Y650" s="10"/>
      <c r="Z650" s="10"/>
      <c r="AA650" s="10"/>
      <c r="AB650" s="4" t="s">
        <v>2071</v>
      </c>
      <c r="AC650" s="4" t="s">
        <v>2070</v>
      </c>
      <c r="AD650" s="4">
        <v>43424.0</v>
      </c>
      <c r="AE650" s="4">
        <v>2018.0</v>
      </c>
      <c r="AF650" s="4" t="s">
        <v>830</v>
      </c>
      <c r="AG650" s="4" t="s">
        <v>537</v>
      </c>
      <c r="AH650" s="4" t="s">
        <v>31</v>
      </c>
      <c r="AI650" s="4" t="s">
        <v>51</v>
      </c>
      <c r="AJ650" s="4" t="s">
        <v>33</v>
      </c>
      <c r="AK650" s="4" t="s">
        <v>34</v>
      </c>
      <c r="AL650" s="4" t="s">
        <v>99</v>
      </c>
      <c r="AM650" s="4" t="s">
        <v>36</v>
      </c>
      <c r="AN650" s="4" t="s">
        <v>37</v>
      </c>
      <c r="AO650" s="4" t="s">
        <v>55</v>
      </c>
      <c r="AP650" s="4">
        <v>43425.0</v>
      </c>
      <c r="AQ650" s="4">
        <v>79950.0</v>
      </c>
      <c r="AR650" s="4">
        <v>129000.0</v>
      </c>
      <c r="AS650" s="4">
        <v>49050.0</v>
      </c>
      <c r="AT650" s="4">
        <v>15.0</v>
      </c>
      <c r="AU650" s="4">
        <v>1935000.0</v>
      </c>
      <c r="AV650" s="4">
        <v>0.04</v>
      </c>
      <c r="AW650" s="4">
        <v>77400.0</v>
      </c>
      <c r="AX650" s="4">
        <v>1857600.0</v>
      </c>
      <c r="AY650" s="4">
        <v>1199250.0</v>
      </c>
      <c r="AZ650" s="4">
        <v>658350.0</v>
      </c>
    </row>
    <row r="651" ht="15.75" customHeight="1">
      <c r="A651" s="3" t="s">
        <v>2072</v>
      </c>
      <c r="B651" s="5">
        <v>43426.0</v>
      </c>
      <c r="C651" s="6">
        <f t="shared" si="1"/>
        <v>2018</v>
      </c>
      <c r="D651" s="7" t="s">
        <v>2073</v>
      </c>
      <c r="E651" s="7" t="s">
        <v>1601</v>
      </c>
      <c r="F651" s="7" t="s">
        <v>50</v>
      </c>
      <c r="G651" s="5" t="s">
        <v>91</v>
      </c>
      <c r="H651" s="7" t="s">
        <v>344</v>
      </c>
      <c r="I651" s="7" t="s">
        <v>92</v>
      </c>
      <c r="J651" s="7" t="s">
        <v>1158</v>
      </c>
      <c r="K651" s="7" t="s">
        <v>36</v>
      </c>
      <c r="L651" s="7" t="s">
        <v>37</v>
      </c>
      <c r="M651" s="7" t="s">
        <v>38</v>
      </c>
      <c r="N651" s="5">
        <v>43427.0</v>
      </c>
      <c r="O651" s="8">
        <v>41400.0</v>
      </c>
      <c r="P651" s="8">
        <v>65700.0</v>
      </c>
      <c r="Q651" s="8">
        <f t="shared" si="2"/>
        <v>24300</v>
      </c>
      <c r="R651" s="8">
        <v>24.0</v>
      </c>
      <c r="S651" s="8">
        <f t="shared" si="3"/>
        <v>1576800</v>
      </c>
      <c r="T651" s="9">
        <v>0.02</v>
      </c>
      <c r="U651" s="8">
        <f t="shared" si="4"/>
        <v>31536</v>
      </c>
      <c r="V651" s="8">
        <f t="shared" si="5"/>
        <v>1545264</v>
      </c>
      <c r="W651" s="10">
        <f t="shared" si="6"/>
        <v>993600</v>
      </c>
      <c r="X651" s="10">
        <f t="shared" si="7"/>
        <v>551664</v>
      </c>
      <c r="Y651" s="10"/>
      <c r="Z651" s="10"/>
      <c r="AA651" s="10"/>
      <c r="AB651" s="4" t="s">
        <v>2074</v>
      </c>
      <c r="AC651" s="4" t="s">
        <v>2072</v>
      </c>
      <c r="AD651" s="4">
        <v>43426.0</v>
      </c>
      <c r="AE651" s="4">
        <v>2018.0</v>
      </c>
      <c r="AF651" s="4" t="s">
        <v>2073</v>
      </c>
      <c r="AG651" s="4" t="s">
        <v>1601</v>
      </c>
      <c r="AH651" s="4" t="s">
        <v>50</v>
      </c>
      <c r="AI651" s="4" t="s">
        <v>91</v>
      </c>
      <c r="AJ651" s="4" t="s">
        <v>344</v>
      </c>
      <c r="AK651" s="4" t="s">
        <v>92</v>
      </c>
      <c r="AL651" s="4" t="s">
        <v>1158</v>
      </c>
      <c r="AM651" s="4" t="s">
        <v>36</v>
      </c>
      <c r="AN651" s="4" t="s">
        <v>37</v>
      </c>
      <c r="AO651" s="4" t="s">
        <v>38</v>
      </c>
      <c r="AP651" s="4">
        <v>43427.0</v>
      </c>
      <c r="AQ651" s="4">
        <v>41400.0</v>
      </c>
      <c r="AR651" s="4">
        <v>65700.0</v>
      </c>
      <c r="AS651" s="4">
        <v>24300.0</v>
      </c>
      <c r="AT651" s="4">
        <v>24.0</v>
      </c>
      <c r="AU651" s="4">
        <v>1576800.0</v>
      </c>
      <c r="AV651" s="4">
        <v>0.02</v>
      </c>
      <c r="AW651" s="4">
        <v>31536.0</v>
      </c>
      <c r="AX651" s="4">
        <v>1545264.0</v>
      </c>
      <c r="AY651" s="4">
        <v>993600.0</v>
      </c>
      <c r="AZ651" s="4">
        <v>551664.0</v>
      </c>
    </row>
    <row r="652" ht="15.75" customHeight="1">
      <c r="A652" s="3" t="s">
        <v>2075</v>
      </c>
      <c r="B652" s="5">
        <v>43426.0</v>
      </c>
      <c r="C652" s="6">
        <f t="shared" si="1"/>
        <v>2018</v>
      </c>
      <c r="D652" s="7" t="s">
        <v>2073</v>
      </c>
      <c r="E652" s="7" t="s">
        <v>1601</v>
      </c>
      <c r="F652" s="7" t="s">
        <v>50</v>
      </c>
      <c r="G652" s="5" t="s">
        <v>91</v>
      </c>
      <c r="H652" s="7" t="s">
        <v>344</v>
      </c>
      <c r="I652" s="7" t="s">
        <v>92</v>
      </c>
      <c r="J652" s="7" t="s">
        <v>889</v>
      </c>
      <c r="K652" s="7" t="s">
        <v>36</v>
      </c>
      <c r="L652" s="7" t="s">
        <v>127</v>
      </c>
      <c r="M652" s="7" t="s">
        <v>38</v>
      </c>
      <c r="N652" s="5">
        <v>43429.0</v>
      </c>
      <c r="O652" s="8">
        <v>61499.99999999999</v>
      </c>
      <c r="P652" s="8">
        <v>139650.0</v>
      </c>
      <c r="Q652" s="8">
        <f t="shared" si="2"/>
        <v>78150</v>
      </c>
      <c r="R652" s="8">
        <v>30.0</v>
      </c>
      <c r="S652" s="8">
        <f t="shared" si="3"/>
        <v>4189500</v>
      </c>
      <c r="T652" s="9">
        <v>0.03</v>
      </c>
      <c r="U652" s="8">
        <f t="shared" si="4"/>
        <v>125685</v>
      </c>
      <c r="V652" s="8">
        <f t="shared" si="5"/>
        <v>4063815</v>
      </c>
      <c r="W652" s="10">
        <f t="shared" si="6"/>
        <v>1845000</v>
      </c>
      <c r="X652" s="10">
        <f t="shared" si="7"/>
        <v>2218815</v>
      </c>
      <c r="Y652" s="10"/>
      <c r="Z652" s="10"/>
      <c r="AA652" s="10"/>
      <c r="AB652" s="4" t="s">
        <v>2076</v>
      </c>
      <c r="AC652" s="4" t="s">
        <v>2075</v>
      </c>
      <c r="AD652" s="4">
        <v>43426.0</v>
      </c>
      <c r="AE652" s="4">
        <v>2018.0</v>
      </c>
      <c r="AF652" s="4" t="s">
        <v>2073</v>
      </c>
      <c r="AG652" s="4" t="s">
        <v>1601</v>
      </c>
      <c r="AH652" s="4" t="s">
        <v>50</v>
      </c>
      <c r="AI652" s="4" t="s">
        <v>91</v>
      </c>
      <c r="AJ652" s="4" t="s">
        <v>344</v>
      </c>
      <c r="AK652" s="4" t="s">
        <v>92</v>
      </c>
      <c r="AL652" s="4" t="s">
        <v>889</v>
      </c>
      <c r="AM652" s="4" t="s">
        <v>36</v>
      </c>
      <c r="AN652" s="4" t="s">
        <v>127</v>
      </c>
      <c r="AO652" s="4" t="s">
        <v>38</v>
      </c>
      <c r="AP652" s="4">
        <v>43429.0</v>
      </c>
      <c r="AQ652" s="4">
        <v>61500.0</v>
      </c>
      <c r="AR652" s="4">
        <v>139650.0</v>
      </c>
      <c r="AS652" s="4">
        <v>78150.0</v>
      </c>
      <c r="AT652" s="4">
        <v>30.0</v>
      </c>
      <c r="AU652" s="4">
        <v>4189500.0</v>
      </c>
      <c r="AV652" s="4">
        <v>0.03</v>
      </c>
      <c r="AW652" s="4">
        <v>125685.0</v>
      </c>
      <c r="AX652" s="4">
        <v>4063815.0</v>
      </c>
      <c r="AY652" s="4">
        <v>1845000.0</v>
      </c>
      <c r="AZ652" s="4">
        <v>2218815.0</v>
      </c>
    </row>
    <row r="653" ht="15.75" customHeight="1">
      <c r="A653" s="3" t="s">
        <v>2077</v>
      </c>
      <c r="B653" s="5">
        <v>43427.0</v>
      </c>
      <c r="C653" s="6">
        <f t="shared" si="1"/>
        <v>2018</v>
      </c>
      <c r="D653" s="7" t="s">
        <v>1277</v>
      </c>
      <c r="E653" s="7" t="s">
        <v>456</v>
      </c>
      <c r="F653" s="7" t="s">
        <v>50</v>
      </c>
      <c r="G653" s="5" t="s">
        <v>68</v>
      </c>
      <c r="H653" s="7" t="s">
        <v>200</v>
      </c>
      <c r="I653" s="7" t="s">
        <v>34</v>
      </c>
      <c r="J653" s="7" t="s">
        <v>978</v>
      </c>
      <c r="K653" s="7" t="s">
        <v>61</v>
      </c>
      <c r="L653" s="7" t="s">
        <v>555</v>
      </c>
      <c r="M653" s="7" t="s">
        <v>38</v>
      </c>
      <c r="N653" s="5">
        <v>43428.0</v>
      </c>
      <c r="O653" s="8">
        <v>5669850.0</v>
      </c>
      <c r="P653" s="8">
        <v>8999850.0</v>
      </c>
      <c r="Q653" s="8">
        <f t="shared" si="2"/>
        <v>3330000</v>
      </c>
      <c r="R653" s="8">
        <v>46.0</v>
      </c>
      <c r="S653" s="8">
        <f t="shared" si="3"/>
        <v>413993100</v>
      </c>
      <c r="T653" s="9">
        <v>0.07</v>
      </c>
      <c r="U653" s="8">
        <f t="shared" si="4"/>
        <v>28979517</v>
      </c>
      <c r="V653" s="8">
        <f t="shared" si="5"/>
        <v>385013583</v>
      </c>
      <c r="W653" s="10">
        <f t="shared" si="6"/>
        <v>260813100</v>
      </c>
      <c r="X653" s="10">
        <f t="shared" si="7"/>
        <v>124200483</v>
      </c>
      <c r="Y653" s="10"/>
      <c r="Z653" s="10"/>
      <c r="AA653" s="10"/>
      <c r="AB653" s="4" t="s">
        <v>2078</v>
      </c>
      <c r="AC653" s="4" t="s">
        <v>2077</v>
      </c>
      <c r="AD653" s="4">
        <v>43427.0</v>
      </c>
      <c r="AE653" s="4">
        <v>2018.0</v>
      </c>
      <c r="AF653" s="4" t="s">
        <v>1277</v>
      </c>
      <c r="AG653" s="4" t="s">
        <v>456</v>
      </c>
      <c r="AH653" s="4" t="s">
        <v>50</v>
      </c>
      <c r="AI653" s="4" t="s">
        <v>68</v>
      </c>
      <c r="AJ653" s="4" t="s">
        <v>200</v>
      </c>
      <c r="AK653" s="4" t="s">
        <v>34</v>
      </c>
      <c r="AL653" s="4" t="s">
        <v>978</v>
      </c>
      <c r="AM653" s="4" t="s">
        <v>61</v>
      </c>
      <c r="AN653" s="4" t="s">
        <v>555</v>
      </c>
      <c r="AO653" s="4" t="s">
        <v>38</v>
      </c>
      <c r="AP653" s="4">
        <v>43428.0</v>
      </c>
      <c r="AQ653" s="4">
        <v>5669850.0</v>
      </c>
      <c r="AR653" s="4">
        <v>8999850.0</v>
      </c>
      <c r="AS653" s="4">
        <v>3330000.0</v>
      </c>
      <c r="AT653" s="4">
        <v>46.0</v>
      </c>
      <c r="AU653" s="4">
        <v>4.139931E8</v>
      </c>
      <c r="AV653" s="4">
        <v>0.07</v>
      </c>
      <c r="AW653" s="4">
        <v>2.8979517E7</v>
      </c>
      <c r="AX653" s="4">
        <v>3.85013583E8</v>
      </c>
      <c r="AY653" s="4">
        <v>2.608131E8</v>
      </c>
      <c r="AZ653" s="4">
        <v>1.24200483E8</v>
      </c>
    </row>
    <row r="654" ht="15.75" customHeight="1">
      <c r="A654" s="3" t="s">
        <v>2079</v>
      </c>
      <c r="B654" s="5">
        <v>43427.0</v>
      </c>
      <c r="C654" s="6">
        <f t="shared" si="1"/>
        <v>2018</v>
      </c>
      <c r="D654" s="7" t="s">
        <v>1600</v>
      </c>
      <c r="E654" s="7" t="s">
        <v>1601</v>
      </c>
      <c r="F654" s="7" t="s">
        <v>50</v>
      </c>
      <c r="G654" s="5" t="s">
        <v>91</v>
      </c>
      <c r="H654" s="7" t="s">
        <v>344</v>
      </c>
      <c r="I654" s="7" t="s">
        <v>34</v>
      </c>
      <c r="J654" s="7" t="s">
        <v>796</v>
      </c>
      <c r="K654" s="7" t="s">
        <v>36</v>
      </c>
      <c r="L654" s="7" t="s">
        <v>45</v>
      </c>
      <c r="M654" s="7" t="s">
        <v>38</v>
      </c>
      <c r="N654" s="5">
        <v>43430.0</v>
      </c>
      <c r="O654" s="8">
        <v>26400.0</v>
      </c>
      <c r="P654" s="8">
        <v>44100.0</v>
      </c>
      <c r="Q654" s="8">
        <f t="shared" si="2"/>
        <v>17700</v>
      </c>
      <c r="R654" s="8">
        <v>39.0</v>
      </c>
      <c r="S654" s="8">
        <f t="shared" si="3"/>
        <v>1719900</v>
      </c>
      <c r="T654" s="9">
        <v>0.04</v>
      </c>
      <c r="U654" s="8">
        <f t="shared" si="4"/>
        <v>68796</v>
      </c>
      <c r="V654" s="8">
        <f t="shared" si="5"/>
        <v>1651104</v>
      </c>
      <c r="W654" s="10">
        <f t="shared" si="6"/>
        <v>1029600</v>
      </c>
      <c r="X654" s="10">
        <f t="shared" si="7"/>
        <v>621504</v>
      </c>
      <c r="Y654" s="10"/>
      <c r="Z654" s="10"/>
      <c r="AA654" s="10"/>
      <c r="AB654" s="4" t="s">
        <v>2080</v>
      </c>
      <c r="AC654" s="4" t="s">
        <v>2079</v>
      </c>
      <c r="AD654" s="4">
        <v>43427.0</v>
      </c>
      <c r="AE654" s="4">
        <v>2018.0</v>
      </c>
      <c r="AF654" s="4" t="s">
        <v>1600</v>
      </c>
      <c r="AG654" s="4" t="s">
        <v>1601</v>
      </c>
      <c r="AH654" s="4" t="s">
        <v>50</v>
      </c>
      <c r="AI654" s="4" t="s">
        <v>91</v>
      </c>
      <c r="AJ654" s="4" t="s">
        <v>344</v>
      </c>
      <c r="AK654" s="4" t="s">
        <v>34</v>
      </c>
      <c r="AL654" s="4" t="s">
        <v>796</v>
      </c>
      <c r="AM654" s="4" t="s">
        <v>36</v>
      </c>
      <c r="AN654" s="4" t="s">
        <v>45</v>
      </c>
      <c r="AO654" s="4" t="s">
        <v>38</v>
      </c>
      <c r="AP654" s="4">
        <v>43430.0</v>
      </c>
      <c r="AQ654" s="4">
        <v>26400.0</v>
      </c>
      <c r="AR654" s="4">
        <v>44100.0</v>
      </c>
      <c r="AS654" s="4">
        <v>17700.0</v>
      </c>
      <c r="AT654" s="4">
        <v>39.0</v>
      </c>
      <c r="AU654" s="4">
        <v>1719900.0</v>
      </c>
      <c r="AV654" s="4">
        <v>0.04</v>
      </c>
      <c r="AW654" s="4">
        <v>68796.0</v>
      </c>
      <c r="AX654" s="4">
        <v>1651104.0</v>
      </c>
      <c r="AY654" s="4">
        <v>1029600.0</v>
      </c>
      <c r="AZ654" s="4">
        <v>621504.0</v>
      </c>
    </row>
    <row r="655" ht="15.75" customHeight="1">
      <c r="A655" s="3" t="s">
        <v>2081</v>
      </c>
      <c r="B655" s="5">
        <v>43427.0</v>
      </c>
      <c r="C655" s="6">
        <f t="shared" si="1"/>
        <v>2018</v>
      </c>
      <c r="D655" s="7" t="s">
        <v>2082</v>
      </c>
      <c r="E655" s="7" t="s">
        <v>164</v>
      </c>
      <c r="F655" s="7" t="s">
        <v>50</v>
      </c>
      <c r="G655" s="5" t="s">
        <v>68</v>
      </c>
      <c r="H655" s="7" t="s">
        <v>69</v>
      </c>
      <c r="I655" s="7" t="s">
        <v>34</v>
      </c>
      <c r="J655" s="7" t="s">
        <v>204</v>
      </c>
      <c r="K655" s="7" t="s">
        <v>61</v>
      </c>
      <c r="L655" s="7" t="s">
        <v>37</v>
      </c>
      <c r="M655" s="7" t="s">
        <v>55</v>
      </c>
      <c r="N655" s="5">
        <v>43428.0</v>
      </c>
      <c r="O655" s="8">
        <v>151050.0</v>
      </c>
      <c r="P655" s="8">
        <v>239700.0</v>
      </c>
      <c r="Q655" s="8">
        <f t="shared" si="2"/>
        <v>88650</v>
      </c>
      <c r="R655" s="8">
        <v>7.0</v>
      </c>
      <c r="S655" s="8">
        <f t="shared" si="3"/>
        <v>1677900</v>
      </c>
      <c r="T655" s="9">
        <v>0.04</v>
      </c>
      <c r="U655" s="8">
        <f t="shared" si="4"/>
        <v>67116</v>
      </c>
      <c r="V655" s="8">
        <f t="shared" si="5"/>
        <v>1610784</v>
      </c>
      <c r="W655" s="10">
        <f t="shared" si="6"/>
        <v>1057350</v>
      </c>
      <c r="X655" s="10">
        <f t="shared" si="7"/>
        <v>553434</v>
      </c>
      <c r="Y655" s="10"/>
      <c r="Z655" s="10"/>
      <c r="AA655" s="10"/>
      <c r="AB655" s="4" t="s">
        <v>2083</v>
      </c>
      <c r="AC655" s="4" t="s">
        <v>2081</v>
      </c>
      <c r="AD655" s="4">
        <v>43427.0</v>
      </c>
      <c r="AE655" s="4">
        <v>2018.0</v>
      </c>
      <c r="AF655" s="4" t="s">
        <v>2082</v>
      </c>
      <c r="AG655" s="4" t="s">
        <v>164</v>
      </c>
      <c r="AH655" s="4" t="s">
        <v>50</v>
      </c>
      <c r="AI655" s="4" t="s">
        <v>68</v>
      </c>
      <c r="AJ655" s="4" t="s">
        <v>69</v>
      </c>
      <c r="AK655" s="4" t="s">
        <v>34</v>
      </c>
      <c r="AL655" s="4" t="s">
        <v>204</v>
      </c>
      <c r="AM655" s="4" t="s">
        <v>61</v>
      </c>
      <c r="AN655" s="4" t="s">
        <v>37</v>
      </c>
      <c r="AO655" s="4" t="s">
        <v>55</v>
      </c>
      <c r="AP655" s="4">
        <v>43428.0</v>
      </c>
      <c r="AQ655" s="4">
        <v>151050.0</v>
      </c>
      <c r="AR655" s="4">
        <v>239700.0</v>
      </c>
      <c r="AS655" s="4">
        <v>88650.0</v>
      </c>
      <c r="AT655" s="4">
        <v>7.0</v>
      </c>
      <c r="AU655" s="4">
        <v>1677900.0</v>
      </c>
      <c r="AV655" s="4">
        <v>0.04</v>
      </c>
      <c r="AW655" s="4">
        <v>67116.0</v>
      </c>
      <c r="AX655" s="4">
        <v>1610784.0</v>
      </c>
      <c r="AY655" s="4">
        <v>1057350.0</v>
      </c>
      <c r="AZ655" s="4">
        <v>553434.0</v>
      </c>
    </row>
    <row r="656" ht="15.75" customHeight="1">
      <c r="A656" s="3" t="s">
        <v>2084</v>
      </c>
      <c r="B656" s="5">
        <v>43428.0</v>
      </c>
      <c r="C656" s="6">
        <f t="shared" si="1"/>
        <v>2018</v>
      </c>
      <c r="D656" s="7" t="s">
        <v>237</v>
      </c>
      <c r="E656" s="7" t="s">
        <v>238</v>
      </c>
      <c r="F656" s="7" t="s">
        <v>50</v>
      </c>
      <c r="G656" s="5" t="s">
        <v>51</v>
      </c>
      <c r="H656" s="7" t="s">
        <v>151</v>
      </c>
      <c r="I656" s="7" t="s">
        <v>92</v>
      </c>
      <c r="J656" s="7" t="s">
        <v>490</v>
      </c>
      <c r="K656" s="7" t="s">
        <v>61</v>
      </c>
      <c r="L656" s="7" t="s">
        <v>37</v>
      </c>
      <c r="M656" s="7" t="s">
        <v>38</v>
      </c>
      <c r="N656" s="5">
        <v>43431.0</v>
      </c>
      <c r="O656" s="8">
        <v>97650.0</v>
      </c>
      <c r="P656" s="8">
        <v>464700.0</v>
      </c>
      <c r="Q656" s="8">
        <f t="shared" si="2"/>
        <v>367050</v>
      </c>
      <c r="R656" s="8">
        <v>8.0</v>
      </c>
      <c r="S656" s="8">
        <f t="shared" si="3"/>
        <v>3717600</v>
      </c>
      <c r="T656" s="9">
        <v>0.06</v>
      </c>
      <c r="U656" s="8">
        <f t="shared" si="4"/>
        <v>223056</v>
      </c>
      <c r="V656" s="8">
        <f t="shared" si="5"/>
        <v>3494544</v>
      </c>
      <c r="W656" s="10">
        <f t="shared" si="6"/>
        <v>781200</v>
      </c>
      <c r="X656" s="10">
        <f t="shared" si="7"/>
        <v>2713344</v>
      </c>
      <c r="Y656" s="10"/>
      <c r="Z656" s="10"/>
      <c r="AA656" s="10"/>
      <c r="AB656" s="4" t="s">
        <v>2085</v>
      </c>
      <c r="AC656" s="4" t="s">
        <v>2084</v>
      </c>
      <c r="AD656" s="4">
        <v>43428.0</v>
      </c>
      <c r="AE656" s="4">
        <v>2018.0</v>
      </c>
      <c r="AF656" s="4" t="s">
        <v>237</v>
      </c>
      <c r="AG656" s="4" t="s">
        <v>238</v>
      </c>
      <c r="AH656" s="4" t="s">
        <v>50</v>
      </c>
      <c r="AI656" s="4" t="s">
        <v>51</v>
      </c>
      <c r="AJ656" s="4" t="s">
        <v>151</v>
      </c>
      <c r="AK656" s="4" t="s">
        <v>92</v>
      </c>
      <c r="AL656" s="4" t="s">
        <v>490</v>
      </c>
      <c r="AM656" s="4" t="s">
        <v>61</v>
      </c>
      <c r="AN656" s="4" t="s">
        <v>37</v>
      </c>
      <c r="AO656" s="4" t="s">
        <v>38</v>
      </c>
      <c r="AP656" s="4">
        <v>43431.0</v>
      </c>
      <c r="AQ656" s="4">
        <v>97650.0</v>
      </c>
      <c r="AR656" s="4">
        <v>464700.0</v>
      </c>
      <c r="AS656" s="4">
        <v>367050.0</v>
      </c>
      <c r="AT656" s="4">
        <v>8.0</v>
      </c>
      <c r="AU656" s="4">
        <v>3717600.0</v>
      </c>
      <c r="AV656" s="4">
        <v>0.06</v>
      </c>
      <c r="AW656" s="4">
        <v>223056.0</v>
      </c>
      <c r="AX656" s="4">
        <v>3494544.0</v>
      </c>
      <c r="AY656" s="4">
        <v>781200.0</v>
      </c>
      <c r="AZ656" s="4">
        <v>2713344.0</v>
      </c>
    </row>
    <row r="657" ht="15.75" customHeight="1">
      <c r="A657" s="3" t="s">
        <v>2086</v>
      </c>
      <c r="B657" s="5">
        <v>43430.0</v>
      </c>
      <c r="C657" s="6">
        <f t="shared" si="1"/>
        <v>2018</v>
      </c>
      <c r="D657" s="7" t="s">
        <v>2087</v>
      </c>
      <c r="E657" s="7" t="s">
        <v>103</v>
      </c>
      <c r="F657" s="7" t="s">
        <v>31</v>
      </c>
      <c r="G657" s="5" t="s">
        <v>51</v>
      </c>
      <c r="H657" s="7" t="s">
        <v>43</v>
      </c>
      <c r="I657" s="7" t="s">
        <v>104</v>
      </c>
      <c r="J657" s="7" t="s">
        <v>272</v>
      </c>
      <c r="K657" s="7" t="s">
        <v>36</v>
      </c>
      <c r="L657" s="7" t="s">
        <v>45</v>
      </c>
      <c r="M657" s="7" t="s">
        <v>38</v>
      </c>
      <c r="N657" s="5">
        <v>43432.0</v>
      </c>
      <c r="O657" s="8">
        <v>56250.0</v>
      </c>
      <c r="P657" s="8">
        <v>106200.0</v>
      </c>
      <c r="Q657" s="8">
        <f t="shared" si="2"/>
        <v>49950</v>
      </c>
      <c r="R657" s="8">
        <v>48.0</v>
      </c>
      <c r="S657" s="8">
        <f t="shared" si="3"/>
        <v>5097600</v>
      </c>
      <c r="T657" s="9">
        <v>0.03</v>
      </c>
      <c r="U657" s="8">
        <f t="shared" si="4"/>
        <v>152928</v>
      </c>
      <c r="V657" s="8">
        <f t="shared" si="5"/>
        <v>4944672</v>
      </c>
      <c r="W657" s="10">
        <f t="shared" si="6"/>
        <v>2700000</v>
      </c>
      <c r="X657" s="10">
        <f t="shared" si="7"/>
        <v>2244672</v>
      </c>
      <c r="Y657" s="10"/>
      <c r="Z657" s="10"/>
      <c r="AA657" s="10"/>
      <c r="AB657" s="4" t="s">
        <v>2088</v>
      </c>
      <c r="AC657" s="4" t="s">
        <v>2086</v>
      </c>
      <c r="AD657" s="4">
        <v>43430.0</v>
      </c>
      <c r="AE657" s="4">
        <v>2018.0</v>
      </c>
      <c r="AF657" s="4" t="s">
        <v>2087</v>
      </c>
      <c r="AG657" s="4" t="s">
        <v>103</v>
      </c>
      <c r="AH657" s="4" t="s">
        <v>31</v>
      </c>
      <c r="AI657" s="4" t="s">
        <v>51</v>
      </c>
      <c r="AJ657" s="4" t="s">
        <v>43</v>
      </c>
      <c r="AK657" s="4" t="s">
        <v>104</v>
      </c>
      <c r="AL657" s="4" t="s">
        <v>272</v>
      </c>
      <c r="AM657" s="4" t="s">
        <v>36</v>
      </c>
      <c r="AN657" s="4" t="s">
        <v>45</v>
      </c>
      <c r="AO657" s="4" t="s">
        <v>38</v>
      </c>
      <c r="AP657" s="4">
        <v>43432.0</v>
      </c>
      <c r="AQ657" s="4">
        <v>56250.0</v>
      </c>
      <c r="AR657" s="4">
        <v>106200.0</v>
      </c>
      <c r="AS657" s="4">
        <v>49950.0</v>
      </c>
      <c r="AT657" s="4">
        <v>48.0</v>
      </c>
      <c r="AU657" s="4">
        <v>5097600.0</v>
      </c>
      <c r="AV657" s="4">
        <v>0.03</v>
      </c>
      <c r="AW657" s="4">
        <v>152928.0</v>
      </c>
      <c r="AX657" s="4">
        <v>4944672.0</v>
      </c>
      <c r="AY657" s="4">
        <v>2700000.0</v>
      </c>
      <c r="AZ657" s="4">
        <v>2244672.0</v>
      </c>
    </row>
    <row r="658" ht="15.75" customHeight="1">
      <c r="A658" s="3" t="s">
        <v>2089</v>
      </c>
      <c r="B658" s="5">
        <v>43431.0</v>
      </c>
      <c r="C658" s="6">
        <f t="shared" si="1"/>
        <v>2018</v>
      </c>
      <c r="D658" s="7" t="s">
        <v>372</v>
      </c>
      <c r="E658" s="7" t="s">
        <v>369</v>
      </c>
      <c r="F658" s="7" t="s">
        <v>50</v>
      </c>
      <c r="G658" s="5" t="s">
        <v>68</v>
      </c>
      <c r="H658" s="7" t="s">
        <v>200</v>
      </c>
      <c r="I658" s="7" t="s">
        <v>34</v>
      </c>
      <c r="J658" s="7" t="s">
        <v>563</v>
      </c>
      <c r="K658" s="7" t="s">
        <v>36</v>
      </c>
      <c r="L658" s="7" t="s">
        <v>37</v>
      </c>
      <c r="M658" s="7" t="s">
        <v>55</v>
      </c>
      <c r="N658" s="5">
        <v>43433.0</v>
      </c>
      <c r="O658" s="8">
        <v>52500.0</v>
      </c>
      <c r="P658" s="8">
        <v>86100.0</v>
      </c>
      <c r="Q658" s="8">
        <f t="shared" si="2"/>
        <v>33600</v>
      </c>
      <c r="R658" s="8">
        <v>32.0</v>
      </c>
      <c r="S658" s="8">
        <f t="shared" si="3"/>
        <v>2755200</v>
      </c>
      <c r="T658" s="9">
        <v>0.08</v>
      </c>
      <c r="U658" s="8">
        <f t="shared" si="4"/>
        <v>220416</v>
      </c>
      <c r="V658" s="8">
        <f t="shared" si="5"/>
        <v>2534784</v>
      </c>
      <c r="W658" s="10">
        <f t="shared" si="6"/>
        <v>1680000</v>
      </c>
      <c r="X658" s="10">
        <f t="shared" si="7"/>
        <v>854784</v>
      </c>
      <c r="Y658" s="10"/>
      <c r="Z658" s="10"/>
      <c r="AA658" s="10"/>
      <c r="AB658" s="4" t="s">
        <v>2090</v>
      </c>
      <c r="AC658" s="4" t="s">
        <v>2089</v>
      </c>
      <c r="AD658" s="4">
        <v>43431.0</v>
      </c>
      <c r="AE658" s="4">
        <v>2018.0</v>
      </c>
      <c r="AF658" s="4" t="s">
        <v>372</v>
      </c>
      <c r="AG658" s="4" t="s">
        <v>369</v>
      </c>
      <c r="AH658" s="4" t="s">
        <v>50</v>
      </c>
      <c r="AI658" s="4" t="s">
        <v>68</v>
      </c>
      <c r="AJ658" s="4" t="s">
        <v>200</v>
      </c>
      <c r="AK658" s="4" t="s">
        <v>34</v>
      </c>
      <c r="AL658" s="4" t="s">
        <v>563</v>
      </c>
      <c r="AM658" s="4" t="s">
        <v>36</v>
      </c>
      <c r="AN658" s="4" t="s">
        <v>37</v>
      </c>
      <c r="AO658" s="4" t="s">
        <v>55</v>
      </c>
      <c r="AP658" s="4">
        <v>43433.0</v>
      </c>
      <c r="AQ658" s="4">
        <v>52500.0</v>
      </c>
      <c r="AR658" s="4">
        <v>86100.0</v>
      </c>
      <c r="AS658" s="4">
        <v>33600.0</v>
      </c>
      <c r="AT658" s="4">
        <v>32.0</v>
      </c>
      <c r="AU658" s="4">
        <v>2755200.0</v>
      </c>
      <c r="AV658" s="4">
        <v>0.08</v>
      </c>
      <c r="AW658" s="4">
        <v>220416.0</v>
      </c>
      <c r="AX658" s="4">
        <v>2534784.0</v>
      </c>
      <c r="AY658" s="4">
        <v>1680000.0</v>
      </c>
      <c r="AZ658" s="4">
        <v>854784.0</v>
      </c>
    </row>
    <row r="659" ht="15.75" customHeight="1">
      <c r="A659" s="3" t="s">
        <v>2091</v>
      </c>
      <c r="B659" s="5">
        <v>43437.0</v>
      </c>
      <c r="C659" s="6">
        <f t="shared" si="1"/>
        <v>2018</v>
      </c>
      <c r="D659" s="7" t="s">
        <v>2060</v>
      </c>
      <c r="E659" s="7" t="s">
        <v>2061</v>
      </c>
      <c r="F659" s="7" t="s">
        <v>50</v>
      </c>
      <c r="G659" s="5" t="s">
        <v>32</v>
      </c>
      <c r="H659" s="7" t="s">
        <v>69</v>
      </c>
      <c r="I659" s="7" t="s">
        <v>92</v>
      </c>
      <c r="J659" s="7" t="s">
        <v>574</v>
      </c>
      <c r="K659" s="7" t="s">
        <v>36</v>
      </c>
      <c r="L659" s="7" t="s">
        <v>37</v>
      </c>
      <c r="M659" s="7" t="s">
        <v>38</v>
      </c>
      <c r="N659" s="5">
        <v>43439.0</v>
      </c>
      <c r="O659" s="8">
        <v>32700.000000000004</v>
      </c>
      <c r="P659" s="8">
        <v>52800.0</v>
      </c>
      <c r="Q659" s="8">
        <f t="shared" si="2"/>
        <v>20100</v>
      </c>
      <c r="R659" s="8">
        <v>38.0</v>
      </c>
      <c r="S659" s="8">
        <f t="shared" si="3"/>
        <v>2006400</v>
      </c>
      <c r="T659" s="9">
        <v>0.09</v>
      </c>
      <c r="U659" s="8">
        <f t="shared" si="4"/>
        <v>180576</v>
      </c>
      <c r="V659" s="8">
        <f t="shared" si="5"/>
        <v>1825824</v>
      </c>
      <c r="W659" s="10">
        <f t="shared" si="6"/>
        <v>1242600</v>
      </c>
      <c r="X659" s="10">
        <f t="shared" si="7"/>
        <v>583224</v>
      </c>
      <c r="Y659" s="10"/>
      <c r="Z659" s="10"/>
      <c r="AA659" s="10"/>
      <c r="AB659" s="4" t="s">
        <v>2092</v>
      </c>
      <c r="AC659" s="4" t="s">
        <v>2091</v>
      </c>
      <c r="AD659" s="4">
        <v>43437.0</v>
      </c>
      <c r="AE659" s="4">
        <v>2018.0</v>
      </c>
      <c r="AF659" s="4" t="s">
        <v>2060</v>
      </c>
      <c r="AG659" s="4" t="s">
        <v>2061</v>
      </c>
      <c r="AH659" s="4" t="s">
        <v>50</v>
      </c>
      <c r="AI659" s="4" t="s">
        <v>32</v>
      </c>
      <c r="AJ659" s="4" t="s">
        <v>69</v>
      </c>
      <c r="AK659" s="4" t="s">
        <v>92</v>
      </c>
      <c r="AL659" s="4" t="s">
        <v>574</v>
      </c>
      <c r="AM659" s="4" t="s">
        <v>36</v>
      </c>
      <c r="AN659" s="4" t="s">
        <v>37</v>
      </c>
      <c r="AO659" s="4" t="s">
        <v>38</v>
      </c>
      <c r="AP659" s="4">
        <v>43439.0</v>
      </c>
      <c r="AQ659" s="4">
        <v>32700.0</v>
      </c>
      <c r="AR659" s="4">
        <v>52800.0</v>
      </c>
      <c r="AS659" s="4">
        <v>20100.0</v>
      </c>
      <c r="AT659" s="4">
        <v>38.0</v>
      </c>
      <c r="AU659" s="4">
        <v>2006400.0</v>
      </c>
      <c r="AV659" s="4">
        <v>0.09</v>
      </c>
      <c r="AW659" s="4">
        <v>180576.0</v>
      </c>
      <c r="AX659" s="4">
        <v>1825824.0</v>
      </c>
      <c r="AY659" s="4">
        <v>1242600.0</v>
      </c>
      <c r="AZ659" s="4">
        <v>583224.0</v>
      </c>
    </row>
    <row r="660" ht="15.75" customHeight="1">
      <c r="A660" s="3" t="s">
        <v>2093</v>
      </c>
      <c r="B660" s="5">
        <v>43438.0</v>
      </c>
      <c r="C660" s="6">
        <f t="shared" si="1"/>
        <v>2018</v>
      </c>
      <c r="D660" s="7" t="s">
        <v>1997</v>
      </c>
      <c r="E660" s="7" t="s">
        <v>939</v>
      </c>
      <c r="F660" s="7" t="s">
        <v>50</v>
      </c>
      <c r="G660" s="5" t="s">
        <v>32</v>
      </c>
      <c r="H660" s="7" t="s">
        <v>189</v>
      </c>
      <c r="I660" s="7" t="s">
        <v>74</v>
      </c>
      <c r="J660" s="7" t="s">
        <v>204</v>
      </c>
      <c r="K660" s="7" t="s">
        <v>61</v>
      </c>
      <c r="L660" s="7" t="s">
        <v>37</v>
      </c>
      <c r="M660" s="7" t="s">
        <v>38</v>
      </c>
      <c r="N660" s="5">
        <v>43443.0</v>
      </c>
      <c r="O660" s="8">
        <v>151050.0</v>
      </c>
      <c r="P660" s="8">
        <v>239700.0</v>
      </c>
      <c r="Q660" s="8">
        <f t="shared" si="2"/>
        <v>88650</v>
      </c>
      <c r="R660" s="8">
        <v>6.0</v>
      </c>
      <c r="S660" s="8">
        <f t="shared" si="3"/>
        <v>1438200</v>
      </c>
      <c r="T660" s="9">
        <v>0.1</v>
      </c>
      <c r="U660" s="8">
        <f t="shared" si="4"/>
        <v>143820</v>
      </c>
      <c r="V660" s="8">
        <f t="shared" si="5"/>
        <v>1294380</v>
      </c>
      <c r="W660" s="10">
        <f t="shared" si="6"/>
        <v>906300</v>
      </c>
      <c r="X660" s="10">
        <f t="shared" si="7"/>
        <v>388080</v>
      </c>
      <c r="Y660" s="10"/>
      <c r="Z660" s="10"/>
      <c r="AA660" s="10"/>
      <c r="AB660" s="4" t="s">
        <v>2094</v>
      </c>
      <c r="AC660" s="4" t="s">
        <v>2093</v>
      </c>
      <c r="AD660" s="4">
        <v>43438.0</v>
      </c>
      <c r="AE660" s="4">
        <v>2018.0</v>
      </c>
      <c r="AF660" s="4" t="s">
        <v>1997</v>
      </c>
      <c r="AG660" s="4" t="s">
        <v>939</v>
      </c>
      <c r="AH660" s="4" t="s">
        <v>50</v>
      </c>
      <c r="AI660" s="4" t="s">
        <v>32</v>
      </c>
      <c r="AJ660" s="4" t="s">
        <v>189</v>
      </c>
      <c r="AK660" s="4" t="s">
        <v>74</v>
      </c>
      <c r="AL660" s="4" t="s">
        <v>204</v>
      </c>
      <c r="AM660" s="4" t="s">
        <v>61</v>
      </c>
      <c r="AN660" s="4" t="s">
        <v>37</v>
      </c>
      <c r="AO660" s="4" t="s">
        <v>38</v>
      </c>
      <c r="AP660" s="4">
        <v>43443.0</v>
      </c>
      <c r="AQ660" s="4">
        <v>151050.0</v>
      </c>
      <c r="AR660" s="4">
        <v>239700.0</v>
      </c>
      <c r="AS660" s="4">
        <v>88650.0</v>
      </c>
      <c r="AT660" s="4">
        <v>6.0</v>
      </c>
      <c r="AU660" s="4">
        <v>1438200.0</v>
      </c>
      <c r="AV660" s="4">
        <v>0.1</v>
      </c>
      <c r="AW660" s="4">
        <v>143820.0</v>
      </c>
      <c r="AX660" s="4">
        <v>1294380.0</v>
      </c>
      <c r="AY660" s="4">
        <v>906300.0</v>
      </c>
      <c r="AZ660" s="4">
        <v>388080.0</v>
      </c>
    </row>
    <row r="661" ht="15.75" customHeight="1">
      <c r="A661" s="3" t="s">
        <v>2095</v>
      </c>
      <c r="B661" s="5">
        <v>43439.0</v>
      </c>
      <c r="C661" s="6">
        <f t="shared" si="1"/>
        <v>2018</v>
      </c>
      <c r="D661" s="7" t="s">
        <v>2096</v>
      </c>
      <c r="E661" s="7" t="s">
        <v>1239</v>
      </c>
      <c r="F661" s="7" t="s">
        <v>31</v>
      </c>
      <c r="G661" s="5" t="s">
        <v>91</v>
      </c>
      <c r="H661" s="7" t="s">
        <v>33</v>
      </c>
      <c r="I661" s="7" t="s">
        <v>74</v>
      </c>
      <c r="J661" s="7" t="s">
        <v>1804</v>
      </c>
      <c r="K661" s="7" t="s">
        <v>36</v>
      </c>
      <c r="L661" s="7" t="s">
        <v>37</v>
      </c>
      <c r="M661" s="7" t="s">
        <v>55</v>
      </c>
      <c r="N661" s="5">
        <v>43446.0</v>
      </c>
      <c r="O661" s="8">
        <v>52950.0</v>
      </c>
      <c r="P661" s="8">
        <v>129299.99999999999</v>
      </c>
      <c r="Q661" s="8">
        <f t="shared" si="2"/>
        <v>76350</v>
      </c>
      <c r="R661" s="8">
        <v>8.0</v>
      </c>
      <c r="S661" s="8">
        <f t="shared" si="3"/>
        <v>1034400</v>
      </c>
      <c r="T661" s="9">
        <v>0.0</v>
      </c>
      <c r="U661" s="8">
        <f t="shared" si="4"/>
        <v>0</v>
      </c>
      <c r="V661" s="8">
        <f t="shared" si="5"/>
        <v>1034400</v>
      </c>
      <c r="W661" s="10">
        <f t="shared" si="6"/>
        <v>423600</v>
      </c>
      <c r="X661" s="10">
        <f t="shared" si="7"/>
        <v>610800</v>
      </c>
      <c r="Y661" s="10"/>
      <c r="Z661" s="10"/>
      <c r="AA661" s="10"/>
      <c r="AB661" s="4" t="s">
        <v>2097</v>
      </c>
      <c r="AC661" s="4" t="s">
        <v>2095</v>
      </c>
      <c r="AD661" s="4">
        <v>43439.0</v>
      </c>
      <c r="AE661" s="4">
        <v>2018.0</v>
      </c>
      <c r="AF661" s="4" t="s">
        <v>2096</v>
      </c>
      <c r="AG661" s="4" t="s">
        <v>1239</v>
      </c>
      <c r="AH661" s="4" t="s">
        <v>31</v>
      </c>
      <c r="AI661" s="4" t="s">
        <v>91</v>
      </c>
      <c r="AJ661" s="4" t="s">
        <v>33</v>
      </c>
      <c r="AK661" s="4" t="s">
        <v>74</v>
      </c>
      <c r="AL661" s="4" t="s">
        <v>1804</v>
      </c>
      <c r="AM661" s="4" t="s">
        <v>36</v>
      </c>
      <c r="AN661" s="4" t="s">
        <v>37</v>
      </c>
      <c r="AO661" s="4" t="s">
        <v>55</v>
      </c>
      <c r="AP661" s="4">
        <v>43446.0</v>
      </c>
      <c r="AQ661" s="4">
        <v>52950.0</v>
      </c>
      <c r="AR661" s="4">
        <v>129300.0</v>
      </c>
      <c r="AS661" s="4">
        <v>76350.0</v>
      </c>
      <c r="AT661" s="4">
        <v>8.0</v>
      </c>
      <c r="AU661" s="4">
        <v>1034400.0</v>
      </c>
      <c r="AV661" s="4">
        <v>0.0</v>
      </c>
      <c r="AW661" s="4">
        <v>0.0</v>
      </c>
      <c r="AX661" s="4">
        <v>1034400.0</v>
      </c>
      <c r="AY661" s="4">
        <v>423600.0</v>
      </c>
      <c r="AZ661" s="4">
        <v>610800.0</v>
      </c>
    </row>
    <row r="662" ht="15.75" customHeight="1">
      <c r="A662" s="3" t="s">
        <v>2098</v>
      </c>
      <c r="B662" s="5">
        <v>43440.0</v>
      </c>
      <c r="C662" s="6">
        <f t="shared" si="1"/>
        <v>2018</v>
      </c>
      <c r="D662" s="7" t="s">
        <v>1249</v>
      </c>
      <c r="E662" s="7" t="s">
        <v>253</v>
      </c>
      <c r="F662" s="7" t="s">
        <v>31</v>
      </c>
      <c r="G662" s="5" t="s">
        <v>91</v>
      </c>
      <c r="H662" s="7" t="s">
        <v>43</v>
      </c>
      <c r="I662" s="7" t="s">
        <v>34</v>
      </c>
      <c r="J662" s="7" t="s">
        <v>1129</v>
      </c>
      <c r="K662" s="7" t="s">
        <v>36</v>
      </c>
      <c r="L662" s="7" t="s">
        <v>37</v>
      </c>
      <c r="M662" s="7" t="s">
        <v>55</v>
      </c>
      <c r="N662" s="5">
        <v>43441.0</v>
      </c>
      <c r="O662" s="8">
        <v>1263300.0</v>
      </c>
      <c r="P662" s="8">
        <v>3158250.0</v>
      </c>
      <c r="Q662" s="8">
        <f t="shared" si="2"/>
        <v>1894950</v>
      </c>
      <c r="R662" s="8">
        <v>2.0</v>
      </c>
      <c r="S662" s="8">
        <f t="shared" si="3"/>
        <v>6316500</v>
      </c>
      <c r="T662" s="9">
        <v>0.05</v>
      </c>
      <c r="U662" s="8">
        <f t="shared" si="4"/>
        <v>315825</v>
      </c>
      <c r="V662" s="8">
        <f t="shared" si="5"/>
        <v>6000675</v>
      </c>
      <c r="W662" s="10">
        <f t="shared" si="6"/>
        <v>2526600</v>
      </c>
      <c r="X662" s="10">
        <f t="shared" si="7"/>
        <v>3474075</v>
      </c>
      <c r="Y662" s="10"/>
      <c r="Z662" s="10"/>
      <c r="AA662" s="10"/>
      <c r="AB662" s="4" t="s">
        <v>2099</v>
      </c>
      <c r="AC662" s="4" t="s">
        <v>2098</v>
      </c>
      <c r="AD662" s="4">
        <v>43440.0</v>
      </c>
      <c r="AE662" s="4">
        <v>2018.0</v>
      </c>
      <c r="AF662" s="4" t="s">
        <v>1249</v>
      </c>
      <c r="AG662" s="4" t="s">
        <v>253</v>
      </c>
      <c r="AH662" s="4" t="s">
        <v>31</v>
      </c>
      <c r="AI662" s="4" t="s">
        <v>91</v>
      </c>
      <c r="AJ662" s="4" t="s">
        <v>43</v>
      </c>
      <c r="AK662" s="4" t="s">
        <v>34</v>
      </c>
      <c r="AL662" s="4" t="s">
        <v>1129</v>
      </c>
      <c r="AM662" s="4" t="s">
        <v>36</v>
      </c>
      <c r="AN662" s="4" t="s">
        <v>37</v>
      </c>
      <c r="AO662" s="4" t="s">
        <v>55</v>
      </c>
      <c r="AP662" s="4">
        <v>43441.0</v>
      </c>
      <c r="AQ662" s="4">
        <v>1263300.0</v>
      </c>
      <c r="AR662" s="4">
        <v>3158250.0</v>
      </c>
      <c r="AS662" s="4">
        <v>1894950.0</v>
      </c>
      <c r="AT662" s="4">
        <v>2.0</v>
      </c>
      <c r="AU662" s="4">
        <v>6316500.0</v>
      </c>
      <c r="AV662" s="4">
        <v>0.05</v>
      </c>
      <c r="AW662" s="4">
        <v>315825.0</v>
      </c>
      <c r="AX662" s="4">
        <v>6000675.0</v>
      </c>
      <c r="AY662" s="4">
        <v>2526600.0</v>
      </c>
      <c r="AZ662" s="4">
        <v>3474075.0</v>
      </c>
    </row>
    <row r="663" ht="15.75" customHeight="1">
      <c r="A663" s="3" t="s">
        <v>2100</v>
      </c>
      <c r="B663" s="5">
        <v>43440.0</v>
      </c>
      <c r="C663" s="6">
        <f t="shared" si="1"/>
        <v>2018</v>
      </c>
      <c r="D663" s="7" t="s">
        <v>2101</v>
      </c>
      <c r="E663" s="7" t="s">
        <v>242</v>
      </c>
      <c r="F663" s="7" t="s">
        <v>50</v>
      </c>
      <c r="G663" s="5" t="s">
        <v>51</v>
      </c>
      <c r="H663" s="7" t="s">
        <v>151</v>
      </c>
      <c r="I663" s="7" t="s">
        <v>74</v>
      </c>
      <c r="J663" s="7" t="s">
        <v>1189</v>
      </c>
      <c r="K663" s="7" t="s">
        <v>36</v>
      </c>
      <c r="L663" s="7" t="s">
        <v>45</v>
      </c>
      <c r="M663" s="7" t="s">
        <v>38</v>
      </c>
      <c r="N663" s="5">
        <v>43444.0</v>
      </c>
      <c r="O663" s="8">
        <v>16350.000000000002</v>
      </c>
      <c r="P663" s="8">
        <v>27300.0</v>
      </c>
      <c r="Q663" s="8">
        <f t="shared" si="2"/>
        <v>10950</v>
      </c>
      <c r="R663" s="8">
        <v>42.0</v>
      </c>
      <c r="S663" s="8">
        <f t="shared" si="3"/>
        <v>1146600</v>
      </c>
      <c r="T663" s="9">
        <v>0.08</v>
      </c>
      <c r="U663" s="8">
        <f t="shared" si="4"/>
        <v>91728</v>
      </c>
      <c r="V663" s="8">
        <f t="shared" si="5"/>
        <v>1054872</v>
      </c>
      <c r="W663" s="10">
        <f t="shared" si="6"/>
        <v>686700</v>
      </c>
      <c r="X663" s="10">
        <f t="shared" si="7"/>
        <v>368172</v>
      </c>
      <c r="Y663" s="10"/>
      <c r="Z663" s="10"/>
      <c r="AA663" s="10"/>
      <c r="AB663" s="4" t="s">
        <v>2102</v>
      </c>
      <c r="AC663" s="4" t="s">
        <v>2100</v>
      </c>
      <c r="AD663" s="4">
        <v>43440.0</v>
      </c>
      <c r="AE663" s="4">
        <v>2018.0</v>
      </c>
      <c r="AF663" s="4" t="s">
        <v>2101</v>
      </c>
      <c r="AG663" s="4" t="s">
        <v>242</v>
      </c>
      <c r="AH663" s="4" t="s">
        <v>50</v>
      </c>
      <c r="AI663" s="4" t="s">
        <v>51</v>
      </c>
      <c r="AJ663" s="4" t="s">
        <v>151</v>
      </c>
      <c r="AK663" s="4" t="s">
        <v>74</v>
      </c>
      <c r="AL663" s="4" t="s">
        <v>1189</v>
      </c>
      <c r="AM663" s="4" t="s">
        <v>36</v>
      </c>
      <c r="AN663" s="4" t="s">
        <v>45</v>
      </c>
      <c r="AO663" s="4" t="s">
        <v>38</v>
      </c>
      <c r="AP663" s="4">
        <v>43444.0</v>
      </c>
      <c r="AQ663" s="4">
        <v>16350.0</v>
      </c>
      <c r="AR663" s="4">
        <v>27300.0</v>
      </c>
      <c r="AS663" s="4">
        <v>10950.0</v>
      </c>
      <c r="AT663" s="4">
        <v>42.0</v>
      </c>
      <c r="AU663" s="4">
        <v>1146600.0</v>
      </c>
      <c r="AV663" s="4">
        <v>0.08</v>
      </c>
      <c r="AW663" s="4">
        <v>91728.0</v>
      </c>
      <c r="AX663" s="4">
        <v>1054872.0</v>
      </c>
      <c r="AY663" s="4">
        <v>686700.0</v>
      </c>
      <c r="AZ663" s="4">
        <v>368172.0</v>
      </c>
    </row>
    <row r="664" ht="15.75" customHeight="1">
      <c r="A664" s="3" t="s">
        <v>2103</v>
      </c>
      <c r="B664" s="5">
        <v>43440.0</v>
      </c>
      <c r="C664" s="6">
        <f t="shared" si="1"/>
        <v>2018</v>
      </c>
      <c r="D664" s="7" t="s">
        <v>742</v>
      </c>
      <c r="E664" s="7" t="s">
        <v>726</v>
      </c>
      <c r="F664" s="7" t="s">
        <v>50</v>
      </c>
      <c r="G664" s="5" t="s">
        <v>91</v>
      </c>
      <c r="H664" s="7" t="s">
        <v>52</v>
      </c>
      <c r="I664" s="7" t="s">
        <v>53</v>
      </c>
      <c r="J664" s="7" t="s">
        <v>753</v>
      </c>
      <c r="K664" s="7" t="s">
        <v>36</v>
      </c>
      <c r="L664" s="7" t="s">
        <v>127</v>
      </c>
      <c r="M664" s="7" t="s">
        <v>38</v>
      </c>
      <c r="N664" s="5">
        <v>43442.0</v>
      </c>
      <c r="O664" s="8">
        <v>252000.0</v>
      </c>
      <c r="P664" s="8">
        <v>614550.0</v>
      </c>
      <c r="Q664" s="8">
        <f t="shared" si="2"/>
        <v>362550</v>
      </c>
      <c r="R664" s="8">
        <v>28.0</v>
      </c>
      <c r="S664" s="8">
        <f t="shared" si="3"/>
        <v>17207400</v>
      </c>
      <c r="T664" s="9">
        <v>0.04</v>
      </c>
      <c r="U664" s="8">
        <f t="shared" si="4"/>
        <v>688296</v>
      </c>
      <c r="V664" s="8">
        <f t="shared" si="5"/>
        <v>16519104</v>
      </c>
      <c r="W664" s="10">
        <f t="shared" si="6"/>
        <v>7056000</v>
      </c>
      <c r="X664" s="10">
        <f t="shared" si="7"/>
        <v>9463104</v>
      </c>
      <c r="Y664" s="10"/>
      <c r="Z664" s="10"/>
      <c r="AA664" s="10"/>
      <c r="AB664" s="4" t="s">
        <v>2104</v>
      </c>
      <c r="AC664" s="4" t="s">
        <v>2103</v>
      </c>
      <c r="AD664" s="4">
        <v>43440.0</v>
      </c>
      <c r="AE664" s="4">
        <v>2018.0</v>
      </c>
      <c r="AF664" s="4" t="s">
        <v>742</v>
      </c>
      <c r="AG664" s="4" t="s">
        <v>726</v>
      </c>
      <c r="AH664" s="4" t="s">
        <v>50</v>
      </c>
      <c r="AI664" s="4" t="s">
        <v>91</v>
      </c>
      <c r="AJ664" s="4" t="s">
        <v>52</v>
      </c>
      <c r="AK664" s="4" t="s">
        <v>53</v>
      </c>
      <c r="AL664" s="4" t="s">
        <v>753</v>
      </c>
      <c r="AM664" s="4" t="s">
        <v>36</v>
      </c>
      <c r="AN664" s="4" t="s">
        <v>127</v>
      </c>
      <c r="AO664" s="4" t="s">
        <v>38</v>
      </c>
      <c r="AP664" s="4">
        <v>43442.0</v>
      </c>
      <c r="AQ664" s="4">
        <v>252000.0</v>
      </c>
      <c r="AR664" s="4">
        <v>614550.0</v>
      </c>
      <c r="AS664" s="4">
        <v>362550.0</v>
      </c>
      <c r="AT664" s="4">
        <v>28.0</v>
      </c>
      <c r="AU664" s="4">
        <v>1.72074E7</v>
      </c>
      <c r="AV664" s="4">
        <v>0.04</v>
      </c>
      <c r="AW664" s="4">
        <v>688296.0</v>
      </c>
      <c r="AX664" s="4">
        <v>1.6519104E7</v>
      </c>
      <c r="AY664" s="4">
        <v>7056000.0</v>
      </c>
      <c r="AZ664" s="4">
        <v>9463104.0</v>
      </c>
    </row>
    <row r="665" ht="15.75" customHeight="1">
      <c r="A665" s="3" t="s">
        <v>2105</v>
      </c>
      <c r="B665" s="5">
        <v>43442.0</v>
      </c>
      <c r="C665" s="6">
        <f t="shared" si="1"/>
        <v>2018</v>
      </c>
      <c r="D665" s="7" t="s">
        <v>193</v>
      </c>
      <c r="E665" s="7" t="s">
        <v>194</v>
      </c>
      <c r="F665" s="7" t="s">
        <v>31</v>
      </c>
      <c r="G665" s="5" t="s">
        <v>51</v>
      </c>
      <c r="H665" s="7" t="s">
        <v>33</v>
      </c>
      <c r="I665" s="7" t="s">
        <v>104</v>
      </c>
      <c r="J665" s="7" t="s">
        <v>1047</v>
      </c>
      <c r="K665" s="7" t="s">
        <v>36</v>
      </c>
      <c r="L665" s="7" t="s">
        <v>37</v>
      </c>
      <c r="M665" s="7" t="s">
        <v>38</v>
      </c>
      <c r="N665" s="5">
        <v>43444.0</v>
      </c>
      <c r="O665" s="8">
        <v>780600.0</v>
      </c>
      <c r="P665" s="8">
        <v>1258950.0</v>
      </c>
      <c r="Q665" s="8">
        <f t="shared" si="2"/>
        <v>478350</v>
      </c>
      <c r="R665" s="8">
        <v>3.0</v>
      </c>
      <c r="S665" s="8">
        <f t="shared" si="3"/>
        <v>3776850</v>
      </c>
      <c r="T665" s="9">
        <v>0.0</v>
      </c>
      <c r="U665" s="8">
        <f t="shared" si="4"/>
        <v>0</v>
      </c>
      <c r="V665" s="8">
        <f t="shared" si="5"/>
        <v>3776850</v>
      </c>
      <c r="W665" s="10">
        <f t="shared" si="6"/>
        <v>2341800</v>
      </c>
      <c r="X665" s="10">
        <f t="shared" si="7"/>
        <v>1435050</v>
      </c>
      <c r="Y665" s="10"/>
      <c r="Z665" s="10"/>
      <c r="AA665" s="10"/>
      <c r="AB665" s="4" t="s">
        <v>2106</v>
      </c>
      <c r="AC665" s="4" t="s">
        <v>2105</v>
      </c>
      <c r="AD665" s="4">
        <v>43442.0</v>
      </c>
      <c r="AE665" s="4">
        <v>2018.0</v>
      </c>
      <c r="AF665" s="4" t="s">
        <v>193</v>
      </c>
      <c r="AG665" s="4" t="s">
        <v>194</v>
      </c>
      <c r="AH665" s="4" t="s">
        <v>31</v>
      </c>
      <c r="AI665" s="4" t="s">
        <v>51</v>
      </c>
      <c r="AJ665" s="4" t="s">
        <v>33</v>
      </c>
      <c r="AK665" s="4" t="s">
        <v>104</v>
      </c>
      <c r="AL665" s="4" t="s">
        <v>1047</v>
      </c>
      <c r="AM665" s="4" t="s">
        <v>36</v>
      </c>
      <c r="AN665" s="4" t="s">
        <v>37</v>
      </c>
      <c r="AO665" s="4" t="s">
        <v>38</v>
      </c>
      <c r="AP665" s="4">
        <v>43444.0</v>
      </c>
      <c r="AQ665" s="4">
        <v>780600.0</v>
      </c>
      <c r="AR665" s="4">
        <v>1258950.0</v>
      </c>
      <c r="AS665" s="4">
        <v>478350.0</v>
      </c>
      <c r="AT665" s="4">
        <v>3.0</v>
      </c>
      <c r="AU665" s="4">
        <v>3776850.0</v>
      </c>
      <c r="AV665" s="4">
        <v>0.0</v>
      </c>
      <c r="AW665" s="4">
        <v>0.0</v>
      </c>
      <c r="AX665" s="4">
        <v>3776850.0</v>
      </c>
      <c r="AY665" s="4">
        <v>2341800.0</v>
      </c>
      <c r="AZ665" s="4">
        <v>1435050.0</v>
      </c>
    </row>
    <row r="666" ht="15.75" customHeight="1">
      <c r="A666" s="3" t="s">
        <v>2107</v>
      </c>
      <c r="B666" s="5">
        <v>43442.0</v>
      </c>
      <c r="C666" s="6">
        <f t="shared" si="1"/>
        <v>2018</v>
      </c>
      <c r="D666" s="7" t="s">
        <v>155</v>
      </c>
      <c r="E666" s="7" t="s">
        <v>156</v>
      </c>
      <c r="F666" s="7" t="s">
        <v>50</v>
      </c>
      <c r="G666" s="5" t="s">
        <v>51</v>
      </c>
      <c r="H666" s="7" t="s">
        <v>110</v>
      </c>
      <c r="I666" s="7" t="s">
        <v>92</v>
      </c>
      <c r="J666" s="7" t="s">
        <v>771</v>
      </c>
      <c r="K666" s="7" t="s">
        <v>36</v>
      </c>
      <c r="L666" s="7" t="s">
        <v>37</v>
      </c>
      <c r="M666" s="7" t="s">
        <v>38</v>
      </c>
      <c r="N666" s="5">
        <v>43443.0</v>
      </c>
      <c r="O666" s="8">
        <v>34350.0</v>
      </c>
      <c r="P666" s="8">
        <v>55350.0</v>
      </c>
      <c r="Q666" s="8">
        <f t="shared" si="2"/>
        <v>21000</v>
      </c>
      <c r="R666" s="8">
        <v>39.0</v>
      </c>
      <c r="S666" s="8">
        <f t="shared" si="3"/>
        <v>2158650</v>
      </c>
      <c r="T666" s="9">
        <v>0.03</v>
      </c>
      <c r="U666" s="8">
        <f t="shared" si="4"/>
        <v>64759.5</v>
      </c>
      <c r="V666" s="8">
        <f t="shared" si="5"/>
        <v>2093890.5</v>
      </c>
      <c r="W666" s="10">
        <f t="shared" si="6"/>
        <v>1339650</v>
      </c>
      <c r="X666" s="10">
        <f t="shared" si="7"/>
        <v>754240.5</v>
      </c>
      <c r="Y666" s="10"/>
      <c r="Z666" s="10"/>
      <c r="AA666" s="10"/>
      <c r="AB666" s="4" t="s">
        <v>2108</v>
      </c>
      <c r="AC666" s="4" t="s">
        <v>2107</v>
      </c>
      <c r="AD666" s="4">
        <v>43442.0</v>
      </c>
      <c r="AE666" s="4">
        <v>2018.0</v>
      </c>
      <c r="AF666" s="4" t="s">
        <v>155</v>
      </c>
      <c r="AG666" s="4" t="s">
        <v>156</v>
      </c>
      <c r="AH666" s="4" t="s">
        <v>50</v>
      </c>
      <c r="AI666" s="4" t="s">
        <v>51</v>
      </c>
      <c r="AJ666" s="4" t="s">
        <v>110</v>
      </c>
      <c r="AK666" s="4" t="s">
        <v>92</v>
      </c>
      <c r="AL666" s="4" t="s">
        <v>771</v>
      </c>
      <c r="AM666" s="4" t="s">
        <v>36</v>
      </c>
      <c r="AN666" s="4" t="s">
        <v>37</v>
      </c>
      <c r="AO666" s="4" t="s">
        <v>38</v>
      </c>
      <c r="AP666" s="4">
        <v>43443.0</v>
      </c>
      <c r="AQ666" s="4">
        <v>34350.0</v>
      </c>
      <c r="AR666" s="4">
        <v>55350.0</v>
      </c>
      <c r="AS666" s="4">
        <v>21000.0</v>
      </c>
      <c r="AT666" s="4">
        <v>39.0</v>
      </c>
      <c r="AU666" s="4">
        <v>2158650.0</v>
      </c>
      <c r="AV666" s="4">
        <v>0.03</v>
      </c>
      <c r="AW666" s="4">
        <v>64759.5</v>
      </c>
      <c r="AX666" s="4">
        <v>2093890.5</v>
      </c>
      <c r="AY666" s="4">
        <v>1339650.0</v>
      </c>
      <c r="AZ666" s="4">
        <v>754240.5</v>
      </c>
    </row>
    <row r="667" ht="15.75" customHeight="1">
      <c r="A667" s="3" t="s">
        <v>2109</v>
      </c>
      <c r="B667" s="5">
        <v>43444.0</v>
      </c>
      <c r="C667" s="6">
        <f t="shared" si="1"/>
        <v>2018</v>
      </c>
      <c r="D667" s="7" t="s">
        <v>809</v>
      </c>
      <c r="E667" s="7" t="s">
        <v>164</v>
      </c>
      <c r="F667" s="7" t="s">
        <v>50</v>
      </c>
      <c r="G667" s="5" t="s">
        <v>91</v>
      </c>
      <c r="H667" s="7" t="s">
        <v>69</v>
      </c>
      <c r="I667" s="7" t="s">
        <v>53</v>
      </c>
      <c r="J667" s="7" t="s">
        <v>516</v>
      </c>
      <c r="K667" s="7" t="s">
        <v>36</v>
      </c>
      <c r="L667" s="7" t="s">
        <v>37</v>
      </c>
      <c r="M667" s="7" t="s">
        <v>38</v>
      </c>
      <c r="N667" s="5">
        <v>43446.0</v>
      </c>
      <c r="O667" s="8">
        <v>29100.0</v>
      </c>
      <c r="P667" s="8">
        <v>46200.0</v>
      </c>
      <c r="Q667" s="8">
        <f t="shared" si="2"/>
        <v>17100</v>
      </c>
      <c r="R667" s="8">
        <v>6.0</v>
      </c>
      <c r="S667" s="8">
        <f t="shared" si="3"/>
        <v>277200</v>
      </c>
      <c r="T667" s="9">
        <v>0.02</v>
      </c>
      <c r="U667" s="8">
        <f t="shared" si="4"/>
        <v>5544</v>
      </c>
      <c r="V667" s="8">
        <f t="shared" si="5"/>
        <v>271656</v>
      </c>
      <c r="W667" s="10">
        <f t="shared" si="6"/>
        <v>174600</v>
      </c>
      <c r="X667" s="10">
        <f t="shared" si="7"/>
        <v>97056</v>
      </c>
      <c r="Y667" s="10"/>
      <c r="Z667" s="10"/>
      <c r="AA667" s="10"/>
      <c r="AB667" s="4" t="s">
        <v>2110</v>
      </c>
      <c r="AC667" s="4" t="s">
        <v>2109</v>
      </c>
      <c r="AD667" s="4">
        <v>43444.0</v>
      </c>
      <c r="AE667" s="4">
        <v>2018.0</v>
      </c>
      <c r="AF667" s="4" t="s">
        <v>809</v>
      </c>
      <c r="AG667" s="4" t="s">
        <v>164</v>
      </c>
      <c r="AH667" s="4" t="s">
        <v>50</v>
      </c>
      <c r="AI667" s="4" t="s">
        <v>91</v>
      </c>
      <c r="AJ667" s="4" t="s">
        <v>69</v>
      </c>
      <c r="AK667" s="4" t="s">
        <v>53</v>
      </c>
      <c r="AL667" s="4" t="s">
        <v>516</v>
      </c>
      <c r="AM667" s="4" t="s">
        <v>36</v>
      </c>
      <c r="AN667" s="4" t="s">
        <v>37</v>
      </c>
      <c r="AO667" s="4" t="s">
        <v>38</v>
      </c>
      <c r="AP667" s="4">
        <v>43446.0</v>
      </c>
      <c r="AQ667" s="4">
        <v>29100.0</v>
      </c>
      <c r="AR667" s="4">
        <v>46200.0</v>
      </c>
      <c r="AS667" s="4">
        <v>17100.0</v>
      </c>
      <c r="AT667" s="4">
        <v>6.0</v>
      </c>
      <c r="AU667" s="4">
        <v>277200.0</v>
      </c>
      <c r="AV667" s="4">
        <v>0.02</v>
      </c>
      <c r="AW667" s="4">
        <v>5544.0</v>
      </c>
      <c r="AX667" s="4">
        <v>271656.0</v>
      </c>
      <c r="AY667" s="4">
        <v>174600.0</v>
      </c>
      <c r="AZ667" s="4">
        <v>97056.0</v>
      </c>
    </row>
    <row r="668" ht="15.75" customHeight="1">
      <c r="A668" s="3" t="s">
        <v>2111</v>
      </c>
      <c r="B668" s="5">
        <v>43446.0</v>
      </c>
      <c r="C668" s="6">
        <f t="shared" si="1"/>
        <v>2018</v>
      </c>
      <c r="D668" s="7" t="s">
        <v>2112</v>
      </c>
      <c r="E668" s="7" t="s">
        <v>2113</v>
      </c>
      <c r="F668" s="7" t="s">
        <v>50</v>
      </c>
      <c r="G668" s="5" t="s">
        <v>51</v>
      </c>
      <c r="H668" s="7" t="s">
        <v>52</v>
      </c>
      <c r="I668" s="7" t="s">
        <v>104</v>
      </c>
      <c r="J668" s="7" t="s">
        <v>697</v>
      </c>
      <c r="K668" s="7" t="s">
        <v>61</v>
      </c>
      <c r="L668" s="7" t="s">
        <v>37</v>
      </c>
      <c r="M668" s="7" t="s">
        <v>38</v>
      </c>
      <c r="N668" s="5">
        <v>43448.0</v>
      </c>
      <c r="O668" s="8">
        <v>619200.0</v>
      </c>
      <c r="P668" s="8">
        <v>1439850.0</v>
      </c>
      <c r="Q668" s="8">
        <f t="shared" si="2"/>
        <v>820650</v>
      </c>
      <c r="R668" s="8">
        <v>26.0</v>
      </c>
      <c r="S668" s="8">
        <f t="shared" si="3"/>
        <v>37436100</v>
      </c>
      <c r="T668" s="9">
        <v>0.02</v>
      </c>
      <c r="U668" s="8">
        <f t="shared" si="4"/>
        <v>748722</v>
      </c>
      <c r="V668" s="8">
        <f t="shared" si="5"/>
        <v>36687378</v>
      </c>
      <c r="W668" s="10">
        <f t="shared" si="6"/>
        <v>16099200</v>
      </c>
      <c r="X668" s="10">
        <f t="shared" si="7"/>
        <v>20588178</v>
      </c>
      <c r="Y668" s="10"/>
      <c r="Z668" s="10"/>
      <c r="AA668" s="10"/>
      <c r="AB668" s="4" t="s">
        <v>2114</v>
      </c>
      <c r="AC668" s="4" t="s">
        <v>2111</v>
      </c>
      <c r="AD668" s="4">
        <v>43446.0</v>
      </c>
      <c r="AE668" s="4">
        <v>2018.0</v>
      </c>
      <c r="AF668" s="4" t="s">
        <v>2112</v>
      </c>
      <c r="AG668" s="4" t="s">
        <v>2113</v>
      </c>
      <c r="AH668" s="4" t="s">
        <v>50</v>
      </c>
      <c r="AI668" s="4" t="s">
        <v>51</v>
      </c>
      <c r="AJ668" s="4" t="s">
        <v>52</v>
      </c>
      <c r="AK668" s="4" t="s">
        <v>104</v>
      </c>
      <c r="AL668" s="4" t="s">
        <v>697</v>
      </c>
      <c r="AM668" s="4" t="s">
        <v>61</v>
      </c>
      <c r="AN668" s="4" t="s">
        <v>37</v>
      </c>
      <c r="AO668" s="4" t="s">
        <v>38</v>
      </c>
      <c r="AP668" s="4">
        <v>43448.0</v>
      </c>
      <c r="AQ668" s="4">
        <v>619200.0</v>
      </c>
      <c r="AR668" s="4">
        <v>1439850.0</v>
      </c>
      <c r="AS668" s="4">
        <v>820650.0</v>
      </c>
      <c r="AT668" s="4">
        <v>26.0</v>
      </c>
      <c r="AU668" s="4">
        <v>3.74361E7</v>
      </c>
      <c r="AV668" s="4">
        <v>0.02</v>
      </c>
      <c r="AW668" s="4">
        <v>748722.0</v>
      </c>
      <c r="AX668" s="4">
        <v>3.6687378E7</v>
      </c>
      <c r="AY668" s="4">
        <v>1.60992E7</v>
      </c>
      <c r="AZ668" s="4">
        <v>2.0588178E7</v>
      </c>
    </row>
    <row r="669" ht="15.75" customHeight="1">
      <c r="A669" s="3" t="s">
        <v>2115</v>
      </c>
      <c r="B669" s="5">
        <v>43447.0</v>
      </c>
      <c r="C669" s="6">
        <f t="shared" si="1"/>
        <v>2018</v>
      </c>
      <c r="D669" s="7" t="s">
        <v>2116</v>
      </c>
      <c r="E669" s="7" t="s">
        <v>2117</v>
      </c>
      <c r="F669" s="7" t="s">
        <v>289</v>
      </c>
      <c r="G669" s="5" t="s">
        <v>68</v>
      </c>
      <c r="H669" s="7" t="s">
        <v>200</v>
      </c>
      <c r="I669" s="7" t="s">
        <v>74</v>
      </c>
      <c r="J669" s="7" t="s">
        <v>399</v>
      </c>
      <c r="K669" s="7" t="s">
        <v>36</v>
      </c>
      <c r="L669" s="7" t="s">
        <v>37</v>
      </c>
      <c r="M669" s="7" t="s">
        <v>38</v>
      </c>
      <c r="N669" s="5">
        <v>43447.0</v>
      </c>
      <c r="O669" s="8">
        <v>51000.0</v>
      </c>
      <c r="P669" s="8">
        <v>81000.0</v>
      </c>
      <c r="Q669" s="8">
        <f t="shared" si="2"/>
        <v>30000</v>
      </c>
      <c r="R669" s="8">
        <v>14.0</v>
      </c>
      <c r="S669" s="8">
        <f t="shared" si="3"/>
        <v>1134000</v>
      </c>
      <c r="T669" s="9">
        <v>0.02</v>
      </c>
      <c r="U669" s="8">
        <f t="shared" si="4"/>
        <v>22680</v>
      </c>
      <c r="V669" s="8">
        <f t="shared" si="5"/>
        <v>1111320</v>
      </c>
      <c r="W669" s="10">
        <f t="shared" si="6"/>
        <v>714000</v>
      </c>
      <c r="X669" s="10">
        <f t="shared" si="7"/>
        <v>397320</v>
      </c>
      <c r="Y669" s="10"/>
      <c r="Z669" s="10"/>
      <c r="AA669" s="10"/>
      <c r="AB669" s="4" t="s">
        <v>2118</v>
      </c>
      <c r="AC669" s="4" t="s">
        <v>2115</v>
      </c>
      <c r="AD669" s="4">
        <v>43447.0</v>
      </c>
      <c r="AE669" s="4">
        <v>2018.0</v>
      </c>
      <c r="AF669" s="4" t="s">
        <v>2116</v>
      </c>
      <c r="AG669" s="4" t="s">
        <v>2117</v>
      </c>
      <c r="AH669" s="4" t="s">
        <v>289</v>
      </c>
      <c r="AI669" s="4" t="s">
        <v>68</v>
      </c>
      <c r="AJ669" s="4" t="s">
        <v>200</v>
      </c>
      <c r="AK669" s="4" t="s">
        <v>74</v>
      </c>
      <c r="AL669" s="4" t="s">
        <v>399</v>
      </c>
      <c r="AM669" s="4" t="s">
        <v>36</v>
      </c>
      <c r="AN669" s="4" t="s">
        <v>37</v>
      </c>
      <c r="AO669" s="4" t="s">
        <v>38</v>
      </c>
      <c r="AP669" s="4">
        <v>43447.0</v>
      </c>
      <c r="AQ669" s="4">
        <v>51000.0</v>
      </c>
      <c r="AR669" s="4">
        <v>81000.0</v>
      </c>
      <c r="AS669" s="4">
        <v>30000.0</v>
      </c>
      <c r="AT669" s="4">
        <v>14.0</v>
      </c>
      <c r="AU669" s="4">
        <v>1134000.0</v>
      </c>
      <c r="AV669" s="4">
        <v>0.02</v>
      </c>
      <c r="AW669" s="4">
        <v>22680.0</v>
      </c>
      <c r="AX669" s="4">
        <v>1111320.0</v>
      </c>
      <c r="AY669" s="4">
        <v>714000.0</v>
      </c>
      <c r="AZ669" s="4">
        <v>397320.0</v>
      </c>
    </row>
    <row r="670" ht="15.75" customHeight="1">
      <c r="A670" s="3" t="s">
        <v>2119</v>
      </c>
      <c r="B670" s="5">
        <v>43447.0</v>
      </c>
      <c r="C670" s="6">
        <f t="shared" si="1"/>
        <v>2018</v>
      </c>
      <c r="D670" s="7" t="s">
        <v>2120</v>
      </c>
      <c r="E670" s="7" t="s">
        <v>537</v>
      </c>
      <c r="F670" s="7" t="s">
        <v>31</v>
      </c>
      <c r="G670" s="5" t="s">
        <v>32</v>
      </c>
      <c r="H670" s="7" t="s">
        <v>33</v>
      </c>
      <c r="I670" s="7" t="s">
        <v>53</v>
      </c>
      <c r="J670" s="7" t="s">
        <v>502</v>
      </c>
      <c r="K670" s="7" t="s">
        <v>36</v>
      </c>
      <c r="L670" s="7" t="s">
        <v>37</v>
      </c>
      <c r="M670" s="7" t="s">
        <v>38</v>
      </c>
      <c r="N670" s="5">
        <v>43448.0</v>
      </c>
      <c r="O670" s="8">
        <v>66900.0</v>
      </c>
      <c r="P670" s="8">
        <v>163350.0</v>
      </c>
      <c r="Q670" s="8">
        <f t="shared" si="2"/>
        <v>96450</v>
      </c>
      <c r="R670" s="8">
        <v>50.0</v>
      </c>
      <c r="S670" s="8">
        <f t="shared" si="3"/>
        <v>8167500</v>
      </c>
      <c r="T670" s="9">
        <v>0.09</v>
      </c>
      <c r="U670" s="8">
        <f t="shared" si="4"/>
        <v>735075</v>
      </c>
      <c r="V670" s="8">
        <f t="shared" si="5"/>
        <v>7432425</v>
      </c>
      <c r="W670" s="10">
        <f t="shared" si="6"/>
        <v>3345000</v>
      </c>
      <c r="X670" s="10">
        <f t="shared" si="7"/>
        <v>4087425</v>
      </c>
      <c r="Y670" s="10"/>
      <c r="Z670" s="10"/>
      <c r="AA670" s="10"/>
      <c r="AB670" s="4" t="s">
        <v>2121</v>
      </c>
      <c r="AC670" s="4" t="s">
        <v>2119</v>
      </c>
      <c r="AD670" s="4">
        <v>43447.0</v>
      </c>
      <c r="AE670" s="4">
        <v>2018.0</v>
      </c>
      <c r="AF670" s="4" t="s">
        <v>2120</v>
      </c>
      <c r="AG670" s="4" t="s">
        <v>537</v>
      </c>
      <c r="AH670" s="4" t="s">
        <v>31</v>
      </c>
      <c r="AI670" s="4" t="s">
        <v>32</v>
      </c>
      <c r="AJ670" s="4" t="s">
        <v>33</v>
      </c>
      <c r="AK670" s="4" t="s">
        <v>53</v>
      </c>
      <c r="AL670" s="4" t="s">
        <v>502</v>
      </c>
      <c r="AM670" s="4" t="s">
        <v>36</v>
      </c>
      <c r="AN670" s="4" t="s">
        <v>37</v>
      </c>
      <c r="AO670" s="4" t="s">
        <v>38</v>
      </c>
      <c r="AP670" s="4">
        <v>43448.0</v>
      </c>
      <c r="AQ670" s="4">
        <v>66900.0</v>
      </c>
      <c r="AR670" s="4">
        <v>163350.0</v>
      </c>
      <c r="AS670" s="4">
        <v>96450.0</v>
      </c>
      <c r="AT670" s="4">
        <v>50.0</v>
      </c>
      <c r="AU670" s="4">
        <v>8167500.0</v>
      </c>
      <c r="AV670" s="4">
        <v>0.09</v>
      </c>
      <c r="AW670" s="4">
        <v>735075.0</v>
      </c>
      <c r="AX670" s="4">
        <v>7432425.0</v>
      </c>
      <c r="AY670" s="4">
        <v>3345000.0</v>
      </c>
      <c r="AZ670" s="4">
        <v>4087425.0</v>
      </c>
    </row>
    <row r="671" ht="15.75" customHeight="1">
      <c r="A671" s="3" t="s">
        <v>2122</v>
      </c>
      <c r="B671" s="5">
        <v>43449.0</v>
      </c>
      <c r="C671" s="6">
        <f t="shared" si="1"/>
        <v>2018</v>
      </c>
      <c r="D671" s="7" t="s">
        <v>1416</v>
      </c>
      <c r="E671" s="7" t="s">
        <v>432</v>
      </c>
      <c r="F671" s="7" t="s">
        <v>50</v>
      </c>
      <c r="G671" s="5" t="s">
        <v>32</v>
      </c>
      <c r="H671" s="7" t="s">
        <v>140</v>
      </c>
      <c r="I671" s="7" t="s">
        <v>104</v>
      </c>
      <c r="J671" s="7" t="s">
        <v>331</v>
      </c>
      <c r="K671" s="7" t="s">
        <v>61</v>
      </c>
      <c r="L671" s="7" t="s">
        <v>37</v>
      </c>
      <c r="M671" s="7" t="s">
        <v>38</v>
      </c>
      <c r="N671" s="5">
        <v>43452.0</v>
      </c>
      <c r="O671" s="8">
        <v>908850.0</v>
      </c>
      <c r="P671" s="8">
        <v>1514700.0</v>
      </c>
      <c r="Q671" s="8">
        <f t="shared" si="2"/>
        <v>605850</v>
      </c>
      <c r="R671" s="8">
        <v>9.0</v>
      </c>
      <c r="S671" s="8">
        <f t="shared" si="3"/>
        <v>13632300</v>
      </c>
      <c r="T671" s="9">
        <v>0.1</v>
      </c>
      <c r="U671" s="8">
        <f t="shared" si="4"/>
        <v>1363230</v>
      </c>
      <c r="V671" s="8">
        <f t="shared" si="5"/>
        <v>12269070</v>
      </c>
      <c r="W671" s="10">
        <f t="shared" si="6"/>
        <v>8179650</v>
      </c>
      <c r="X671" s="10">
        <f t="shared" si="7"/>
        <v>4089420</v>
      </c>
      <c r="Y671" s="10"/>
      <c r="Z671" s="10"/>
      <c r="AA671" s="10"/>
      <c r="AB671" s="4" t="s">
        <v>2123</v>
      </c>
      <c r="AC671" s="4" t="s">
        <v>2122</v>
      </c>
      <c r="AD671" s="4">
        <v>43449.0</v>
      </c>
      <c r="AE671" s="4">
        <v>2018.0</v>
      </c>
      <c r="AF671" s="4" t="s">
        <v>1416</v>
      </c>
      <c r="AG671" s="4" t="s">
        <v>432</v>
      </c>
      <c r="AH671" s="4" t="s">
        <v>50</v>
      </c>
      <c r="AI671" s="4" t="s">
        <v>32</v>
      </c>
      <c r="AJ671" s="4" t="s">
        <v>140</v>
      </c>
      <c r="AK671" s="4" t="s">
        <v>104</v>
      </c>
      <c r="AL671" s="4" t="s">
        <v>331</v>
      </c>
      <c r="AM671" s="4" t="s">
        <v>61</v>
      </c>
      <c r="AN671" s="4" t="s">
        <v>37</v>
      </c>
      <c r="AO671" s="4" t="s">
        <v>38</v>
      </c>
      <c r="AP671" s="4">
        <v>43452.0</v>
      </c>
      <c r="AQ671" s="4">
        <v>908850.0</v>
      </c>
      <c r="AR671" s="4">
        <v>1514700.0</v>
      </c>
      <c r="AS671" s="4">
        <v>605850.0</v>
      </c>
      <c r="AT671" s="4">
        <v>9.0</v>
      </c>
      <c r="AU671" s="4">
        <v>1.36323E7</v>
      </c>
      <c r="AV671" s="4">
        <v>0.1</v>
      </c>
      <c r="AW671" s="4">
        <v>1363230.0</v>
      </c>
      <c r="AX671" s="4">
        <v>1.226907E7</v>
      </c>
      <c r="AY671" s="4">
        <v>8179650.0</v>
      </c>
      <c r="AZ671" s="4">
        <v>4089420.0</v>
      </c>
    </row>
    <row r="672" ht="15.75" customHeight="1">
      <c r="A672" s="3" t="s">
        <v>2124</v>
      </c>
      <c r="B672" s="5">
        <v>43449.0</v>
      </c>
      <c r="C672" s="6">
        <f t="shared" si="1"/>
        <v>2018</v>
      </c>
      <c r="D672" s="7" t="s">
        <v>725</v>
      </c>
      <c r="E672" s="7" t="s">
        <v>726</v>
      </c>
      <c r="F672" s="7" t="s">
        <v>50</v>
      </c>
      <c r="G672" s="5" t="s">
        <v>51</v>
      </c>
      <c r="H672" s="7" t="s">
        <v>52</v>
      </c>
      <c r="I672" s="7" t="s">
        <v>104</v>
      </c>
      <c r="J672" s="7" t="s">
        <v>308</v>
      </c>
      <c r="K672" s="7" t="s">
        <v>61</v>
      </c>
      <c r="L672" s="7" t="s">
        <v>37</v>
      </c>
      <c r="M672" s="7" t="s">
        <v>38</v>
      </c>
      <c r="N672" s="5">
        <v>43451.0</v>
      </c>
      <c r="O672" s="8">
        <v>2347500.0</v>
      </c>
      <c r="P672" s="8">
        <v>4514550.0</v>
      </c>
      <c r="Q672" s="8">
        <f t="shared" si="2"/>
        <v>2167050</v>
      </c>
      <c r="R672" s="8">
        <v>20.0</v>
      </c>
      <c r="S672" s="8">
        <f t="shared" si="3"/>
        <v>90291000</v>
      </c>
      <c r="T672" s="9">
        <v>0.05</v>
      </c>
      <c r="U672" s="8">
        <f t="shared" si="4"/>
        <v>4514550</v>
      </c>
      <c r="V672" s="8">
        <f t="shared" si="5"/>
        <v>85776450</v>
      </c>
      <c r="W672" s="10">
        <f t="shared" si="6"/>
        <v>46950000</v>
      </c>
      <c r="X672" s="10">
        <f t="shared" si="7"/>
        <v>38826450</v>
      </c>
      <c r="Y672" s="10"/>
      <c r="Z672" s="10"/>
      <c r="AA672" s="10"/>
      <c r="AB672" s="4" t="s">
        <v>2125</v>
      </c>
      <c r="AC672" s="4" t="s">
        <v>2124</v>
      </c>
      <c r="AD672" s="4">
        <v>43449.0</v>
      </c>
      <c r="AE672" s="4">
        <v>2018.0</v>
      </c>
      <c r="AF672" s="4" t="s">
        <v>725</v>
      </c>
      <c r="AG672" s="4" t="s">
        <v>726</v>
      </c>
      <c r="AH672" s="4" t="s">
        <v>50</v>
      </c>
      <c r="AI672" s="4" t="s">
        <v>51</v>
      </c>
      <c r="AJ672" s="4" t="s">
        <v>52</v>
      </c>
      <c r="AK672" s="4" t="s">
        <v>104</v>
      </c>
      <c r="AL672" s="4" t="s">
        <v>308</v>
      </c>
      <c r="AM672" s="4" t="s">
        <v>61</v>
      </c>
      <c r="AN672" s="4" t="s">
        <v>37</v>
      </c>
      <c r="AO672" s="4" t="s">
        <v>38</v>
      </c>
      <c r="AP672" s="4">
        <v>43451.0</v>
      </c>
      <c r="AQ672" s="4">
        <v>2347500.0</v>
      </c>
      <c r="AR672" s="4">
        <v>4514550.0</v>
      </c>
      <c r="AS672" s="4">
        <v>2167050.0</v>
      </c>
      <c r="AT672" s="4">
        <v>20.0</v>
      </c>
      <c r="AU672" s="4">
        <v>9.0291E7</v>
      </c>
      <c r="AV672" s="4">
        <v>0.05</v>
      </c>
      <c r="AW672" s="4">
        <v>4514550.0</v>
      </c>
      <c r="AX672" s="4">
        <v>8.577645E7</v>
      </c>
      <c r="AY672" s="4">
        <v>4.695E7</v>
      </c>
      <c r="AZ672" s="4">
        <v>3.882645E7</v>
      </c>
    </row>
    <row r="673" ht="15.75" customHeight="1">
      <c r="A673" s="3" t="s">
        <v>2126</v>
      </c>
      <c r="B673" s="5">
        <v>43450.0</v>
      </c>
      <c r="C673" s="6">
        <f t="shared" si="1"/>
        <v>2018</v>
      </c>
      <c r="D673" s="7" t="s">
        <v>637</v>
      </c>
      <c r="E673" s="7" t="s">
        <v>638</v>
      </c>
      <c r="F673" s="7" t="s">
        <v>50</v>
      </c>
      <c r="G673" s="5" t="s">
        <v>51</v>
      </c>
      <c r="H673" s="7" t="s">
        <v>98</v>
      </c>
      <c r="I673" s="7" t="s">
        <v>74</v>
      </c>
      <c r="J673" s="7" t="s">
        <v>502</v>
      </c>
      <c r="K673" s="7" t="s">
        <v>36</v>
      </c>
      <c r="L673" s="7" t="s">
        <v>37</v>
      </c>
      <c r="M673" s="7" t="s">
        <v>38</v>
      </c>
      <c r="N673" s="5">
        <v>43454.0</v>
      </c>
      <c r="O673" s="8">
        <v>66900.0</v>
      </c>
      <c r="P673" s="8">
        <v>163350.0</v>
      </c>
      <c r="Q673" s="8">
        <f t="shared" si="2"/>
        <v>96450</v>
      </c>
      <c r="R673" s="8">
        <v>3.0</v>
      </c>
      <c r="S673" s="8">
        <f t="shared" si="3"/>
        <v>490050</v>
      </c>
      <c r="T673" s="9">
        <v>0.08</v>
      </c>
      <c r="U673" s="8">
        <f t="shared" si="4"/>
        <v>39204</v>
      </c>
      <c r="V673" s="8">
        <f t="shared" si="5"/>
        <v>450846</v>
      </c>
      <c r="W673" s="10">
        <f t="shared" si="6"/>
        <v>200700</v>
      </c>
      <c r="X673" s="10">
        <f t="shared" si="7"/>
        <v>250146</v>
      </c>
      <c r="Y673" s="10"/>
      <c r="Z673" s="10"/>
      <c r="AA673" s="10"/>
      <c r="AB673" s="4" t="s">
        <v>2127</v>
      </c>
      <c r="AC673" s="4" t="s">
        <v>2126</v>
      </c>
      <c r="AD673" s="4">
        <v>43450.0</v>
      </c>
      <c r="AE673" s="4">
        <v>2018.0</v>
      </c>
      <c r="AF673" s="4" t="s">
        <v>637</v>
      </c>
      <c r="AG673" s="4" t="s">
        <v>638</v>
      </c>
      <c r="AH673" s="4" t="s">
        <v>50</v>
      </c>
      <c r="AI673" s="4" t="s">
        <v>51</v>
      </c>
      <c r="AJ673" s="4" t="s">
        <v>98</v>
      </c>
      <c r="AK673" s="4" t="s">
        <v>74</v>
      </c>
      <c r="AL673" s="4" t="s">
        <v>502</v>
      </c>
      <c r="AM673" s="4" t="s">
        <v>36</v>
      </c>
      <c r="AN673" s="4" t="s">
        <v>37</v>
      </c>
      <c r="AO673" s="4" t="s">
        <v>38</v>
      </c>
      <c r="AP673" s="4">
        <v>43454.0</v>
      </c>
      <c r="AQ673" s="4">
        <v>66900.0</v>
      </c>
      <c r="AR673" s="4">
        <v>163350.0</v>
      </c>
      <c r="AS673" s="4">
        <v>96450.0</v>
      </c>
      <c r="AT673" s="4">
        <v>3.0</v>
      </c>
      <c r="AU673" s="4">
        <v>490050.0</v>
      </c>
      <c r="AV673" s="4">
        <v>0.08</v>
      </c>
      <c r="AW673" s="4">
        <v>39204.0</v>
      </c>
      <c r="AX673" s="4">
        <v>450846.0</v>
      </c>
      <c r="AY673" s="4">
        <v>200700.0</v>
      </c>
      <c r="AZ673" s="4">
        <v>250146.0</v>
      </c>
    </row>
    <row r="674" ht="15.75" customHeight="1">
      <c r="A674" s="3" t="s">
        <v>2128</v>
      </c>
      <c r="B674" s="5">
        <v>43451.0</v>
      </c>
      <c r="C674" s="6">
        <f t="shared" si="1"/>
        <v>2018</v>
      </c>
      <c r="D674" s="7" t="s">
        <v>2129</v>
      </c>
      <c r="E674" s="7" t="s">
        <v>393</v>
      </c>
      <c r="F674" s="7" t="s">
        <v>31</v>
      </c>
      <c r="G674" s="5" t="s">
        <v>68</v>
      </c>
      <c r="H674" s="7" t="s">
        <v>43</v>
      </c>
      <c r="I674" s="7" t="s">
        <v>104</v>
      </c>
      <c r="J674" s="7" t="s">
        <v>60</v>
      </c>
      <c r="K674" s="7" t="s">
        <v>61</v>
      </c>
      <c r="L674" s="7" t="s">
        <v>62</v>
      </c>
      <c r="M674" s="7" t="s">
        <v>63</v>
      </c>
      <c r="N674" s="5">
        <v>43453.0</v>
      </c>
      <c r="O674" s="8">
        <v>1125000.0</v>
      </c>
      <c r="P674" s="8">
        <v>1814550.0</v>
      </c>
      <c r="Q674" s="8">
        <f t="shared" si="2"/>
        <v>689550</v>
      </c>
      <c r="R674" s="8">
        <v>46.0</v>
      </c>
      <c r="S674" s="8">
        <f t="shared" si="3"/>
        <v>83469300</v>
      </c>
      <c r="T674" s="9">
        <v>0.07</v>
      </c>
      <c r="U674" s="8">
        <f t="shared" si="4"/>
        <v>5842851</v>
      </c>
      <c r="V674" s="8">
        <f t="shared" si="5"/>
        <v>77626449</v>
      </c>
      <c r="W674" s="10">
        <f t="shared" si="6"/>
        <v>51750000</v>
      </c>
      <c r="X674" s="10">
        <f t="shared" si="7"/>
        <v>25876449</v>
      </c>
      <c r="Y674" s="10"/>
      <c r="Z674" s="10"/>
      <c r="AA674" s="10"/>
      <c r="AB674" s="4" t="s">
        <v>2130</v>
      </c>
      <c r="AC674" s="4" t="s">
        <v>2128</v>
      </c>
      <c r="AD674" s="4">
        <v>43451.0</v>
      </c>
      <c r="AE674" s="4">
        <v>2018.0</v>
      </c>
      <c r="AF674" s="4" t="s">
        <v>2129</v>
      </c>
      <c r="AG674" s="4" t="s">
        <v>393</v>
      </c>
      <c r="AH674" s="4" t="s">
        <v>31</v>
      </c>
      <c r="AI674" s="4" t="s">
        <v>68</v>
      </c>
      <c r="AJ674" s="4" t="s">
        <v>43</v>
      </c>
      <c r="AK674" s="4" t="s">
        <v>104</v>
      </c>
      <c r="AL674" s="4" t="s">
        <v>60</v>
      </c>
      <c r="AM674" s="4" t="s">
        <v>61</v>
      </c>
      <c r="AN674" s="4" t="s">
        <v>62</v>
      </c>
      <c r="AO674" s="4" t="s">
        <v>63</v>
      </c>
      <c r="AP674" s="4">
        <v>43453.0</v>
      </c>
      <c r="AQ674" s="4">
        <v>1125000.0</v>
      </c>
      <c r="AR674" s="4">
        <v>1814550.0</v>
      </c>
      <c r="AS674" s="4">
        <v>689550.0</v>
      </c>
      <c r="AT674" s="4">
        <v>46.0</v>
      </c>
      <c r="AU674" s="4">
        <v>8.34693E7</v>
      </c>
      <c r="AV674" s="4">
        <v>0.07</v>
      </c>
      <c r="AW674" s="4">
        <v>5842851.0</v>
      </c>
      <c r="AX674" s="4">
        <v>7.7626449E7</v>
      </c>
      <c r="AY674" s="4">
        <v>5.175E7</v>
      </c>
      <c r="AZ674" s="4">
        <v>2.5876449E7</v>
      </c>
    </row>
    <row r="675" ht="15.75" customHeight="1">
      <c r="A675" s="3" t="s">
        <v>2131</v>
      </c>
      <c r="B675" s="5">
        <v>43453.0</v>
      </c>
      <c r="C675" s="6">
        <f t="shared" si="1"/>
        <v>2018</v>
      </c>
      <c r="D675" s="7" t="s">
        <v>407</v>
      </c>
      <c r="E675" s="7" t="s">
        <v>408</v>
      </c>
      <c r="F675" s="7" t="s">
        <v>289</v>
      </c>
      <c r="G675" s="5" t="s">
        <v>51</v>
      </c>
      <c r="H675" s="7" t="s">
        <v>98</v>
      </c>
      <c r="I675" s="7" t="s">
        <v>53</v>
      </c>
      <c r="J675" s="7" t="s">
        <v>331</v>
      </c>
      <c r="K675" s="7" t="s">
        <v>61</v>
      </c>
      <c r="L675" s="7" t="s">
        <v>37</v>
      </c>
      <c r="M675" s="7" t="s">
        <v>38</v>
      </c>
      <c r="N675" s="5">
        <v>43454.0</v>
      </c>
      <c r="O675" s="8">
        <v>908850.0</v>
      </c>
      <c r="P675" s="8">
        <v>1514700.0</v>
      </c>
      <c r="Q675" s="8">
        <f t="shared" si="2"/>
        <v>605850</v>
      </c>
      <c r="R675" s="8">
        <v>44.0</v>
      </c>
      <c r="S675" s="8">
        <f t="shared" si="3"/>
        <v>66646800</v>
      </c>
      <c r="T675" s="9">
        <v>0.09</v>
      </c>
      <c r="U675" s="8">
        <f t="shared" si="4"/>
        <v>5998212</v>
      </c>
      <c r="V675" s="8">
        <f t="shared" si="5"/>
        <v>60648588</v>
      </c>
      <c r="W675" s="10">
        <f t="shared" si="6"/>
        <v>39989400</v>
      </c>
      <c r="X675" s="10">
        <f t="shared" si="7"/>
        <v>20659188</v>
      </c>
      <c r="Y675" s="10"/>
      <c r="Z675" s="10"/>
      <c r="AA675" s="10"/>
      <c r="AB675" s="4" t="s">
        <v>2132</v>
      </c>
      <c r="AC675" s="4" t="s">
        <v>2131</v>
      </c>
      <c r="AD675" s="4">
        <v>43453.0</v>
      </c>
      <c r="AE675" s="4">
        <v>2018.0</v>
      </c>
      <c r="AF675" s="4" t="s">
        <v>407</v>
      </c>
      <c r="AG675" s="4" t="s">
        <v>408</v>
      </c>
      <c r="AH675" s="4" t="s">
        <v>289</v>
      </c>
      <c r="AI675" s="4" t="s">
        <v>51</v>
      </c>
      <c r="AJ675" s="4" t="s">
        <v>98</v>
      </c>
      <c r="AK675" s="4" t="s">
        <v>53</v>
      </c>
      <c r="AL675" s="4" t="s">
        <v>331</v>
      </c>
      <c r="AM675" s="4" t="s">
        <v>61</v>
      </c>
      <c r="AN675" s="4" t="s">
        <v>37</v>
      </c>
      <c r="AO675" s="4" t="s">
        <v>38</v>
      </c>
      <c r="AP675" s="4">
        <v>43454.0</v>
      </c>
      <c r="AQ675" s="4">
        <v>908850.0</v>
      </c>
      <c r="AR675" s="4">
        <v>1514700.0</v>
      </c>
      <c r="AS675" s="4">
        <v>605850.0</v>
      </c>
      <c r="AT675" s="4">
        <v>44.0</v>
      </c>
      <c r="AU675" s="4">
        <v>6.66468E7</v>
      </c>
      <c r="AV675" s="4">
        <v>0.09</v>
      </c>
      <c r="AW675" s="4">
        <v>5998212.0</v>
      </c>
      <c r="AX675" s="4">
        <v>6.0648588E7</v>
      </c>
      <c r="AY675" s="4">
        <v>3.99894E7</v>
      </c>
      <c r="AZ675" s="4">
        <v>2.0659188E7</v>
      </c>
    </row>
    <row r="676" ht="15.75" customHeight="1">
      <c r="A676" s="3" t="s">
        <v>2133</v>
      </c>
      <c r="B676" s="5">
        <v>43454.0</v>
      </c>
      <c r="C676" s="6">
        <f t="shared" si="1"/>
        <v>2018</v>
      </c>
      <c r="D676" s="7" t="s">
        <v>2134</v>
      </c>
      <c r="E676" s="7" t="s">
        <v>416</v>
      </c>
      <c r="F676" s="7" t="s">
        <v>50</v>
      </c>
      <c r="G676" s="5" t="s">
        <v>91</v>
      </c>
      <c r="H676" s="7" t="s">
        <v>52</v>
      </c>
      <c r="I676" s="7" t="s">
        <v>34</v>
      </c>
      <c r="J676" s="7" t="s">
        <v>208</v>
      </c>
      <c r="K676" s="7" t="s">
        <v>36</v>
      </c>
      <c r="L676" s="7" t="s">
        <v>127</v>
      </c>
      <c r="M676" s="7" t="s">
        <v>38</v>
      </c>
      <c r="N676" s="5">
        <v>43456.0</v>
      </c>
      <c r="O676" s="8">
        <v>71850.0</v>
      </c>
      <c r="P676" s="8">
        <v>179550.0</v>
      </c>
      <c r="Q676" s="8">
        <f t="shared" si="2"/>
        <v>107700</v>
      </c>
      <c r="R676" s="8">
        <v>48.0</v>
      </c>
      <c r="S676" s="8">
        <f t="shared" si="3"/>
        <v>8618400</v>
      </c>
      <c r="T676" s="9">
        <v>0.02</v>
      </c>
      <c r="U676" s="8">
        <f t="shared" si="4"/>
        <v>172368</v>
      </c>
      <c r="V676" s="8">
        <f t="shared" si="5"/>
        <v>8446032</v>
      </c>
      <c r="W676" s="10">
        <f t="shared" si="6"/>
        <v>3448800</v>
      </c>
      <c r="X676" s="10">
        <f t="shared" si="7"/>
        <v>4997232</v>
      </c>
      <c r="Y676" s="10"/>
      <c r="Z676" s="10"/>
      <c r="AA676" s="10"/>
      <c r="AB676" s="4" t="s">
        <v>2135</v>
      </c>
      <c r="AC676" s="4" t="s">
        <v>2133</v>
      </c>
      <c r="AD676" s="4">
        <v>43454.0</v>
      </c>
      <c r="AE676" s="4">
        <v>2018.0</v>
      </c>
      <c r="AF676" s="4" t="s">
        <v>2134</v>
      </c>
      <c r="AG676" s="4" t="s">
        <v>416</v>
      </c>
      <c r="AH676" s="4" t="s">
        <v>50</v>
      </c>
      <c r="AI676" s="4" t="s">
        <v>91</v>
      </c>
      <c r="AJ676" s="4" t="s">
        <v>52</v>
      </c>
      <c r="AK676" s="4" t="s">
        <v>34</v>
      </c>
      <c r="AL676" s="4" t="s">
        <v>208</v>
      </c>
      <c r="AM676" s="4" t="s">
        <v>36</v>
      </c>
      <c r="AN676" s="4" t="s">
        <v>127</v>
      </c>
      <c r="AO676" s="4" t="s">
        <v>38</v>
      </c>
      <c r="AP676" s="4">
        <v>43456.0</v>
      </c>
      <c r="AQ676" s="4">
        <v>71850.0</v>
      </c>
      <c r="AR676" s="4">
        <v>179550.0</v>
      </c>
      <c r="AS676" s="4">
        <v>107700.0</v>
      </c>
      <c r="AT676" s="4">
        <v>48.0</v>
      </c>
      <c r="AU676" s="4">
        <v>8618400.0</v>
      </c>
      <c r="AV676" s="4">
        <v>0.02</v>
      </c>
      <c r="AW676" s="4">
        <v>172368.0</v>
      </c>
      <c r="AX676" s="4">
        <v>8446032.0</v>
      </c>
      <c r="AY676" s="4">
        <v>3448800.0</v>
      </c>
      <c r="AZ676" s="4">
        <v>4997232.0</v>
      </c>
    </row>
    <row r="677" ht="15.75" customHeight="1">
      <c r="A677" s="3" t="s">
        <v>2136</v>
      </c>
      <c r="B677" s="5">
        <v>43455.0</v>
      </c>
      <c r="C677" s="6">
        <f t="shared" si="1"/>
        <v>2018</v>
      </c>
      <c r="D677" s="7" t="s">
        <v>363</v>
      </c>
      <c r="E677" s="7" t="s">
        <v>364</v>
      </c>
      <c r="F677" s="7" t="s">
        <v>50</v>
      </c>
      <c r="G677" s="5" t="s">
        <v>51</v>
      </c>
      <c r="H677" s="7" t="s">
        <v>200</v>
      </c>
      <c r="I677" s="7" t="s">
        <v>34</v>
      </c>
      <c r="J677" s="7" t="s">
        <v>627</v>
      </c>
      <c r="K677" s="7" t="s">
        <v>36</v>
      </c>
      <c r="L677" s="7" t="s">
        <v>45</v>
      </c>
      <c r="M677" s="7" t="s">
        <v>38</v>
      </c>
      <c r="N677" s="5">
        <v>43457.0</v>
      </c>
      <c r="O677" s="8">
        <v>49800.0</v>
      </c>
      <c r="P677" s="8">
        <v>77700.0</v>
      </c>
      <c r="Q677" s="8">
        <f t="shared" si="2"/>
        <v>27900</v>
      </c>
      <c r="R677" s="8">
        <v>20.0</v>
      </c>
      <c r="S677" s="8">
        <f t="shared" si="3"/>
        <v>1554000</v>
      </c>
      <c r="T677" s="9">
        <v>0.06</v>
      </c>
      <c r="U677" s="8">
        <f t="shared" si="4"/>
        <v>93240</v>
      </c>
      <c r="V677" s="8">
        <f t="shared" si="5"/>
        <v>1460760</v>
      </c>
      <c r="W677" s="10">
        <f t="shared" si="6"/>
        <v>996000</v>
      </c>
      <c r="X677" s="10">
        <f t="shared" si="7"/>
        <v>464760</v>
      </c>
      <c r="Y677" s="10"/>
      <c r="Z677" s="10"/>
      <c r="AA677" s="10"/>
      <c r="AB677" s="4" t="s">
        <v>2137</v>
      </c>
      <c r="AC677" s="4" t="s">
        <v>2136</v>
      </c>
      <c r="AD677" s="4">
        <v>43455.0</v>
      </c>
      <c r="AE677" s="4">
        <v>2018.0</v>
      </c>
      <c r="AF677" s="4" t="s">
        <v>363</v>
      </c>
      <c r="AG677" s="4" t="s">
        <v>364</v>
      </c>
      <c r="AH677" s="4" t="s">
        <v>50</v>
      </c>
      <c r="AI677" s="4" t="s">
        <v>51</v>
      </c>
      <c r="AJ677" s="4" t="s">
        <v>200</v>
      </c>
      <c r="AK677" s="4" t="s">
        <v>34</v>
      </c>
      <c r="AL677" s="4" t="s">
        <v>627</v>
      </c>
      <c r="AM677" s="4" t="s">
        <v>36</v>
      </c>
      <c r="AN677" s="4" t="s">
        <v>45</v>
      </c>
      <c r="AO677" s="4" t="s">
        <v>38</v>
      </c>
      <c r="AP677" s="4">
        <v>43457.0</v>
      </c>
      <c r="AQ677" s="4">
        <v>49800.0</v>
      </c>
      <c r="AR677" s="4">
        <v>77700.0</v>
      </c>
      <c r="AS677" s="4">
        <v>27900.0</v>
      </c>
      <c r="AT677" s="4">
        <v>20.0</v>
      </c>
      <c r="AU677" s="4">
        <v>1554000.0</v>
      </c>
      <c r="AV677" s="4">
        <v>0.06</v>
      </c>
      <c r="AW677" s="4">
        <v>93240.0</v>
      </c>
      <c r="AX677" s="4">
        <v>1460760.0</v>
      </c>
      <c r="AY677" s="4">
        <v>996000.0</v>
      </c>
      <c r="AZ677" s="4">
        <v>464760.0</v>
      </c>
    </row>
    <row r="678" ht="15.75" customHeight="1">
      <c r="A678" s="3" t="s">
        <v>2138</v>
      </c>
      <c r="B678" s="5">
        <v>43455.0</v>
      </c>
      <c r="C678" s="6">
        <f t="shared" si="1"/>
        <v>2018</v>
      </c>
      <c r="D678" s="7" t="s">
        <v>172</v>
      </c>
      <c r="E678" s="7" t="s">
        <v>173</v>
      </c>
      <c r="F678" s="7" t="s">
        <v>31</v>
      </c>
      <c r="G678" s="5" t="s">
        <v>91</v>
      </c>
      <c r="H678" s="7" t="s">
        <v>43</v>
      </c>
      <c r="I678" s="7" t="s">
        <v>34</v>
      </c>
      <c r="J678" s="7" t="s">
        <v>467</v>
      </c>
      <c r="K678" s="7" t="s">
        <v>36</v>
      </c>
      <c r="L678" s="7" t="s">
        <v>45</v>
      </c>
      <c r="M678" s="7" t="s">
        <v>38</v>
      </c>
      <c r="N678" s="5">
        <v>43457.0</v>
      </c>
      <c r="O678" s="8">
        <v>3600.0</v>
      </c>
      <c r="P678" s="8">
        <v>18900.0</v>
      </c>
      <c r="Q678" s="8">
        <f t="shared" si="2"/>
        <v>15300</v>
      </c>
      <c r="R678" s="8">
        <v>31.0</v>
      </c>
      <c r="S678" s="8">
        <f t="shared" si="3"/>
        <v>585900</v>
      </c>
      <c r="T678" s="9">
        <v>0.06</v>
      </c>
      <c r="U678" s="8">
        <f t="shared" si="4"/>
        <v>35154</v>
      </c>
      <c r="V678" s="8">
        <f t="shared" si="5"/>
        <v>550746</v>
      </c>
      <c r="W678" s="10">
        <f t="shared" si="6"/>
        <v>111600</v>
      </c>
      <c r="X678" s="10">
        <f t="shared" si="7"/>
        <v>439146</v>
      </c>
      <c r="Y678" s="10"/>
      <c r="Z678" s="10"/>
      <c r="AA678" s="10"/>
      <c r="AB678" s="4" t="s">
        <v>2139</v>
      </c>
      <c r="AC678" s="4" t="s">
        <v>2138</v>
      </c>
      <c r="AD678" s="4">
        <v>43455.0</v>
      </c>
      <c r="AE678" s="4">
        <v>2018.0</v>
      </c>
      <c r="AF678" s="4" t="s">
        <v>172</v>
      </c>
      <c r="AG678" s="4" t="s">
        <v>173</v>
      </c>
      <c r="AH678" s="4" t="s">
        <v>31</v>
      </c>
      <c r="AI678" s="4" t="s">
        <v>91</v>
      </c>
      <c r="AJ678" s="4" t="s">
        <v>43</v>
      </c>
      <c r="AK678" s="4" t="s">
        <v>34</v>
      </c>
      <c r="AL678" s="4" t="s">
        <v>467</v>
      </c>
      <c r="AM678" s="4" t="s">
        <v>36</v>
      </c>
      <c r="AN678" s="4" t="s">
        <v>45</v>
      </c>
      <c r="AO678" s="4" t="s">
        <v>38</v>
      </c>
      <c r="AP678" s="4">
        <v>43457.0</v>
      </c>
      <c r="AQ678" s="4">
        <v>3600.0</v>
      </c>
      <c r="AR678" s="4">
        <v>18900.0</v>
      </c>
      <c r="AS678" s="4">
        <v>15300.0</v>
      </c>
      <c r="AT678" s="4">
        <v>31.0</v>
      </c>
      <c r="AU678" s="4">
        <v>585900.0</v>
      </c>
      <c r="AV678" s="4">
        <v>0.06</v>
      </c>
      <c r="AW678" s="4">
        <v>35154.0</v>
      </c>
      <c r="AX678" s="4">
        <v>550746.0</v>
      </c>
      <c r="AY678" s="4">
        <v>111600.0</v>
      </c>
      <c r="AZ678" s="4">
        <v>439146.0</v>
      </c>
    </row>
    <row r="679" ht="15.75" customHeight="1">
      <c r="A679" s="3" t="s">
        <v>2140</v>
      </c>
      <c r="B679" s="5">
        <v>43457.0</v>
      </c>
      <c r="C679" s="6">
        <f t="shared" si="1"/>
        <v>2018</v>
      </c>
      <c r="D679" s="7" t="s">
        <v>1235</v>
      </c>
      <c r="E679" s="7" t="s">
        <v>1128</v>
      </c>
      <c r="F679" s="7" t="s">
        <v>50</v>
      </c>
      <c r="G679" s="5" t="s">
        <v>51</v>
      </c>
      <c r="H679" s="7" t="s">
        <v>189</v>
      </c>
      <c r="I679" s="7" t="s">
        <v>53</v>
      </c>
      <c r="J679" s="7" t="s">
        <v>318</v>
      </c>
      <c r="K679" s="7" t="s">
        <v>36</v>
      </c>
      <c r="L679" s="7" t="s">
        <v>37</v>
      </c>
      <c r="M679" s="7" t="s">
        <v>55</v>
      </c>
      <c r="N679" s="5">
        <v>43458.0</v>
      </c>
      <c r="O679" s="8">
        <v>33750.0</v>
      </c>
      <c r="P679" s="8">
        <v>55350.0</v>
      </c>
      <c r="Q679" s="8">
        <f t="shared" si="2"/>
        <v>21600</v>
      </c>
      <c r="R679" s="8">
        <v>23.0</v>
      </c>
      <c r="S679" s="8">
        <f t="shared" si="3"/>
        <v>1273050</v>
      </c>
      <c r="T679" s="9">
        <v>0.02</v>
      </c>
      <c r="U679" s="8">
        <f t="shared" si="4"/>
        <v>25461</v>
      </c>
      <c r="V679" s="8">
        <f t="shared" si="5"/>
        <v>1247589</v>
      </c>
      <c r="W679" s="10">
        <f t="shared" si="6"/>
        <v>776250</v>
      </c>
      <c r="X679" s="10">
        <f t="shared" si="7"/>
        <v>471339</v>
      </c>
      <c r="Y679" s="10"/>
      <c r="Z679" s="10"/>
      <c r="AA679" s="10"/>
      <c r="AB679" s="4" t="s">
        <v>2141</v>
      </c>
      <c r="AC679" s="4" t="s">
        <v>2140</v>
      </c>
      <c r="AD679" s="4">
        <v>43457.0</v>
      </c>
      <c r="AE679" s="4">
        <v>2018.0</v>
      </c>
      <c r="AF679" s="4" t="s">
        <v>1235</v>
      </c>
      <c r="AG679" s="4" t="s">
        <v>1128</v>
      </c>
      <c r="AH679" s="4" t="s">
        <v>50</v>
      </c>
      <c r="AI679" s="4" t="s">
        <v>51</v>
      </c>
      <c r="AJ679" s="4" t="s">
        <v>189</v>
      </c>
      <c r="AK679" s="4" t="s">
        <v>53</v>
      </c>
      <c r="AL679" s="4" t="s">
        <v>318</v>
      </c>
      <c r="AM679" s="4" t="s">
        <v>36</v>
      </c>
      <c r="AN679" s="4" t="s">
        <v>37</v>
      </c>
      <c r="AO679" s="4" t="s">
        <v>55</v>
      </c>
      <c r="AP679" s="4">
        <v>43458.0</v>
      </c>
      <c r="AQ679" s="4">
        <v>33750.0</v>
      </c>
      <c r="AR679" s="4">
        <v>55350.0</v>
      </c>
      <c r="AS679" s="4">
        <v>21600.0</v>
      </c>
      <c r="AT679" s="4">
        <v>23.0</v>
      </c>
      <c r="AU679" s="4">
        <v>1273050.0</v>
      </c>
      <c r="AV679" s="4">
        <v>0.02</v>
      </c>
      <c r="AW679" s="4">
        <v>25461.0</v>
      </c>
      <c r="AX679" s="4">
        <v>1247589.0</v>
      </c>
      <c r="AY679" s="4">
        <v>776250.0</v>
      </c>
      <c r="AZ679" s="4">
        <v>471339.0</v>
      </c>
    </row>
    <row r="680" ht="15.75" customHeight="1">
      <c r="A680" s="3" t="s">
        <v>2142</v>
      </c>
      <c r="B680" s="5">
        <v>43458.0</v>
      </c>
      <c r="C680" s="6">
        <f t="shared" si="1"/>
        <v>2018</v>
      </c>
      <c r="D680" s="7" t="s">
        <v>2143</v>
      </c>
      <c r="E680" s="7" t="s">
        <v>642</v>
      </c>
      <c r="F680" s="7" t="s">
        <v>50</v>
      </c>
      <c r="G680" s="5" t="s">
        <v>68</v>
      </c>
      <c r="H680" s="7" t="s">
        <v>69</v>
      </c>
      <c r="I680" s="7" t="s">
        <v>92</v>
      </c>
      <c r="J680" s="7" t="s">
        <v>796</v>
      </c>
      <c r="K680" s="7" t="s">
        <v>36</v>
      </c>
      <c r="L680" s="7" t="s">
        <v>45</v>
      </c>
      <c r="M680" s="7" t="s">
        <v>55</v>
      </c>
      <c r="N680" s="5">
        <v>43458.0</v>
      </c>
      <c r="O680" s="8">
        <v>26400.0</v>
      </c>
      <c r="P680" s="8">
        <v>44100.0</v>
      </c>
      <c r="Q680" s="8">
        <f t="shared" si="2"/>
        <v>17700</v>
      </c>
      <c r="R680" s="8">
        <v>47.0</v>
      </c>
      <c r="S680" s="8">
        <f t="shared" si="3"/>
        <v>2072700</v>
      </c>
      <c r="T680" s="9">
        <v>0.04</v>
      </c>
      <c r="U680" s="8">
        <f t="shared" si="4"/>
        <v>82908</v>
      </c>
      <c r="V680" s="8">
        <f t="shared" si="5"/>
        <v>1989792</v>
      </c>
      <c r="W680" s="10">
        <f t="shared" si="6"/>
        <v>1240800</v>
      </c>
      <c r="X680" s="10">
        <f t="shared" si="7"/>
        <v>748992</v>
      </c>
      <c r="Y680" s="10"/>
      <c r="Z680" s="10"/>
      <c r="AA680" s="10"/>
      <c r="AB680" s="4" t="s">
        <v>2144</v>
      </c>
      <c r="AC680" s="4" t="s">
        <v>2142</v>
      </c>
      <c r="AD680" s="4">
        <v>43458.0</v>
      </c>
      <c r="AE680" s="4">
        <v>2018.0</v>
      </c>
      <c r="AF680" s="4" t="s">
        <v>2143</v>
      </c>
      <c r="AG680" s="4" t="s">
        <v>642</v>
      </c>
      <c r="AH680" s="4" t="s">
        <v>50</v>
      </c>
      <c r="AI680" s="4" t="s">
        <v>68</v>
      </c>
      <c r="AJ680" s="4" t="s">
        <v>69</v>
      </c>
      <c r="AK680" s="4" t="s">
        <v>92</v>
      </c>
      <c r="AL680" s="4" t="s">
        <v>796</v>
      </c>
      <c r="AM680" s="4" t="s">
        <v>36</v>
      </c>
      <c r="AN680" s="4" t="s">
        <v>45</v>
      </c>
      <c r="AO680" s="4" t="s">
        <v>55</v>
      </c>
      <c r="AP680" s="4">
        <v>43458.0</v>
      </c>
      <c r="AQ680" s="4">
        <v>26400.0</v>
      </c>
      <c r="AR680" s="4">
        <v>44100.0</v>
      </c>
      <c r="AS680" s="4">
        <v>17700.0</v>
      </c>
      <c r="AT680" s="4">
        <v>47.0</v>
      </c>
      <c r="AU680" s="4">
        <v>2072700.0</v>
      </c>
      <c r="AV680" s="4">
        <v>0.04</v>
      </c>
      <c r="AW680" s="4">
        <v>82908.0</v>
      </c>
      <c r="AX680" s="4">
        <v>1989792.0</v>
      </c>
      <c r="AY680" s="4">
        <v>1240800.0</v>
      </c>
      <c r="AZ680" s="4">
        <v>748992.0</v>
      </c>
    </row>
    <row r="681" ht="15.75" customHeight="1">
      <c r="A681" s="3" t="s">
        <v>2145</v>
      </c>
      <c r="B681" s="5">
        <v>43459.0</v>
      </c>
      <c r="C681" s="6">
        <f t="shared" si="1"/>
        <v>2018</v>
      </c>
      <c r="D681" s="7" t="s">
        <v>1030</v>
      </c>
      <c r="E681" s="7" t="s">
        <v>855</v>
      </c>
      <c r="F681" s="7" t="s">
        <v>31</v>
      </c>
      <c r="G681" s="5" t="s">
        <v>91</v>
      </c>
      <c r="H681" s="7" t="s">
        <v>43</v>
      </c>
      <c r="I681" s="7" t="s">
        <v>92</v>
      </c>
      <c r="J681" s="7" t="s">
        <v>1143</v>
      </c>
      <c r="K681" s="7" t="s">
        <v>36</v>
      </c>
      <c r="L681" s="7" t="s">
        <v>45</v>
      </c>
      <c r="M681" s="7" t="s">
        <v>38</v>
      </c>
      <c r="N681" s="5">
        <v>43460.0</v>
      </c>
      <c r="O681" s="8">
        <v>13050.0</v>
      </c>
      <c r="P681" s="8">
        <v>27150.0</v>
      </c>
      <c r="Q681" s="8">
        <f t="shared" si="2"/>
        <v>14100</v>
      </c>
      <c r="R681" s="8">
        <v>6.0</v>
      </c>
      <c r="S681" s="8">
        <f t="shared" si="3"/>
        <v>162900</v>
      </c>
      <c r="T681" s="9">
        <v>0.07</v>
      </c>
      <c r="U681" s="8">
        <f t="shared" si="4"/>
        <v>11403</v>
      </c>
      <c r="V681" s="8">
        <f t="shared" si="5"/>
        <v>151497</v>
      </c>
      <c r="W681" s="10">
        <f t="shared" si="6"/>
        <v>78300</v>
      </c>
      <c r="X681" s="10">
        <f t="shared" si="7"/>
        <v>73197</v>
      </c>
      <c r="Y681" s="10"/>
      <c r="Z681" s="10"/>
      <c r="AA681" s="10"/>
      <c r="AB681" s="4" t="s">
        <v>2146</v>
      </c>
      <c r="AC681" s="4" t="s">
        <v>2145</v>
      </c>
      <c r="AD681" s="4">
        <v>43459.0</v>
      </c>
      <c r="AE681" s="4">
        <v>2018.0</v>
      </c>
      <c r="AF681" s="4" t="s">
        <v>1030</v>
      </c>
      <c r="AG681" s="4" t="s">
        <v>855</v>
      </c>
      <c r="AH681" s="4" t="s">
        <v>31</v>
      </c>
      <c r="AI681" s="4" t="s">
        <v>91</v>
      </c>
      <c r="AJ681" s="4" t="s">
        <v>43</v>
      </c>
      <c r="AK681" s="4" t="s">
        <v>92</v>
      </c>
      <c r="AL681" s="4" t="s">
        <v>1143</v>
      </c>
      <c r="AM681" s="4" t="s">
        <v>36</v>
      </c>
      <c r="AN681" s="4" t="s">
        <v>45</v>
      </c>
      <c r="AO681" s="4" t="s">
        <v>38</v>
      </c>
      <c r="AP681" s="4">
        <v>43460.0</v>
      </c>
      <c r="AQ681" s="4">
        <v>13050.0</v>
      </c>
      <c r="AR681" s="4">
        <v>27150.0</v>
      </c>
      <c r="AS681" s="4">
        <v>14100.0</v>
      </c>
      <c r="AT681" s="4">
        <v>6.0</v>
      </c>
      <c r="AU681" s="4">
        <v>162900.0</v>
      </c>
      <c r="AV681" s="4">
        <v>0.07</v>
      </c>
      <c r="AW681" s="4">
        <v>11403.0</v>
      </c>
      <c r="AX681" s="4">
        <v>151497.0</v>
      </c>
      <c r="AY681" s="4">
        <v>78300.0</v>
      </c>
      <c r="AZ681" s="4">
        <v>73197.0</v>
      </c>
    </row>
    <row r="682" ht="15.75" customHeight="1">
      <c r="A682" s="3" t="s">
        <v>2147</v>
      </c>
      <c r="B682" s="5">
        <v>43462.0</v>
      </c>
      <c r="C682" s="6">
        <f t="shared" si="1"/>
        <v>2018</v>
      </c>
      <c r="D682" s="7" t="s">
        <v>2148</v>
      </c>
      <c r="E682" s="7" t="s">
        <v>559</v>
      </c>
      <c r="F682" s="7" t="s">
        <v>50</v>
      </c>
      <c r="G682" s="5" t="s">
        <v>51</v>
      </c>
      <c r="H682" s="7" t="s">
        <v>98</v>
      </c>
      <c r="I682" s="7" t="s">
        <v>53</v>
      </c>
      <c r="J682" s="7" t="s">
        <v>567</v>
      </c>
      <c r="K682" s="7" t="s">
        <v>36</v>
      </c>
      <c r="L682" s="7" t="s">
        <v>45</v>
      </c>
      <c r="M682" s="7" t="s">
        <v>38</v>
      </c>
      <c r="N682" s="5">
        <v>43464.0</v>
      </c>
      <c r="O682" s="8">
        <v>13950.0</v>
      </c>
      <c r="P682" s="8">
        <v>22200.0</v>
      </c>
      <c r="Q682" s="8">
        <f t="shared" si="2"/>
        <v>8250</v>
      </c>
      <c r="R682" s="8">
        <v>1.0</v>
      </c>
      <c r="S682" s="8">
        <f t="shared" si="3"/>
        <v>22200</v>
      </c>
      <c r="T682" s="9">
        <v>0.01</v>
      </c>
      <c r="U682" s="8">
        <f t="shared" si="4"/>
        <v>222</v>
      </c>
      <c r="V682" s="8">
        <f t="shared" si="5"/>
        <v>21978</v>
      </c>
      <c r="W682" s="10">
        <f t="shared" si="6"/>
        <v>13950</v>
      </c>
      <c r="X682" s="10">
        <f t="shared" si="7"/>
        <v>8028</v>
      </c>
      <c r="Y682" s="10"/>
      <c r="Z682" s="10"/>
      <c r="AA682" s="10"/>
      <c r="AB682" s="4" t="s">
        <v>2149</v>
      </c>
      <c r="AC682" s="4" t="s">
        <v>2147</v>
      </c>
      <c r="AD682" s="4">
        <v>43462.0</v>
      </c>
      <c r="AE682" s="4">
        <v>2018.0</v>
      </c>
      <c r="AF682" s="4" t="s">
        <v>2148</v>
      </c>
      <c r="AG682" s="4" t="s">
        <v>559</v>
      </c>
      <c r="AH682" s="4" t="s">
        <v>50</v>
      </c>
      <c r="AI682" s="4" t="s">
        <v>51</v>
      </c>
      <c r="AJ682" s="4" t="s">
        <v>98</v>
      </c>
      <c r="AK682" s="4" t="s">
        <v>53</v>
      </c>
      <c r="AL682" s="4" t="s">
        <v>567</v>
      </c>
      <c r="AM682" s="4" t="s">
        <v>36</v>
      </c>
      <c r="AN682" s="4" t="s">
        <v>45</v>
      </c>
      <c r="AO682" s="4" t="s">
        <v>38</v>
      </c>
      <c r="AP682" s="4">
        <v>43464.0</v>
      </c>
      <c r="AQ682" s="4">
        <v>13950.0</v>
      </c>
      <c r="AR682" s="4">
        <v>22200.0</v>
      </c>
      <c r="AS682" s="4">
        <v>8250.0</v>
      </c>
      <c r="AT682" s="4">
        <v>1.0</v>
      </c>
      <c r="AU682" s="4">
        <v>22200.0</v>
      </c>
      <c r="AV682" s="4">
        <v>0.01</v>
      </c>
      <c r="AW682" s="4">
        <v>222.0</v>
      </c>
      <c r="AX682" s="4">
        <v>21978.0</v>
      </c>
      <c r="AY682" s="4">
        <v>13950.0</v>
      </c>
      <c r="AZ682" s="4">
        <v>8028.0</v>
      </c>
    </row>
    <row r="683" ht="15.75" customHeight="1">
      <c r="A683" s="3" t="s">
        <v>2150</v>
      </c>
      <c r="B683" s="5">
        <v>43463.0</v>
      </c>
      <c r="C683" s="6">
        <f t="shared" si="1"/>
        <v>2018</v>
      </c>
      <c r="D683" s="7" t="s">
        <v>431</v>
      </c>
      <c r="E683" s="7" t="s">
        <v>432</v>
      </c>
      <c r="F683" s="7" t="s">
        <v>50</v>
      </c>
      <c r="G683" s="5" t="s">
        <v>51</v>
      </c>
      <c r="H683" s="7" t="s">
        <v>140</v>
      </c>
      <c r="I683" s="7" t="s">
        <v>74</v>
      </c>
      <c r="J683" s="7" t="s">
        <v>803</v>
      </c>
      <c r="K683" s="7" t="s">
        <v>36</v>
      </c>
      <c r="L683" s="7" t="s">
        <v>127</v>
      </c>
      <c r="M683" s="7" t="s">
        <v>55</v>
      </c>
      <c r="N683" s="5">
        <v>43468.0</v>
      </c>
      <c r="O683" s="8">
        <v>52650.0</v>
      </c>
      <c r="P683" s="8">
        <v>128550.0</v>
      </c>
      <c r="Q683" s="8">
        <f t="shared" si="2"/>
        <v>75900</v>
      </c>
      <c r="R683" s="8">
        <v>49.0</v>
      </c>
      <c r="S683" s="8">
        <f t="shared" si="3"/>
        <v>6298950</v>
      </c>
      <c r="T683" s="9">
        <v>0.01</v>
      </c>
      <c r="U683" s="8">
        <f t="shared" si="4"/>
        <v>62989.5</v>
      </c>
      <c r="V683" s="8">
        <f t="shared" si="5"/>
        <v>6235960.5</v>
      </c>
      <c r="W683" s="10">
        <f t="shared" si="6"/>
        <v>2579850</v>
      </c>
      <c r="X683" s="10">
        <f t="shared" si="7"/>
        <v>3656110.5</v>
      </c>
      <c r="Y683" s="10"/>
      <c r="Z683" s="10"/>
      <c r="AA683" s="10"/>
      <c r="AB683" s="4" t="s">
        <v>2151</v>
      </c>
      <c r="AC683" s="4" t="s">
        <v>2150</v>
      </c>
      <c r="AD683" s="4">
        <v>43463.0</v>
      </c>
      <c r="AE683" s="4">
        <v>2018.0</v>
      </c>
      <c r="AF683" s="4" t="s">
        <v>431</v>
      </c>
      <c r="AG683" s="4" t="s">
        <v>432</v>
      </c>
      <c r="AH683" s="4" t="s">
        <v>50</v>
      </c>
      <c r="AI683" s="4" t="s">
        <v>51</v>
      </c>
      <c r="AJ683" s="4" t="s">
        <v>140</v>
      </c>
      <c r="AK683" s="4" t="s">
        <v>74</v>
      </c>
      <c r="AL683" s="4" t="s">
        <v>803</v>
      </c>
      <c r="AM683" s="4" t="s">
        <v>36</v>
      </c>
      <c r="AN683" s="4" t="s">
        <v>127</v>
      </c>
      <c r="AO683" s="4" t="s">
        <v>55</v>
      </c>
      <c r="AP683" s="4">
        <v>43468.0</v>
      </c>
      <c r="AQ683" s="4">
        <v>52650.0</v>
      </c>
      <c r="AR683" s="4">
        <v>128550.0</v>
      </c>
      <c r="AS683" s="4">
        <v>75900.0</v>
      </c>
      <c r="AT683" s="4">
        <v>49.0</v>
      </c>
      <c r="AU683" s="4">
        <v>6298950.0</v>
      </c>
      <c r="AV683" s="4">
        <v>0.01</v>
      </c>
      <c r="AW683" s="4">
        <v>62989.5</v>
      </c>
      <c r="AX683" s="4">
        <v>6235960.5</v>
      </c>
      <c r="AY683" s="4">
        <v>2579850.0</v>
      </c>
      <c r="AZ683" s="4">
        <v>3656110.5</v>
      </c>
    </row>
    <row r="684" ht="15.75" customHeight="1">
      <c r="A684" s="3" t="s">
        <v>2152</v>
      </c>
      <c r="B684" s="5">
        <v>43464.0</v>
      </c>
      <c r="C684" s="6">
        <f t="shared" si="1"/>
        <v>2018</v>
      </c>
      <c r="D684" s="7" t="s">
        <v>2134</v>
      </c>
      <c r="E684" s="7" t="s">
        <v>416</v>
      </c>
      <c r="F684" s="7" t="s">
        <v>50</v>
      </c>
      <c r="G684" s="5" t="s">
        <v>91</v>
      </c>
      <c r="H684" s="7" t="s">
        <v>52</v>
      </c>
      <c r="I684" s="7" t="s">
        <v>92</v>
      </c>
      <c r="J684" s="7" t="s">
        <v>146</v>
      </c>
      <c r="K684" s="7" t="s">
        <v>36</v>
      </c>
      <c r="L684" s="7" t="s">
        <v>45</v>
      </c>
      <c r="M684" s="7" t="s">
        <v>38</v>
      </c>
      <c r="N684" s="5">
        <v>43464.0</v>
      </c>
      <c r="O684" s="8">
        <v>27300.0</v>
      </c>
      <c r="P684" s="8">
        <v>44700.0</v>
      </c>
      <c r="Q684" s="8">
        <f t="shared" si="2"/>
        <v>17400</v>
      </c>
      <c r="R684" s="8">
        <v>3.0</v>
      </c>
      <c r="S684" s="8">
        <f t="shared" si="3"/>
        <v>134100</v>
      </c>
      <c r="T684" s="9">
        <v>0.04</v>
      </c>
      <c r="U684" s="8">
        <f t="shared" si="4"/>
        <v>5364</v>
      </c>
      <c r="V684" s="8">
        <f t="shared" si="5"/>
        <v>128736</v>
      </c>
      <c r="W684" s="10">
        <f t="shared" si="6"/>
        <v>81900</v>
      </c>
      <c r="X684" s="10">
        <f t="shared" si="7"/>
        <v>46836</v>
      </c>
      <c r="Y684" s="10"/>
      <c r="Z684" s="10"/>
      <c r="AA684" s="10"/>
      <c r="AB684" s="4" t="s">
        <v>2153</v>
      </c>
      <c r="AC684" s="4" t="s">
        <v>2152</v>
      </c>
      <c r="AD684" s="4">
        <v>43464.0</v>
      </c>
      <c r="AE684" s="4">
        <v>2018.0</v>
      </c>
      <c r="AF684" s="4" t="s">
        <v>2134</v>
      </c>
      <c r="AG684" s="4" t="s">
        <v>416</v>
      </c>
      <c r="AH684" s="4" t="s">
        <v>50</v>
      </c>
      <c r="AI684" s="4" t="s">
        <v>91</v>
      </c>
      <c r="AJ684" s="4" t="s">
        <v>52</v>
      </c>
      <c r="AK684" s="4" t="s">
        <v>92</v>
      </c>
      <c r="AL684" s="4" t="s">
        <v>146</v>
      </c>
      <c r="AM684" s="4" t="s">
        <v>36</v>
      </c>
      <c r="AN684" s="4" t="s">
        <v>45</v>
      </c>
      <c r="AO684" s="4" t="s">
        <v>38</v>
      </c>
      <c r="AP684" s="4">
        <v>43464.0</v>
      </c>
      <c r="AQ684" s="4">
        <v>27300.0</v>
      </c>
      <c r="AR684" s="4">
        <v>44700.0</v>
      </c>
      <c r="AS684" s="4">
        <v>17400.0</v>
      </c>
      <c r="AT684" s="4">
        <v>3.0</v>
      </c>
      <c r="AU684" s="4">
        <v>134100.0</v>
      </c>
      <c r="AV684" s="4">
        <v>0.04</v>
      </c>
      <c r="AW684" s="4">
        <v>5364.0</v>
      </c>
      <c r="AX684" s="4">
        <v>128736.0</v>
      </c>
      <c r="AY684" s="4">
        <v>81900.0</v>
      </c>
      <c r="AZ684" s="4">
        <v>46836.0</v>
      </c>
    </row>
    <row r="685" ht="15.75" customHeight="1">
      <c r="A685" s="3" t="s">
        <v>2154</v>
      </c>
      <c r="B685" s="5">
        <v>43472.0</v>
      </c>
      <c r="C685" s="6">
        <f t="shared" si="1"/>
        <v>2019</v>
      </c>
      <c r="D685" s="7" t="s">
        <v>427</v>
      </c>
      <c r="E685" s="7" t="s">
        <v>183</v>
      </c>
      <c r="F685" s="7" t="s">
        <v>31</v>
      </c>
      <c r="G685" s="5" t="s">
        <v>32</v>
      </c>
      <c r="H685" s="7" t="s">
        <v>43</v>
      </c>
      <c r="I685" s="7" t="s">
        <v>92</v>
      </c>
      <c r="J685" s="7" t="s">
        <v>282</v>
      </c>
      <c r="K685" s="7" t="s">
        <v>36</v>
      </c>
      <c r="L685" s="7" t="s">
        <v>37</v>
      </c>
      <c r="M685" s="7" t="s">
        <v>38</v>
      </c>
      <c r="N685" s="5">
        <v>43473.0</v>
      </c>
      <c r="O685" s="8">
        <v>204600.0</v>
      </c>
      <c r="P685" s="8">
        <v>314700.0</v>
      </c>
      <c r="Q685" s="8">
        <f t="shared" si="2"/>
        <v>110100</v>
      </c>
      <c r="R685" s="8">
        <v>10.0</v>
      </c>
      <c r="S685" s="8">
        <f t="shared" si="3"/>
        <v>3147000</v>
      </c>
      <c r="T685" s="9">
        <v>0.06</v>
      </c>
      <c r="U685" s="8">
        <f t="shared" si="4"/>
        <v>188820</v>
      </c>
      <c r="V685" s="8">
        <f t="shared" si="5"/>
        <v>2958180</v>
      </c>
      <c r="W685" s="10">
        <f t="shared" si="6"/>
        <v>2046000</v>
      </c>
      <c r="X685" s="10">
        <f t="shared" si="7"/>
        <v>912180</v>
      </c>
      <c r="Y685" s="10"/>
      <c r="Z685" s="10"/>
      <c r="AA685" s="10"/>
      <c r="AB685" s="4" t="s">
        <v>2155</v>
      </c>
      <c r="AC685" s="4" t="s">
        <v>2154</v>
      </c>
      <c r="AD685" s="4">
        <v>43472.0</v>
      </c>
      <c r="AE685" s="4">
        <v>2019.0</v>
      </c>
      <c r="AF685" s="4" t="s">
        <v>427</v>
      </c>
      <c r="AG685" s="4" t="s">
        <v>183</v>
      </c>
      <c r="AH685" s="4" t="s">
        <v>31</v>
      </c>
      <c r="AI685" s="4" t="s">
        <v>32</v>
      </c>
      <c r="AJ685" s="4" t="s">
        <v>43</v>
      </c>
      <c r="AK685" s="4" t="s">
        <v>92</v>
      </c>
      <c r="AL685" s="4" t="s">
        <v>282</v>
      </c>
      <c r="AM685" s="4" t="s">
        <v>36</v>
      </c>
      <c r="AN685" s="4" t="s">
        <v>37</v>
      </c>
      <c r="AO685" s="4" t="s">
        <v>38</v>
      </c>
      <c r="AP685" s="4">
        <v>43473.0</v>
      </c>
      <c r="AQ685" s="4">
        <v>204600.0</v>
      </c>
      <c r="AR685" s="4">
        <v>314700.0</v>
      </c>
      <c r="AS685" s="4">
        <v>110100.0</v>
      </c>
      <c r="AT685" s="4">
        <v>10.0</v>
      </c>
      <c r="AU685" s="4">
        <v>3147000.0</v>
      </c>
      <c r="AV685" s="4">
        <v>0.06</v>
      </c>
      <c r="AW685" s="4">
        <v>188820.0</v>
      </c>
      <c r="AX685" s="4">
        <v>2958180.0</v>
      </c>
      <c r="AY685" s="4">
        <v>2046000.0</v>
      </c>
      <c r="AZ685" s="4">
        <v>912180.0</v>
      </c>
    </row>
    <row r="686" ht="15.75" customHeight="1">
      <c r="A686" s="3" t="s">
        <v>2156</v>
      </c>
      <c r="B686" s="5">
        <v>43472.0</v>
      </c>
      <c r="C686" s="6">
        <f t="shared" si="1"/>
        <v>2019</v>
      </c>
      <c r="D686" s="7" t="s">
        <v>2157</v>
      </c>
      <c r="E686" s="7" t="s">
        <v>1069</v>
      </c>
      <c r="F686" s="7" t="s">
        <v>31</v>
      </c>
      <c r="G686" s="5" t="s">
        <v>51</v>
      </c>
      <c r="H686" s="7" t="s">
        <v>43</v>
      </c>
      <c r="I686" s="7" t="s">
        <v>53</v>
      </c>
      <c r="J686" s="7" t="s">
        <v>574</v>
      </c>
      <c r="K686" s="7" t="s">
        <v>36</v>
      </c>
      <c r="L686" s="7" t="s">
        <v>37</v>
      </c>
      <c r="M686" s="7" t="s">
        <v>38</v>
      </c>
      <c r="N686" s="5">
        <v>43474.0</v>
      </c>
      <c r="O686" s="8">
        <v>32700.000000000004</v>
      </c>
      <c r="P686" s="8">
        <v>52800.0</v>
      </c>
      <c r="Q686" s="8">
        <f t="shared" si="2"/>
        <v>20100</v>
      </c>
      <c r="R686" s="8">
        <v>13.0</v>
      </c>
      <c r="S686" s="8">
        <f t="shared" si="3"/>
        <v>686400</v>
      </c>
      <c r="T686" s="9">
        <v>0.08</v>
      </c>
      <c r="U686" s="8">
        <f t="shared" si="4"/>
        <v>54912</v>
      </c>
      <c r="V686" s="8">
        <f t="shared" si="5"/>
        <v>631488</v>
      </c>
      <c r="W686" s="10">
        <f t="shared" si="6"/>
        <v>425100</v>
      </c>
      <c r="X686" s="10">
        <f t="shared" si="7"/>
        <v>206388</v>
      </c>
      <c r="Y686" s="10"/>
      <c r="Z686" s="10"/>
      <c r="AA686" s="10"/>
      <c r="AB686" s="4" t="s">
        <v>2158</v>
      </c>
      <c r="AC686" s="4" t="s">
        <v>2156</v>
      </c>
      <c r="AD686" s="4">
        <v>43472.0</v>
      </c>
      <c r="AE686" s="4">
        <v>2019.0</v>
      </c>
      <c r="AF686" s="4" t="s">
        <v>2157</v>
      </c>
      <c r="AG686" s="4" t="s">
        <v>1069</v>
      </c>
      <c r="AH686" s="4" t="s">
        <v>31</v>
      </c>
      <c r="AI686" s="4" t="s">
        <v>51</v>
      </c>
      <c r="AJ686" s="4" t="s">
        <v>43</v>
      </c>
      <c r="AK686" s="4" t="s">
        <v>53</v>
      </c>
      <c r="AL686" s="4" t="s">
        <v>574</v>
      </c>
      <c r="AM686" s="4" t="s">
        <v>36</v>
      </c>
      <c r="AN686" s="4" t="s">
        <v>37</v>
      </c>
      <c r="AO686" s="4" t="s">
        <v>38</v>
      </c>
      <c r="AP686" s="4">
        <v>43474.0</v>
      </c>
      <c r="AQ686" s="4">
        <v>32700.0</v>
      </c>
      <c r="AR686" s="4">
        <v>52800.0</v>
      </c>
      <c r="AS686" s="4">
        <v>20100.0</v>
      </c>
      <c r="AT686" s="4">
        <v>13.0</v>
      </c>
      <c r="AU686" s="4">
        <v>686400.0</v>
      </c>
      <c r="AV686" s="4">
        <v>0.08</v>
      </c>
      <c r="AW686" s="4">
        <v>54912.0</v>
      </c>
      <c r="AX686" s="4">
        <v>631488.0</v>
      </c>
      <c r="AY686" s="4">
        <v>425100.0</v>
      </c>
      <c r="AZ686" s="4">
        <v>206388.0</v>
      </c>
    </row>
    <row r="687" ht="15.75" customHeight="1">
      <c r="A687" s="3" t="s">
        <v>2159</v>
      </c>
      <c r="B687" s="5">
        <v>43473.0</v>
      </c>
      <c r="C687" s="6">
        <f t="shared" si="1"/>
        <v>2019</v>
      </c>
      <c r="D687" s="7" t="s">
        <v>1005</v>
      </c>
      <c r="E687" s="7" t="s">
        <v>667</v>
      </c>
      <c r="F687" s="7" t="s">
        <v>50</v>
      </c>
      <c r="G687" s="5" t="s">
        <v>51</v>
      </c>
      <c r="H687" s="7" t="s">
        <v>140</v>
      </c>
      <c r="I687" s="7" t="s">
        <v>34</v>
      </c>
      <c r="J687" s="7" t="s">
        <v>399</v>
      </c>
      <c r="K687" s="7" t="s">
        <v>36</v>
      </c>
      <c r="L687" s="7" t="s">
        <v>37</v>
      </c>
      <c r="M687" s="7" t="s">
        <v>38</v>
      </c>
      <c r="N687" s="5">
        <v>43475.0</v>
      </c>
      <c r="O687" s="8">
        <v>51000.0</v>
      </c>
      <c r="P687" s="8">
        <v>81000.0</v>
      </c>
      <c r="Q687" s="8">
        <f t="shared" si="2"/>
        <v>30000</v>
      </c>
      <c r="R687" s="8">
        <v>10.0</v>
      </c>
      <c r="S687" s="8">
        <f t="shared" si="3"/>
        <v>810000</v>
      </c>
      <c r="T687" s="9">
        <v>0.04</v>
      </c>
      <c r="U687" s="8">
        <f t="shared" si="4"/>
        <v>32400</v>
      </c>
      <c r="V687" s="8">
        <f t="shared" si="5"/>
        <v>777600</v>
      </c>
      <c r="W687" s="10">
        <f t="shared" si="6"/>
        <v>510000</v>
      </c>
      <c r="X687" s="10">
        <f t="shared" si="7"/>
        <v>267600</v>
      </c>
      <c r="Y687" s="10"/>
      <c r="Z687" s="10"/>
      <c r="AA687" s="10"/>
      <c r="AB687" s="4" t="s">
        <v>2160</v>
      </c>
      <c r="AC687" s="4" t="s">
        <v>2159</v>
      </c>
      <c r="AD687" s="4">
        <v>43473.0</v>
      </c>
      <c r="AE687" s="4">
        <v>2019.0</v>
      </c>
      <c r="AF687" s="4" t="s">
        <v>1005</v>
      </c>
      <c r="AG687" s="4" t="s">
        <v>667</v>
      </c>
      <c r="AH687" s="4" t="s">
        <v>50</v>
      </c>
      <c r="AI687" s="4" t="s">
        <v>51</v>
      </c>
      <c r="AJ687" s="4" t="s">
        <v>140</v>
      </c>
      <c r="AK687" s="4" t="s">
        <v>34</v>
      </c>
      <c r="AL687" s="4" t="s">
        <v>399</v>
      </c>
      <c r="AM687" s="4" t="s">
        <v>36</v>
      </c>
      <c r="AN687" s="4" t="s">
        <v>37</v>
      </c>
      <c r="AO687" s="4" t="s">
        <v>38</v>
      </c>
      <c r="AP687" s="4">
        <v>43475.0</v>
      </c>
      <c r="AQ687" s="4">
        <v>51000.0</v>
      </c>
      <c r="AR687" s="4">
        <v>81000.0</v>
      </c>
      <c r="AS687" s="4">
        <v>30000.0</v>
      </c>
      <c r="AT687" s="4">
        <v>10.0</v>
      </c>
      <c r="AU687" s="4">
        <v>810000.0</v>
      </c>
      <c r="AV687" s="4">
        <v>0.04</v>
      </c>
      <c r="AW687" s="4">
        <v>32400.0</v>
      </c>
      <c r="AX687" s="4">
        <v>777600.0</v>
      </c>
      <c r="AY687" s="4">
        <v>510000.0</v>
      </c>
      <c r="AZ687" s="4">
        <v>267600.0</v>
      </c>
    </row>
    <row r="688" ht="15.75" customHeight="1">
      <c r="A688" s="3" t="s">
        <v>2161</v>
      </c>
      <c r="B688" s="5">
        <v>43474.0</v>
      </c>
      <c r="C688" s="6">
        <f t="shared" si="1"/>
        <v>2019</v>
      </c>
      <c r="D688" s="7" t="s">
        <v>2162</v>
      </c>
      <c r="E688" s="7" t="s">
        <v>1750</v>
      </c>
      <c r="F688" s="7" t="s">
        <v>50</v>
      </c>
      <c r="G688" s="5" t="s">
        <v>91</v>
      </c>
      <c r="H688" s="7" t="s">
        <v>140</v>
      </c>
      <c r="I688" s="7" t="s">
        <v>92</v>
      </c>
      <c r="J688" s="7" t="s">
        <v>322</v>
      </c>
      <c r="K688" s="7" t="s">
        <v>36</v>
      </c>
      <c r="L688" s="7" t="s">
        <v>37</v>
      </c>
      <c r="M688" s="7" t="s">
        <v>38</v>
      </c>
      <c r="N688" s="5">
        <v>43476.0</v>
      </c>
      <c r="O688" s="8">
        <v>185850.0</v>
      </c>
      <c r="P688" s="8">
        <v>299700.0</v>
      </c>
      <c r="Q688" s="8">
        <f t="shared" si="2"/>
        <v>113850</v>
      </c>
      <c r="R688" s="8">
        <v>20.0</v>
      </c>
      <c r="S688" s="8">
        <f t="shared" si="3"/>
        <v>5994000</v>
      </c>
      <c r="T688" s="9">
        <v>0.05</v>
      </c>
      <c r="U688" s="8">
        <f t="shared" si="4"/>
        <v>299700</v>
      </c>
      <c r="V688" s="8">
        <f t="shared" si="5"/>
        <v>5694300</v>
      </c>
      <c r="W688" s="10">
        <f t="shared" si="6"/>
        <v>3717000</v>
      </c>
      <c r="X688" s="10">
        <f t="shared" si="7"/>
        <v>1977300</v>
      </c>
      <c r="Y688" s="10"/>
      <c r="Z688" s="10"/>
      <c r="AA688" s="10"/>
      <c r="AB688" s="4" t="s">
        <v>2163</v>
      </c>
      <c r="AC688" s="4" t="s">
        <v>2161</v>
      </c>
      <c r="AD688" s="4">
        <v>43474.0</v>
      </c>
      <c r="AE688" s="4">
        <v>2019.0</v>
      </c>
      <c r="AF688" s="4" t="s">
        <v>2162</v>
      </c>
      <c r="AG688" s="4" t="s">
        <v>1750</v>
      </c>
      <c r="AH688" s="4" t="s">
        <v>50</v>
      </c>
      <c r="AI688" s="4" t="s">
        <v>91</v>
      </c>
      <c r="AJ688" s="4" t="s">
        <v>140</v>
      </c>
      <c r="AK688" s="4" t="s">
        <v>92</v>
      </c>
      <c r="AL688" s="4" t="s">
        <v>322</v>
      </c>
      <c r="AM688" s="4" t="s">
        <v>36</v>
      </c>
      <c r="AN688" s="4" t="s">
        <v>37</v>
      </c>
      <c r="AO688" s="4" t="s">
        <v>38</v>
      </c>
      <c r="AP688" s="4">
        <v>43476.0</v>
      </c>
      <c r="AQ688" s="4">
        <v>185850.0</v>
      </c>
      <c r="AR688" s="4">
        <v>299700.0</v>
      </c>
      <c r="AS688" s="4">
        <v>113850.0</v>
      </c>
      <c r="AT688" s="4">
        <v>20.0</v>
      </c>
      <c r="AU688" s="4">
        <v>5994000.0</v>
      </c>
      <c r="AV688" s="4">
        <v>0.05</v>
      </c>
      <c r="AW688" s="4">
        <v>299700.0</v>
      </c>
      <c r="AX688" s="4">
        <v>5694300.0</v>
      </c>
      <c r="AY688" s="4">
        <v>3717000.0</v>
      </c>
      <c r="AZ688" s="4">
        <v>1977300.0</v>
      </c>
    </row>
    <row r="689" ht="15.75" customHeight="1">
      <c r="A689" s="3" t="s">
        <v>2164</v>
      </c>
      <c r="B689" s="5">
        <v>43474.0</v>
      </c>
      <c r="C689" s="6">
        <f t="shared" si="1"/>
        <v>2019</v>
      </c>
      <c r="D689" s="7" t="s">
        <v>1784</v>
      </c>
      <c r="E689" s="7" t="s">
        <v>103</v>
      </c>
      <c r="F689" s="7" t="s">
        <v>31</v>
      </c>
      <c r="G689" s="5" t="s">
        <v>51</v>
      </c>
      <c r="H689" s="7" t="s">
        <v>33</v>
      </c>
      <c r="I689" s="7" t="s">
        <v>74</v>
      </c>
      <c r="J689" s="7" t="s">
        <v>322</v>
      </c>
      <c r="K689" s="7" t="s">
        <v>36</v>
      </c>
      <c r="L689" s="7" t="s">
        <v>37</v>
      </c>
      <c r="M689" s="7" t="s">
        <v>38</v>
      </c>
      <c r="N689" s="5">
        <v>43474.0</v>
      </c>
      <c r="O689" s="8">
        <v>185850.0</v>
      </c>
      <c r="P689" s="8">
        <v>299700.0</v>
      </c>
      <c r="Q689" s="8">
        <f t="shared" si="2"/>
        <v>113850</v>
      </c>
      <c r="R689" s="8">
        <v>34.0</v>
      </c>
      <c r="S689" s="8">
        <f t="shared" si="3"/>
        <v>10189800</v>
      </c>
      <c r="T689" s="9">
        <v>0.06</v>
      </c>
      <c r="U689" s="8">
        <f t="shared" si="4"/>
        <v>611388</v>
      </c>
      <c r="V689" s="8">
        <f t="shared" si="5"/>
        <v>9578412</v>
      </c>
      <c r="W689" s="10">
        <f t="shared" si="6"/>
        <v>6318900</v>
      </c>
      <c r="X689" s="10">
        <f t="shared" si="7"/>
        <v>3259512</v>
      </c>
      <c r="Y689" s="10"/>
      <c r="Z689" s="10"/>
      <c r="AA689" s="10"/>
      <c r="AB689" s="4" t="s">
        <v>2165</v>
      </c>
      <c r="AC689" s="4" t="s">
        <v>2164</v>
      </c>
      <c r="AD689" s="4">
        <v>43474.0</v>
      </c>
      <c r="AE689" s="4">
        <v>2019.0</v>
      </c>
      <c r="AF689" s="4" t="s">
        <v>1784</v>
      </c>
      <c r="AG689" s="4" t="s">
        <v>103</v>
      </c>
      <c r="AH689" s="4" t="s">
        <v>31</v>
      </c>
      <c r="AI689" s="4" t="s">
        <v>51</v>
      </c>
      <c r="AJ689" s="4" t="s">
        <v>33</v>
      </c>
      <c r="AK689" s="4" t="s">
        <v>74</v>
      </c>
      <c r="AL689" s="4" t="s">
        <v>322</v>
      </c>
      <c r="AM689" s="4" t="s">
        <v>36</v>
      </c>
      <c r="AN689" s="4" t="s">
        <v>37</v>
      </c>
      <c r="AO689" s="4" t="s">
        <v>38</v>
      </c>
      <c r="AP689" s="4">
        <v>43474.0</v>
      </c>
      <c r="AQ689" s="4">
        <v>185850.0</v>
      </c>
      <c r="AR689" s="4">
        <v>299700.0</v>
      </c>
      <c r="AS689" s="4">
        <v>113850.0</v>
      </c>
      <c r="AT689" s="4">
        <v>34.0</v>
      </c>
      <c r="AU689" s="4">
        <v>1.01898E7</v>
      </c>
      <c r="AV689" s="4">
        <v>0.06</v>
      </c>
      <c r="AW689" s="4">
        <v>611388.0</v>
      </c>
      <c r="AX689" s="4">
        <v>9578412.0</v>
      </c>
      <c r="AY689" s="4">
        <v>6318900.0</v>
      </c>
      <c r="AZ689" s="4">
        <v>3259512.0</v>
      </c>
    </row>
    <row r="690" ht="15.75" customHeight="1">
      <c r="A690" s="3" t="s">
        <v>2166</v>
      </c>
      <c r="B690" s="5">
        <v>43475.0</v>
      </c>
      <c r="C690" s="6">
        <f t="shared" si="1"/>
        <v>2019</v>
      </c>
      <c r="D690" s="7" t="s">
        <v>2167</v>
      </c>
      <c r="E690" s="7" t="s">
        <v>139</v>
      </c>
      <c r="F690" s="7" t="s">
        <v>50</v>
      </c>
      <c r="G690" s="5" t="s">
        <v>32</v>
      </c>
      <c r="H690" s="7" t="s">
        <v>140</v>
      </c>
      <c r="I690" s="7" t="s">
        <v>92</v>
      </c>
      <c r="J690" s="7" t="s">
        <v>272</v>
      </c>
      <c r="K690" s="7" t="s">
        <v>36</v>
      </c>
      <c r="L690" s="7" t="s">
        <v>45</v>
      </c>
      <c r="M690" s="7" t="s">
        <v>38</v>
      </c>
      <c r="N690" s="5">
        <v>43477.0</v>
      </c>
      <c r="O690" s="8">
        <v>56250.0</v>
      </c>
      <c r="P690" s="8">
        <v>106200.0</v>
      </c>
      <c r="Q690" s="8">
        <f t="shared" si="2"/>
        <v>49950</v>
      </c>
      <c r="R690" s="8">
        <v>37.0</v>
      </c>
      <c r="S690" s="8">
        <f t="shared" si="3"/>
        <v>3929400</v>
      </c>
      <c r="T690" s="9">
        <v>0.08</v>
      </c>
      <c r="U690" s="8">
        <f t="shared" si="4"/>
        <v>314352</v>
      </c>
      <c r="V690" s="8">
        <f t="shared" si="5"/>
        <v>3615048</v>
      </c>
      <c r="W690" s="10">
        <f t="shared" si="6"/>
        <v>2081250</v>
      </c>
      <c r="X690" s="10">
        <f t="shared" si="7"/>
        <v>1533798</v>
      </c>
      <c r="Y690" s="10"/>
      <c r="Z690" s="10"/>
      <c r="AA690" s="10"/>
      <c r="AB690" s="4" t="s">
        <v>2168</v>
      </c>
      <c r="AC690" s="4" t="s">
        <v>2166</v>
      </c>
      <c r="AD690" s="4">
        <v>43475.0</v>
      </c>
      <c r="AE690" s="4">
        <v>2019.0</v>
      </c>
      <c r="AF690" s="4" t="s">
        <v>2167</v>
      </c>
      <c r="AG690" s="4" t="s">
        <v>139</v>
      </c>
      <c r="AH690" s="4" t="s">
        <v>50</v>
      </c>
      <c r="AI690" s="4" t="s">
        <v>32</v>
      </c>
      <c r="AJ690" s="4" t="s">
        <v>140</v>
      </c>
      <c r="AK690" s="4" t="s">
        <v>92</v>
      </c>
      <c r="AL690" s="4" t="s">
        <v>272</v>
      </c>
      <c r="AM690" s="4" t="s">
        <v>36</v>
      </c>
      <c r="AN690" s="4" t="s">
        <v>45</v>
      </c>
      <c r="AO690" s="4" t="s">
        <v>38</v>
      </c>
      <c r="AP690" s="4">
        <v>43477.0</v>
      </c>
      <c r="AQ690" s="4">
        <v>56250.0</v>
      </c>
      <c r="AR690" s="4">
        <v>106200.0</v>
      </c>
      <c r="AS690" s="4">
        <v>49950.0</v>
      </c>
      <c r="AT690" s="4">
        <v>37.0</v>
      </c>
      <c r="AU690" s="4">
        <v>3929400.0</v>
      </c>
      <c r="AV690" s="4">
        <v>0.08</v>
      </c>
      <c r="AW690" s="4">
        <v>314352.0</v>
      </c>
      <c r="AX690" s="4">
        <v>3615048.0</v>
      </c>
      <c r="AY690" s="4">
        <v>2081250.0</v>
      </c>
      <c r="AZ690" s="4">
        <v>1533798.0</v>
      </c>
    </row>
    <row r="691" ht="15.75" customHeight="1">
      <c r="A691" s="3" t="s">
        <v>2169</v>
      </c>
      <c r="B691" s="5">
        <v>43476.0</v>
      </c>
      <c r="C691" s="6">
        <f t="shared" si="1"/>
        <v>2019</v>
      </c>
      <c r="D691" s="7" t="s">
        <v>1604</v>
      </c>
      <c r="E691" s="7" t="s">
        <v>183</v>
      </c>
      <c r="F691" s="7" t="s">
        <v>31</v>
      </c>
      <c r="G691" s="5" t="s">
        <v>91</v>
      </c>
      <c r="H691" s="7" t="s">
        <v>43</v>
      </c>
      <c r="I691" s="7" t="s">
        <v>104</v>
      </c>
      <c r="J691" s="7" t="s">
        <v>563</v>
      </c>
      <c r="K691" s="7" t="s">
        <v>36</v>
      </c>
      <c r="L691" s="7" t="s">
        <v>37</v>
      </c>
      <c r="M691" s="7" t="s">
        <v>55</v>
      </c>
      <c r="N691" s="5">
        <v>43477.0</v>
      </c>
      <c r="O691" s="8">
        <v>52500.0</v>
      </c>
      <c r="P691" s="8">
        <v>86100.0</v>
      </c>
      <c r="Q691" s="8">
        <f t="shared" si="2"/>
        <v>33600</v>
      </c>
      <c r="R691" s="8">
        <v>26.0</v>
      </c>
      <c r="S691" s="8">
        <f t="shared" si="3"/>
        <v>2238600</v>
      </c>
      <c r="T691" s="9">
        <v>0.03</v>
      </c>
      <c r="U691" s="8">
        <f t="shared" si="4"/>
        <v>67158</v>
      </c>
      <c r="V691" s="8">
        <f t="shared" si="5"/>
        <v>2171442</v>
      </c>
      <c r="W691" s="10">
        <f t="shared" si="6"/>
        <v>1365000</v>
      </c>
      <c r="X691" s="10">
        <f t="shared" si="7"/>
        <v>806442</v>
      </c>
      <c r="Y691" s="10"/>
      <c r="Z691" s="10"/>
      <c r="AA691" s="10"/>
      <c r="AB691" s="4" t="s">
        <v>2170</v>
      </c>
      <c r="AC691" s="4" t="s">
        <v>2169</v>
      </c>
      <c r="AD691" s="4">
        <v>43476.0</v>
      </c>
      <c r="AE691" s="4">
        <v>2019.0</v>
      </c>
      <c r="AF691" s="4" t="s">
        <v>1604</v>
      </c>
      <c r="AG691" s="4" t="s">
        <v>183</v>
      </c>
      <c r="AH691" s="4" t="s">
        <v>31</v>
      </c>
      <c r="AI691" s="4" t="s">
        <v>91</v>
      </c>
      <c r="AJ691" s="4" t="s">
        <v>43</v>
      </c>
      <c r="AK691" s="4" t="s">
        <v>104</v>
      </c>
      <c r="AL691" s="4" t="s">
        <v>563</v>
      </c>
      <c r="AM691" s="4" t="s">
        <v>36</v>
      </c>
      <c r="AN691" s="4" t="s">
        <v>37</v>
      </c>
      <c r="AO691" s="4" t="s">
        <v>55</v>
      </c>
      <c r="AP691" s="4">
        <v>43477.0</v>
      </c>
      <c r="AQ691" s="4">
        <v>52500.0</v>
      </c>
      <c r="AR691" s="4">
        <v>86100.0</v>
      </c>
      <c r="AS691" s="4">
        <v>33600.0</v>
      </c>
      <c r="AT691" s="4">
        <v>26.0</v>
      </c>
      <c r="AU691" s="4">
        <v>2238600.0</v>
      </c>
      <c r="AV691" s="4">
        <v>0.03</v>
      </c>
      <c r="AW691" s="4">
        <v>67158.0</v>
      </c>
      <c r="AX691" s="4">
        <v>2171442.0</v>
      </c>
      <c r="AY691" s="4">
        <v>1365000.0</v>
      </c>
      <c r="AZ691" s="4">
        <v>806442.0</v>
      </c>
    </row>
    <row r="692" ht="15.75" customHeight="1">
      <c r="A692" s="3" t="s">
        <v>2171</v>
      </c>
      <c r="B692" s="5">
        <v>43478.0</v>
      </c>
      <c r="C692" s="6">
        <f t="shared" si="1"/>
        <v>2019</v>
      </c>
      <c r="D692" s="7" t="s">
        <v>2172</v>
      </c>
      <c r="E692" s="7" t="s">
        <v>164</v>
      </c>
      <c r="F692" s="7" t="s">
        <v>50</v>
      </c>
      <c r="G692" s="5" t="s">
        <v>51</v>
      </c>
      <c r="H692" s="7" t="s">
        <v>69</v>
      </c>
      <c r="I692" s="7" t="s">
        <v>74</v>
      </c>
      <c r="J692" s="7" t="s">
        <v>1099</v>
      </c>
      <c r="K692" s="7" t="s">
        <v>36</v>
      </c>
      <c r="L692" s="7" t="s">
        <v>45</v>
      </c>
      <c r="M692" s="7" t="s">
        <v>38</v>
      </c>
      <c r="N692" s="5">
        <v>43487.0</v>
      </c>
      <c r="O692" s="8">
        <v>15750.0</v>
      </c>
      <c r="P692" s="8">
        <v>29250.0</v>
      </c>
      <c r="Q692" s="8">
        <f t="shared" si="2"/>
        <v>13500</v>
      </c>
      <c r="R692" s="8">
        <v>4.0</v>
      </c>
      <c r="S692" s="8">
        <f t="shared" si="3"/>
        <v>117000</v>
      </c>
      <c r="T692" s="9">
        <v>0.09</v>
      </c>
      <c r="U692" s="8">
        <f t="shared" si="4"/>
        <v>10530</v>
      </c>
      <c r="V692" s="8">
        <f t="shared" si="5"/>
        <v>106470</v>
      </c>
      <c r="W692" s="10">
        <f t="shared" si="6"/>
        <v>63000</v>
      </c>
      <c r="X692" s="10">
        <f t="shared" si="7"/>
        <v>43470</v>
      </c>
      <c r="Y692" s="10"/>
      <c r="Z692" s="10"/>
      <c r="AA692" s="10"/>
      <c r="AB692" s="4" t="s">
        <v>2173</v>
      </c>
      <c r="AC692" s="4" t="s">
        <v>2171</v>
      </c>
      <c r="AD692" s="4">
        <v>43478.0</v>
      </c>
      <c r="AE692" s="4">
        <v>2019.0</v>
      </c>
      <c r="AF692" s="4" t="s">
        <v>2172</v>
      </c>
      <c r="AG692" s="4" t="s">
        <v>164</v>
      </c>
      <c r="AH692" s="4" t="s">
        <v>50</v>
      </c>
      <c r="AI692" s="4" t="s">
        <v>51</v>
      </c>
      <c r="AJ692" s="4" t="s">
        <v>69</v>
      </c>
      <c r="AK692" s="4" t="s">
        <v>74</v>
      </c>
      <c r="AL692" s="4" t="s">
        <v>1099</v>
      </c>
      <c r="AM692" s="4" t="s">
        <v>36</v>
      </c>
      <c r="AN692" s="4" t="s">
        <v>45</v>
      </c>
      <c r="AO692" s="4" t="s">
        <v>38</v>
      </c>
      <c r="AP692" s="4">
        <v>43487.0</v>
      </c>
      <c r="AQ692" s="4">
        <v>15750.0</v>
      </c>
      <c r="AR692" s="4">
        <v>29250.0</v>
      </c>
      <c r="AS692" s="4">
        <v>13500.0</v>
      </c>
      <c r="AT692" s="4">
        <v>4.0</v>
      </c>
      <c r="AU692" s="4">
        <v>117000.0</v>
      </c>
      <c r="AV692" s="4">
        <v>0.09</v>
      </c>
      <c r="AW692" s="4">
        <v>10530.0</v>
      </c>
      <c r="AX692" s="4">
        <v>106470.0</v>
      </c>
      <c r="AY692" s="4">
        <v>63000.0</v>
      </c>
      <c r="AZ692" s="4">
        <v>43470.0</v>
      </c>
    </row>
    <row r="693" ht="15.75" customHeight="1">
      <c r="A693" s="3" t="s">
        <v>2174</v>
      </c>
      <c r="B693" s="5">
        <v>43486.0</v>
      </c>
      <c r="C693" s="6">
        <f t="shared" si="1"/>
        <v>2019</v>
      </c>
      <c r="D693" s="7" t="s">
        <v>2175</v>
      </c>
      <c r="E693" s="7" t="s">
        <v>432</v>
      </c>
      <c r="F693" s="7" t="s">
        <v>50</v>
      </c>
      <c r="G693" s="5" t="s">
        <v>68</v>
      </c>
      <c r="H693" s="7" t="s">
        <v>140</v>
      </c>
      <c r="I693" s="7" t="s">
        <v>34</v>
      </c>
      <c r="J693" s="7" t="s">
        <v>1105</v>
      </c>
      <c r="K693" s="7" t="s">
        <v>61</v>
      </c>
      <c r="L693" s="7" t="s">
        <v>62</v>
      </c>
      <c r="M693" s="7" t="s">
        <v>63</v>
      </c>
      <c r="N693" s="5">
        <v>43488.0</v>
      </c>
      <c r="O693" s="8">
        <v>4734150.0</v>
      </c>
      <c r="P693" s="8">
        <v>7514550.0</v>
      </c>
      <c r="Q693" s="8">
        <f t="shared" si="2"/>
        <v>2780400</v>
      </c>
      <c r="R693" s="8">
        <v>25.0</v>
      </c>
      <c r="S693" s="8">
        <f t="shared" si="3"/>
        <v>187863750</v>
      </c>
      <c r="T693" s="9">
        <v>0.02</v>
      </c>
      <c r="U693" s="8">
        <f t="shared" si="4"/>
        <v>3757275</v>
      </c>
      <c r="V693" s="8">
        <f t="shared" si="5"/>
        <v>184106475</v>
      </c>
      <c r="W693" s="10">
        <f t="shared" si="6"/>
        <v>118353750</v>
      </c>
      <c r="X693" s="10">
        <f t="shared" si="7"/>
        <v>65752725</v>
      </c>
      <c r="Y693" s="10"/>
      <c r="Z693" s="10"/>
      <c r="AA693" s="10"/>
      <c r="AB693" s="4" t="s">
        <v>2176</v>
      </c>
      <c r="AC693" s="4" t="s">
        <v>2174</v>
      </c>
      <c r="AD693" s="4">
        <v>43486.0</v>
      </c>
      <c r="AE693" s="4">
        <v>2019.0</v>
      </c>
      <c r="AF693" s="4" t="s">
        <v>2175</v>
      </c>
      <c r="AG693" s="4" t="s">
        <v>432</v>
      </c>
      <c r="AH693" s="4" t="s">
        <v>50</v>
      </c>
      <c r="AI693" s="4" t="s">
        <v>68</v>
      </c>
      <c r="AJ693" s="4" t="s">
        <v>140</v>
      </c>
      <c r="AK693" s="4" t="s">
        <v>34</v>
      </c>
      <c r="AL693" s="4" t="s">
        <v>1105</v>
      </c>
      <c r="AM693" s="4" t="s">
        <v>61</v>
      </c>
      <c r="AN693" s="4" t="s">
        <v>62</v>
      </c>
      <c r="AO693" s="4" t="s">
        <v>63</v>
      </c>
      <c r="AP693" s="4">
        <v>43488.0</v>
      </c>
      <c r="AQ693" s="4">
        <v>4734150.0</v>
      </c>
      <c r="AR693" s="4">
        <v>7514550.0</v>
      </c>
      <c r="AS693" s="4">
        <v>2780400.0</v>
      </c>
      <c r="AT693" s="4">
        <v>25.0</v>
      </c>
      <c r="AU693" s="4">
        <v>1.8786375E8</v>
      </c>
      <c r="AV693" s="4">
        <v>0.02</v>
      </c>
      <c r="AW693" s="4">
        <v>3757275.0</v>
      </c>
      <c r="AX693" s="4">
        <v>1.84106475E8</v>
      </c>
      <c r="AY693" s="4">
        <v>1.1835375E8</v>
      </c>
      <c r="AZ693" s="4">
        <v>6.5752725E7</v>
      </c>
    </row>
    <row r="694" ht="15.75" customHeight="1">
      <c r="A694" s="3" t="s">
        <v>2177</v>
      </c>
      <c r="B694" s="5">
        <v>43489.0</v>
      </c>
      <c r="C694" s="6">
        <f t="shared" si="1"/>
        <v>2019</v>
      </c>
      <c r="D694" s="7" t="s">
        <v>2178</v>
      </c>
      <c r="E694" s="7" t="s">
        <v>2179</v>
      </c>
      <c r="F694" s="7" t="s">
        <v>50</v>
      </c>
      <c r="G694" s="5" t="s">
        <v>51</v>
      </c>
      <c r="H694" s="7" t="s">
        <v>200</v>
      </c>
      <c r="I694" s="7" t="s">
        <v>34</v>
      </c>
      <c r="J694" s="7" t="s">
        <v>294</v>
      </c>
      <c r="K694" s="7" t="s">
        <v>36</v>
      </c>
      <c r="L694" s="7" t="s">
        <v>37</v>
      </c>
      <c r="M694" s="7" t="s">
        <v>38</v>
      </c>
      <c r="N694" s="5">
        <v>43491.0</v>
      </c>
      <c r="O694" s="8">
        <v>17700.0</v>
      </c>
      <c r="P694" s="8">
        <v>28200.0</v>
      </c>
      <c r="Q694" s="8">
        <f t="shared" si="2"/>
        <v>10500</v>
      </c>
      <c r="R694" s="8">
        <v>29.0</v>
      </c>
      <c r="S694" s="8">
        <f t="shared" si="3"/>
        <v>817800</v>
      </c>
      <c r="T694" s="9">
        <v>0.1</v>
      </c>
      <c r="U694" s="8">
        <f t="shared" si="4"/>
        <v>81780</v>
      </c>
      <c r="V694" s="8">
        <f t="shared" si="5"/>
        <v>736020</v>
      </c>
      <c r="W694" s="10">
        <f t="shared" si="6"/>
        <v>513300</v>
      </c>
      <c r="X694" s="10">
        <f t="shared" si="7"/>
        <v>222720</v>
      </c>
      <c r="Y694" s="10"/>
      <c r="Z694" s="10"/>
      <c r="AA694" s="10"/>
      <c r="AB694" s="4" t="s">
        <v>2180</v>
      </c>
      <c r="AC694" s="4" t="s">
        <v>2177</v>
      </c>
      <c r="AD694" s="4">
        <v>43489.0</v>
      </c>
      <c r="AE694" s="4">
        <v>2019.0</v>
      </c>
      <c r="AF694" s="4" t="s">
        <v>2178</v>
      </c>
      <c r="AG694" s="4" t="s">
        <v>2179</v>
      </c>
      <c r="AH694" s="4" t="s">
        <v>50</v>
      </c>
      <c r="AI694" s="4" t="s">
        <v>51</v>
      </c>
      <c r="AJ694" s="4" t="s">
        <v>200</v>
      </c>
      <c r="AK694" s="4" t="s">
        <v>34</v>
      </c>
      <c r="AL694" s="4" t="s">
        <v>294</v>
      </c>
      <c r="AM694" s="4" t="s">
        <v>36</v>
      </c>
      <c r="AN694" s="4" t="s">
        <v>37</v>
      </c>
      <c r="AO694" s="4" t="s">
        <v>38</v>
      </c>
      <c r="AP694" s="4">
        <v>43491.0</v>
      </c>
      <c r="AQ694" s="4">
        <v>17700.0</v>
      </c>
      <c r="AR694" s="4">
        <v>28200.0</v>
      </c>
      <c r="AS694" s="4">
        <v>10500.0</v>
      </c>
      <c r="AT694" s="4">
        <v>29.0</v>
      </c>
      <c r="AU694" s="4">
        <v>817800.0</v>
      </c>
      <c r="AV694" s="4">
        <v>0.1</v>
      </c>
      <c r="AW694" s="4">
        <v>81780.0</v>
      </c>
      <c r="AX694" s="4">
        <v>736020.0</v>
      </c>
      <c r="AY694" s="4">
        <v>513300.0</v>
      </c>
      <c r="AZ694" s="4">
        <v>222720.0</v>
      </c>
    </row>
    <row r="695" ht="15.75" customHeight="1">
      <c r="A695" s="3" t="s">
        <v>2181</v>
      </c>
      <c r="B695" s="5">
        <v>43490.0</v>
      </c>
      <c r="C695" s="6">
        <f t="shared" si="1"/>
        <v>2019</v>
      </c>
      <c r="D695" s="7" t="s">
        <v>1171</v>
      </c>
      <c r="E695" s="7" t="s">
        <v>1172</v>
      </c>
      <c r="F695" s="7" t="s">
        <v>50</v>
      </c>
      <c r="G695" s="5" t="s">
        <v>91</v>
      </c>
      <c r="H695" s="7" t="s">
        <v>360</v>
      </c>
      <c r="I695" s="7" t="s">
        <v>74</v>
      </c>
      <c r="J695" s="7" t="s">
        <v>484</v>
      </c>
      <c r="K695" s="7" t="s">
        <v>61</v>
      </c>
      <c r="L695" s="7" t="s">
        <v>62</v>
      </c>
      <c r="M695" s="7" t="s">
        <v>63</v>
      </c>
      <c r="N695" s="5">
        <v>43492.0</v>
      </c>
      <c r="O695" s="8">
        <v>4184850.0</v>
      </c>
      <c r="P695" s="8">
        <v>6749850.0</v>
      </c>
      <c r="Q695" s="8">
        <f t="shared" si="2"/>
        <v>2565000</v>
      </c>
      <c r="R695" s="8">
        <v>47.0</v>
      </c>
      <c r="S695" s="8">
        <f t="shared" si="3"/>
        <v>317242950</v>
      </c>
      <c r="T695" s="9">
        <v>0.02</v>
      </c>
      <c r="U695" s="8">
        <f t="shared" si="4"/>
        <v>6344859</v>
      </c>
      <c r="V695" s="8">
        <f t="shared" si="5"/>
        <v>310898091</v>
      </c>
      <c r="W695" s="10">
        <f t="shared" si="6"/>
        <v>196687950</v>
      </c>
      <c r="X695" s="10">
        <f t="shared" si="7"/>
        <v>114210141</v>
      </c>
      <c r="Y695" s="10"/>
      <c r="Z695" s="10"/>
      <c r="AA695" s="10"/>
      <c r="AB695" s="4" t="s">
        <v>2182</v>
      </c>
      <c r="AC695" s="4" t="s">
        <v>2181</v>
      </c>
      <c r="AD695" s="4">
        <v>43490.0</v>
      </c>
      <c r="AE695" s="4">
        <v>2019.0</v>
      </c>
      <c r="AF695" s="4" t="s">
        <v>1171</v>
      </c>
      <c r="AG695" s="4" t="s">
        <v>1172</v>
      </c>
      <c r="AH695" s="4" t="s">
        <v>50</v>
      </c>
      <c r="AI695" s="4" t="s">
        <v>91</v>
      </c>
      <c r="AJ695" s="4" t="s">
        <v>360</v>
      </c>
      <c r="AK695" s="4" t="s">
        <v>74</v>
      </c>
      <c r="AL695" s="4" t="s">
        <v>484</v>
      </c>
      <c r="AM695" s="4" t="s">
        <v>61</v>
      </c>
      <c r="AN695" s="4" t="s">
        <v>62</v>
      </c>
      <c r="AO695" s="4" t="s">
        <v>63</v>
      </c>
      <c r="AP695" s="4">
        <v>43492.0</v>
      </c>
      <c r="AQ695" s="4">
        <v>4184850.0</v>
      </c>
      <c r="AR695" s="4">
        <v>6749850.0</v>
      </c>
      <c r="AS695" s="4">
        <v>2565000.0</v>
      </c>
      <c r="AT695" s="4">
        <v>47.0</v>
      </c>
      <c r="AU695" s="4">
        <v>3.1724295E8</v>
      </c>
      <c r="AV695" s="4">
        <v>0.02</v>
      </c>
      <c r="AW695" s="4">
        <v>6344859.0</v>
      </c>
      <c r="AX695" s="4">
        <v>3.10898091E8</v>
      </c>
      <c r="AY695" s="4">
        <v>1.9668795E8</v>
      </c>
      <c r="AZ695" s="4">
        <v>1.14210141E8</v>
      </c>
    </row>
    <row r="696" ht="15.75" customHeight="1">
      <c r="A696" s="3" t="s">
        <v>2183</v>
      </c>
      <c r="B696" s="5">
        <v>43492.0</v>
      </c>
      <c r="C696" s="6">
        <f t="shared" si="1"/>
        <v>2019</v>
      </c>
      <c r="D696" s="7" t="s">
        <v>2184</v>
      </c>
      <c r="E696" s="7" t="s">
        <v>1781</v>
      </c>
      <c r="F696" s="7" t="s">
        <v>31</v>
      </c>
      <c r="G696" s="5" t="s">
        <v>91</v>
      </c>
      <c r="H696" s="7" t="s">
        <v>43</v>
      </c>
      <c r="I696" s="7" t="s">
        <v>53</v>
      </c>
      <c r="J696" s="7" t="s">
        <v>399</v>
      </c>
      <c r="K696" s="7" t="s">
        <v>36</v>
      </c>
      <c r="L696" s="7" t="s">
        <v>37</v>
      </c>
      <c r="M696" s="7" t="s">
        <v>38</v>
      </c>
      <c r="N696" s="5">
        <v>43493.0</v>
      </c>
      <c r="O696" s="8">
        <v>51000.0</v>
      </c>
      <c r="P696" s="8">
        <v>81000.0</v>
      </c>
      <c r="Q696" s="8">
        <f t="shared" si="2"/>
        <v>30000</v>
      </c>
      <c r="R696" s="8">
        <v>8.0</v>
      </c>
      <c r="S696" s="8">
        <f t="shared" si="3"/>
        <v>648000</v>
      </c>
      <c r="T696" s="9">
        <v>0.0</v>
      </c>
      <c r="U696" s="8">
        <f t="shared" si="4"/>
        <v>0</v>
      </c>
      <c r="V696" s="8">
        <f t="shared" si="5"/>
        <v>648000</v>
      </c>
      <c r="W696" s="10">
        <f t="shared" si="6"/>
        <v>408000</v>
      </c>
      <c r="X696" s="10">
        <f t="shared" si="7"/>
        <v>240000</v>
      </c>
      <c r="Y696" s="10"/>
      <c r="Z696" s="10"/>
      <c r="AA696" s="10"/>
      <c r="AB696" s="4" t="s">
        <v>2185</v>
      </c>
      <c r="AC696" s="4" t="s">
        <v>2183</v>
      </c>
      <c r="AD696" s="4">
        <v>43492.0</v>
      </c>
      <c r="AE696" s="4">
        <v>2019.0</v>
      </c>
      <c r="AF696" s="4" t="s">
        <v>2184</v>
      </c>
      <c r="AG696" s="4" t="s">
        <v>1781</v>
      </c>
      <c r="AH696" s="4" t="s">
        <v>31</v>
      </c>
      <c r="AI696" s="4" t="s">
        <v>91</v>
      </c>
      <c r="AJ696" s="4" t="s">
        <v>43</v>
      </c>
      <c r="AK696" s="4" t="s">
        <v>53</v>
      </c>
      <c r="AL696" s="4" t="s">
        <v>399</v>
      </c>
      <c r="AM696" s="4" t="s">
        <v>36</v>
      </c>
      <c r="AN696" s="4" t="s">
        <v>37</v>
      </c>
      <c r="AO696" s="4" t="s">
        <v>38</v>
      </c>
      <c r="AP696" s="4">
        <v>43493.0</v>
      </c>
      <c r="AQ696" s="4">
        <v>51000.0</v>
      </c>
      <c r="AR696" s="4">
        <v>81000.0</v>
      </c>
      <c r="AS696" s="4">
        <v>30000.0</v>
      </c>
      <c r="AT696" s="4">
        <v>8.0</v>
      </c>
      <c r="AU696" s="4">
        <v>648000.0</v>
      </c>
      <c r="AV696" s="4">
        <v>0.0</v>
      </c>
      <c r="AW696" s="4">
        <v>0.0</v>
      </c>
      <c r="AX696" s="4">
        <v>648000.0</v>
      </c>
      <c r="AY696" s="4">
        <v>408000.0</v>
      </c>
      <c r="AZ696" s="4">
        <v>240000.0</v>
      </c>
    </row>
    <row r="697" ht="15.75" customHeight="1">
      <c r="A697" s="3" t="s">
        <v>2186</v>
      </c>
      <c r="B697" s="5">
        <v>43497.0</v>
      </c>
      <c r="C697" s="6">
        <f t="shared" si="1"/>
        <v>2019</v>
      </c>
      <c r="D697" s="7" t="s">
        <v>2187</v>
      </c>
      <c r="E697" s="7" t="s">
        <v>642</v>
      </c>
      <c r="F697" s="7" t="s">
        <v>50</v>
      </c>
      <c r="G697" s="5" t="s">
        <v>32</v>
      </c>
      <c r="H697" s="7" t="s">
        <v>69</v>
      </c>
      <c r="I697" s="7" t="s">
        <v>74</v>
      </c>
      <c r="J697" s="7" t="s">
        <v>1446</v>
      </c>
      <c r="K697" s="7" t="s">
        <v>36</v>
      </c>
      <c r="L697" s="7" t="s">
        <v>37</v>
      </c>
      <c r="M697" s="7" t="s">
        <v>38</v>
      </c>
      <c r="N697" s="5">
        <v>43501.0</v>
      </c>
      <c r="O697" s="8">
        <v>17850.0</v>
      </c>
      <c r="P697" s="8">
        <v>29700.0</v>
      </c>
      <c r="Q697" s="8">
        <f t="shared" si="2"/>
        <v>11850</v>
      </c>
      <c r="R697" s="8">
        <v>4.0</v>
      </c>
      <c r="S697" s="8">
        <f t="shared" si="3"/>
        <v>118800</v>
      </c>
      <c r="T697" s="9">
        <v>0.08</v>
      </c>
      <c r="U697" s="8">
        <f t="shared" si="4"/>
        <v>9504</v>
      </c>
      <c r="V697" s="8">
        <f t="shared" si="5"/>
        <v>109296</v>
      </c>
      <c r="W697" s="10">
        <f t="shared" si="6"/>
        <v>71400</v>
      </c>
      <c r="X697" s="10">
        <f t="shared" si="7"/>
        <v>37896</v>
      </c>
      <c r="Y697" s="10"/>
      <c r="Z697" s="10"/>
      <c r="AA697" s="10"/>
      <c r="AB697" s="4" t="s">
        <v>2188</v>
      </c>
      <c r="AC697" s="4" t="s">
        <v>2186</v>
      </c>
      <c r="AD697" s="4">
        <v>43497.0</v>
      </c>
      <c r="AE697" s="4">
        <v>2019.0</v>
      </c>
      <c r="AF697" s="4" t="s">
        <v>2187</v>
      </c>
      <c r="AG697" s="4" t="s">
        <v>642</v>
      </c>
      <c r="AH697" s="4" t="s">
        <v>50</v>
      </c>
      <c r="AI697" s="4" t="s">
        <v>32</v>
      </c>
      <c r="AJ697" s="4" t="s">
        <v>69</v>
      </c>
      <c r="AK697" s="4" t="s">
        <v>74</v>
      </c>
      <c r="AL697" s="4" t="s">
        <v>1446</v>
      </c>
      <c r="AM697" s="4" t="s">
        <v>36</v>
      </c>
      <c r="AN697" s="4" t="s">
        <v>37</v>
      </c>
      <c r="AO697" s="4" t="s">
        <v>38</v>
      </c>
      <c r="AP697" s="4">
        <v>43501.0</v>
      </c>
      <c r="AQ697" s="4">
        <v>17850.0</v>
      </c>
      <c r="AR697" s="4">
        <v>29700.0</v>
      </c>
      <c r="AS697" s="4">
        <v>11850.0</v>
      </c>
      <c r="AT697" s="4">
        <v>4.0</v>
      </c>
      <c r="AU697" s="4">
        <v>118800.0</v>
      </c>
      <c r="AV697" s="4">
        <v>0.08</v>
      </c>
      <c r="AW697" s="4">
        <v>9504.0</v>
      </c>
      <c r="AX697" s="4">
        <v>109296.0</v>
      </c>
      <c r="AY697" s="4">
        <v>71400.0</v>
      </c>
      <c r="AZ697" s="4">
        <v>37896.0</v>
      </c>
    </row>
    <row r="698" ht="15.75" customHeight="1">
      <c r="A698" s="3" t="s">
        <v>2189</v>
      </c>
      <c r="B698" s="5">
        <v>43498.0</v>
      </c>
      <c r="C698" s="6">
        <f t="shared" si="1"/>
        <v>2019</v>
      </c>
      <c r="D698" s="7" t="s">
        <v>311</v>
      </c>
      <c r="E698" s="7" t="s">
        <v>312</v>
      </c>
      <c r="F698" s="7" t="s">
        <v>50</v>
      </c>
      <c r="G698" s="5" t="s">
        <v>32</v>
      </c>
      <c r="H698" s="7" t="s">
        <v>151</v>
      </c>
      <c r="I698" s="7" t="s">
        <v>104</v>
      </c>
      <c r="J698" s="7" t="s">
        <v>1093</v>
      </c>
      <c r="K698" s="7" t="s">
        <v>36</v>
      </c>
      <c r="L698" s="7" t="s">
        <v>45</v>
      </c>
      <c r="M698" s="7" t="s">
        <v>55</v>
      </c>
      <c r="N698" s="5">
        <v>43500.0</v>
      </c>
      <c r="O698" s="8">
        <v>31950.0</v>
      </c>
      <c r="P698" s="8">
        <v>52350.0</v>
      </c>
      <c r="Q698" s="8">
        <f t="shared" si="2"/>
        <v>20400</v>
      </c>
      <c r="R698" s="8">
        <v>3.0</v>
      </c>
      <c r="S698" s="8">
        <f t="shared" si="3"/>
        <v>157050</v>
      </c>
      <c r="T698" s="9">
        <v>0.01</v>
      </c>
      <c r="U698" s="8">
        <f t="shared" si="4"/>
        <v>1570.5</v>
      </c>
      <c r="V698" s="8">
        <f t="shared" si="5"/>
        <v>155479.5</v>
      </c>
      <c r="W698" s="10">
        <f t="shared" si="6"/>
        <v>95850</v>
      </c>
      <c r="X698" s="10">
        <f t="shared" si="7"/>
        <v>59629.5</v>
      </c>
      <c r="Y698" s="10"/>
      <c r="Z698" s="10"/>
      <c r="AA698" s="10"/>
      <c r="AB698" s="4" t="s">
        <v>2190</v>
      </c>
      <c r="AC698" s="4" t="s">
        <v>2189</v>
      </c>
      <c r="AD698" s="4">
        <v>43498.0</v>
      </c>
      <c r="AE698" s="4">
        <v>2019.0</v>
      </c>
      <c r="AF698" s="4" t="s">
        <v>311</v>
      </c>
      <c r="AG698" s="4" t="s">
        <v>312</v>
      </c>
      <c r="AH698" s="4" t="s">
        <v>50</v>
      </c>
      <c r="AI698" s="4" t="s">
        <v>32</v>
      </c>
      <c r="AJ698" s="4" t="s">
        <v>151</v>
      </c>
      <c r="AK698" s="4" t="s">
        <v>104</v>
      </c>
      <c r="AL698" s="4" t="s">
        <v>1093</v>
      </c>
      <c r="AM698" s="4" t="s">
        <v>36</v>
      </c>
      <c r="AN698" s="4" t="s">
        <v>45</v>
      </c>
      <c r="AO698" s="4" t="s">
        <v>55</v>
      </c>
      <c r="AP698" s="4">
        <v>43500.0</v>
      </c>
      <c r="AQ698" s="4">
        <v>31950.0</v>
      </c>
      <c r="AR698" s="4">
        <v>52350.0</v>
      </c>
      <c r="AS698" s="4">
        <v>20400.0</v>
      </c>
      <c r="AT698" s="4">
        <v>3.0</v>
      </c>
      <c r="AU698" s="4">
        <v>157050.0</v>
      </c>
      <c r="AV698" s="4">
        <v>0.01</v>
      </c>
      <c r="AW698" s="4">
        <v>1570.5</v>
      </c>
      <c r="AX698" s="4">
        <v>155479.5</v>
      </c>
      <c r="AY698" s="4">
        <v>95850.0</v>
      </c>
      <c r="AZ698" s="4">
        <v>59629.5</v>
      </c>
    </row>
    <row r="699" ht="15.75" customHeight="1">
      <c r="A699" s="3" t="s">
        <v>2191</v>
      </c>
      <c r="B699" s="5">
        <v>43498.0</v>
      </c>
      <c r="C699" s="6">
        <f t="shared" si="1"/>
        <v>2019</v>
      </c>
      <c r="D699" s="7" t="s">
        <v>2192</v>
      </c>
      <c r="E699" s="7" t="s">
        <v>1509</v>
      </c>
      <c r="F699" s="7" t="s">
        <v>50</v>
      </c>
      <c r="G699" s="5" t="s">
        <v>51</v>
      </c>
      <c r="H699" s="7" t="s">
        <v>52</v>
      </c>
      <c r="I699" s="7" t="s">
        <v>34</v>
      </c>
      <c r="J699" s="7" t="s">
        <v>294</v>
      </c>
      <c r="K699" s="7" t="s">
        <v>36</v>
      </c>
      <c r="L699" s="7" t="s">
        <v>37</v>
      </c>
      <c r="M699" s="7" t="s">
        <v>38</v>
      </c>
      <c r="N699" s="5">
        <v>43500.0</v>
      </c>
      <c r="O699" s="8">
        <v>17700.0</v>
      </c>
      <c r="P699" s="8">
        <v>28200.0</v>
      </c>
      <c r="Q699" s="8">
        <f t="shared" si="2"/>
        <v>10500</v>
      </c>
      <c r="R699" s="8">
        <v>6.0</v>
      </c>
      <c r="S699" s="8">
        <f t="shared" si="3"/>
        <v>169200</v>
      </c>
      <c r="T699" s="9">
        <v>0.07</v>
      </c>
      <c r="U699" s="8">
        <f t="shared" si="4"/>
        <v>11844</v>
      </c>
      <c r="V699" s="8">
        <f t="shared" si="5"/>
        <v>157356</v>
      </c>
      <c r="W699" s="10">
        <f t="shared" si="6"/>
        <v>106200</v>
      </c>
      <c r="X699" s="10">
        <f t="shared" si="7"/>
        <v>51156</v>
      </c>
      <c r="Y699" s="10"/>
      <c r="Z699" s="10"/>
      <c r="AA699" s="10"/>
      <c r="AB699" s="4" t="s">
        <v>2193</v>
      </c>
      <c r="AC699" s="4" t="s">
        <v>2191</v>
      </c>
      <c r="AD699" s="4">
        <v>43498.0</v>
      </c>
      <c r="AE699" s="4">
        <v>2019.0</v>
      </c>
      <c r="AF699" s="4" t="s">
        <v>2192</v>
      </c>
      <c r="AG699" s="4" t="s">
        <v>1509</v>
      </c>
      <c r="AH699" s="4" t="s">
        <v>50</v>
      </c>
      <c r="AI699" s="4" t="s">
        <v>51</v>
      </c>
      <c r="AJ699" s="4" t="s">
        <v>52</v>
      </c>
      <c r="AK699" s="4" t="s">
        <v>34</v>
      </c>
      <c r="AL699" s="4" t="s">
        <v>294</v>
      </c>
      <c r="AM699" s="4" t="s">
        <v>36</v>
      </c>
      <c r="AN699" s="4" t="s">
        <v>37</v>
      </c>
      <c r="AO699" s="4" t="s">
        <v>38</v>
      </c>
      <c r="AP699" s="4">
        <v>43500.0</v>
      </c>
      <c r="AQ699" s="4">
        <v>17700.0</v>
      </c>
      <c r="AR699" s="4">
        <v>28200.0</v>
      </c>
      <c r="AS699" s="4">
        <v>10500.0</v>
      </c>
      <c r="AT699" s="4">
        <v>6.0</v>
      </c>
      <c r="AU699" s="4">
        <v>169200.0</v>
      </c>
      <c r="AV699" s="4">
        <v>0.07</v>
      </c>
      <c r="AW699" s="4">
        <v>11844.0</v>
      </c>
      <c r="AX699" s="4">
        <v>157356.0</v>
      </c>
      <c r="AY699" s="4">
        <v>106200.0</v>
      </c>
      <c r="AZ699" s="4">
        <v>51156.0</v>
      </c>
    </row>
    <row r="700" ht="15.75" customHeight="1">
      <c r="A700" s="3" t="s">
        <v>2194</v>
      </c>
      <c r="B700" s="5">
        <v>43501.0</v>
      </c>
      <c r="C700" s="6">
        <f t="shared" si="1"/>
        <v>2019</v>
      </c>
      <c r="D700" s="7" t="s">
        <v>2031</v>
      </c>
      <c r="E700" s="7" t="s">
        <v>364</v>
      </c>
      <c r="F700" s="7" t="s">
        <v>31</v>
      </c>
      <c r="G700" s="5" t="s">
        <v>68</v>
      </c>
      <c r="H700" s="7" t="s">
        <v>33</v>
      </c>
      <c r="I700" s="7" t="s">
        <v>53</v>
      </c>
      <c r="J700" s="7" t="s">
        <v>739</v>
      </c>
      <c r="K700" s="7" t="s">
        <v>36</v>
      </c>
      <c r="L700" s="7" t="s">
        <v>37</v>
      </c>
      <c r="M700" s="7" t="s">
        <v>38</v>
      </c>
      <c r="N700" s="5">
        <v>43503.0</v>
      </c>
      <c r="O700" s="8">
        <v>67950.0</v>
      </c>
      <c r="P700" s="8">
        <v>109500.0</v>
      </c>
      <c r="Q700" s="8">
        <f t="shared" si="2"/>
        <v>41550</v>
      </c>
      <c r="R700" s="8">
        <v>34.0</v>
      </c>
      <c r="S700" s="8">
        <f t="shared" si="3"/>
        <v>3723000</v>
      </c>
      <c r="T700" s="9">
        <v>0.03</v>
      </c>
      <c r="U700" s="8">
        <f t="shared" si="4"/>
        <v>111690</v>
      </c>
      <c r="V700" s="8">
        <f t="shared" si="5"/>
        <v>3611310</v>
      </c>
      <c r="W700" s="10">
        <f t="shared" si="6"/>
        <v>2310300</v>
      </c>
      <c r="X700" s="10">
        <f t="shared" si="7"/>
        <v>1301010</v>
      </c>
      <c r="Y700" s="10"/>
      <c r="Z700" s="10"/>
      <c r="AA700" s="10"/>
      <c r="AB700" s="4" t="s">
        <v>2195</v>
      </c>
      <c r="AC700" s="4" t="s">
        <v>2194</v>
      </c>
      <c r="AD700" s="4">
        <v>43501.0</v>
      </c>
      <c r="AE700" s="4">
        <v>2019.0</v>
      </c>
      <c r="AF700" s="4" t="s">
        <v>2031</v>
      </c>
      <c r="AG700" s="4" t="s">
        <v>364</v>
      </c>
      <c r="AH700" s="4" t="s">
        <v>31</v>
      </c>
      <c r="AI700" s="4" t="s">
        <v>68</v>
      </c>
      <c r="AJ700" s="4" t="s">
        <v>33</v>
      </c>
      <c r="AK700" s="4" t="s">
        <v>53</v>
      </c>
      <c r="AL700" s="4" t="s">
        <v>739</v>
      </c>
      <c r="AM700" s="4" t="s">
        <v>36</v>
      </c>
      <c r="AN700" s="4" t="s">
        <v>37</v>
      </c>
      <c r="AO700" s="4" t="s">
        <v>38</v>
      </c>
      <c r="AP700" s="4">
        <v>43503.0</v>
      </c>
      <c r="AQ700" s="4">
        <v>67950.0</v>
      </c>
      <c r="AR700" s="4">
        <v>109500.0</v>
      </c>
      <c r="AS700" s="4">
        <v>41550.0</v>
      </c>
      <c r="AT700" s="4">
        <v>34.0</v>
      </c>
      <c r="AU700" s="4">
        <v>3723000.0</v>
      </c>
      <c r="AV700" s="4">
        <v>0.03</v>
      </c>
      <c r="AW700" s="4">
        <v>111690.0</v>
      </c>
      <c r="AX700" s="4">
        <v>3611310.0</v>
      </c>
      <c r="AY700" s="4">
        <v>2310300.0</v>
      </c>
      <c r="AZ700" s="4">
        <v>1301010.0</v>
      </c>
    </row>
    <row r="701" ht="15.75" customHeight="1">
      <c r="A701" s="3" t="s">
        <v>2196</v>
      </c>
      <c r="B701" s="5">
        <v>43501.0</v>
      </c>
      <c r="C701" s="6">
        <f t="shared" si="1"/>
        <v>2019</v>
      </c>
      <c r="D701" s="7" t="s">
        <v>2197</v>
      </c>
      <c r="E701" s="7" t="s">
        <v>258</v>
      </c>
      <c r="F701" s="7" t="s">
        <v>50</v>
      </c>
      <c r="G701" s="5" t="s">
        <v>91</v>
      </c>
      <c r="H701" s="7" t="s">
        <v>98</v>
      </c>
      <c r="I701" s="7" t="s">
        <v>34</v>
      </c>
      <c r="J701" s="7" t="s">
        <v>318</v>
      </c>
      <c r="K701" s="7" t="s">
        <v>36</v>
      </c>
      <c r="L701" s="7" t="s">
        <v>37</v>
      </c>
      <c r="M701" s="7" t="s">
        <v>38</v>
      </c>
      <c r="N701" s="5">
        <v>43503.0</v>
      </c>
      <c r="O701" s="8">
        <v>33750.0</v>
      </c>
      <c r="P701" s="8">
        <v>55350.0</v>
      </c>
      <c r="Q701" s="8">
        <f t="shared" si="2"/>
        <v>21600</v>
      </c>
      <c r="R701" s="8">
        <v>47.0</v>
      </c>
      <c r="S701" s="8">
        <f t="shared" si="3"/>
        <v>2601450</v>
      </c>
      <c r="T701" s="9">
        <v>0.0</v>
      </c>
      <c r="U701" s="8">
        <f t="shared" si="4"/>
        <v>0</v>
      </c>
      <c r="V701" s="8">
        <f t="shared" si="5"/>
        <v>2601450</v>
      </c>
      <c r="W701" s="10">
        <f t="shared" si="6"/>
        <v>1586250</v>
      </c>
      <c r="X701" s="10">
        <f t="shared" si="7"/>
        <v>1015200</v>
      </c>
      <c r="Y701" s="10"/>
      <c r="Z701" s="10"/>
      <c r="AA701" s="10"/>
      <c r="AB701" s="4" t="s">
        <v>2198</v>
      </c>
      <c r="AC701" s="4" t="s">
        <v>2196</v>
      </c>
      <c r="AD701" s="4">
        <v>43501.0</v>
      </c>
      <c r="AE701" s="4">
        <v>2019.0</v>
      </c>
      <c r="AF701" s="4" t="s">
        <v>2197</v>
      </c>
      <c r="AG701" s="4" t="s">
        <v>258</v>
      </c>
      <c r="AH701" s="4" t="s">
        <v>50</v>
      </c>
      <c r="AI701" s="4" t="s">
        <v>91</v>
      </c>
      <c r="AJ701" s="4" t="s">
        <v>98</v>
      </c>
      <c r="AK701" s="4" t="s">
        <v>34</v>
      </c>
      <c r="AL701" s="4" t="s">
        <v>318</v>
      </c>
      <c r="AM701" s="4" t="s">
        <v>36</v>
      </c>
      <c r="AN701" s="4" t="s">
        <v>37</v>
      </c>
      <c r="AO701" s="4" t="s">
        <v>38</v>
      </c>
      <c r="AP701" s="4">
        <v>43503.0</v>
      </c>
      <c r="AQ701" s="4">
        <v>33750.0</v>
      </c>
      <c r="AR701" s="4">
        <v>55350.0</v>
      </c>
      <c r="AS701" s="4">
        <v>21600.0</v>
      </c>
      <c r="AT701" s="4">
        <v>47.0</v>
      </c>
      <c r="AU701" s="4">
        <v>2601450.0</v>
      </c>
      <c r="AV701" s="4">
        <v>0.0</v>
      </c>
      <c r="AW701" s="4">
        <v>0.0</v>
      </c>
      <c r="AX701" s="4">
        <v>2601450.0</v>
      </c>
      <c r="AY701" s="4">
        <v>1586250.0</v>
      </c>
      <c r="AZ701" s="4">
        <v>1015200.0</v>
      </c>
    </row>
    <row r="702" ht="15.75" customHeight="1">
      <c r="A702" s="3" t="s">
        <v>2199</v>
      </c>
      <c r="B702" s="5">
        <v>43505.0</v>
      </c>
      <c r="C702" s="6">
        <f t="shared" si="1"/>
        <v>2019</v>
      </c>
      <c r="D702" s="7" t="s">
        <v>207</v>
      </c>
      <c r="E702" s="7" t="s">
        <v>59</v>
      </c>
      <c r="F702" s="7" t="s">
        <v>31</v>
      </c>
      <c r="G702" s="5" t="s">
        <v>51</v>
      </c>
      <c r="H702" s="7" t="s">
        <v>33</v>
      </c>
      <c r="I702" s="7" t="s">
        <v>92</v>
      </c>
      <c r="J702" s="7" t="s">
        <v>417</v>
      </c>
      <c r="K702" s="7" t="s">
        <v>61</v>
      </c>
      <c r="L702" s="7" t="s">
        <v>244</v>
      </c>
      <c r="M702" s="7" t="s">
        <v>38</v>
      </c>
      <c r="N702" s="5">
        <v>43507.0</v>
      </c>
      <c r="O702" s="8">
        <v>118800.0</v>
      </c>
      <c r="P702" s="8">
        <v>194850.0</v>
      </c>
      <c r="Q702" s="8">
        <f t="shared" si="2"/>
        <v>76050</v>
      </c>
      <c r="R702" s="8">
        <v>46.0</v>
      </c>
      <c r="S702" s="8">
        <f t="shared" si="3"/>
        <v>8963100</v>
      </c>
      <c r="T702" s="9">
        <v>0.01</v>
      </c>
      <c r="U702" s="8">
        <f t="shared" si="4"/>
        <v>89631</v>
      </c>
      <c r="V702" s="8">
        <f t="shared" si="5"/>
        <v>8873469</v>
      </c>
      <c r="W702" s="10">
        <f t="shared" si="6"/>
        <v>5464800</v>
      </c>
      <c r="X702" s="10">
        <f t="shared" si="7"/>
        <v>3408669</v>
      </c>
      <c r="Y702" s="10"/>
      <c r="Z702" s="10"/>
      <c r="AA702" s="10"/>
      <c r="AB702" s="4" t="s">
        <v>2200</v>
      </c>
      <c r="AC702" s="4" t="s">
        <v>2199</v>
      </c>
      <c r="AD702" s="4">
        <v>43505.0</v>
      </c>
      <c r="AE702" s="4">
        <v>2019.0</v>
      </c>
      <c r="AF702" s="4" t="s">
        <v>207</v>
      </c>
      <c r="AG702" s="4" t="s">
        <v>59</v>
      </c>
      <c r="AH702" s="4" t="s">
        <v>31</v>
      </c>
      <c r="AI702" s="4" t="s">
        <v>51</v>
      </c>
      <c r="AJ702" s="4" t="s">
        <v>33</v>
      </c>
      <c r="AK702" s="4" t="s">
        <v>92</v>
      </c>
      <c r="AL702" s="4" t="s">
        <v>417</v>
      </c>
      <c r="AM702" s="4" t="s">
        <v>61</v>
      </c>
      <c r="AN702" s="4" t="s">
        <v>244</v>
      </c>
      <c r="AO702" s="4" t="s">
        <v>38</v>
      </c>
      <c r="AP702" s="4">
        <v>43507.0</v>
      </c>
      <c r="AQ702" s="4">
        <v>118800.0</v>
      </c>
      <c r="AR702" s="4">
        <v>194850.0</v>
      </c>
      <c r="AS702" s="4">
        <v>76050.0</v>
      </c>
      <c r="AT702" s="4">
        <v>46.0</v>
      </c>
      <c r="AU702" s="4">
        <v>8963100.0</v>
      </c>
      <c r="AV702" s="4">
        <v>0.01</v>
      </c>
      <c r="AW702" s="4">
        <v>89631.0</v>
      </c>
      <c r="AX702" s="4">
        <v>8873469.0</v>
      </c>
      <c r="AY702" s="4">
        <v>5464800.0</v>
      </c>
      <c r="AZ702" s="4">
        <v>3408669.0</v>
      </c>
    </row>
    <row r="703" ht="15.75" customHeight="1">
      <c r="A703" s="3" t="s">
        <v>2201</v>
      </c>
      <c r="B703" s="5">
        <v>43508.0</v>
      </c>
      <c r="C703" s="6">
        <f t="shared" si="1"/>
        <v>2019</v>
      </c>
      <c r="D703" s="7" t="s">
        <v>2202</v>
      </c>
      <c r="E703" s="7" t="s">
        <v>456</v>
      </c>
      <c r="F703" s="7" t="s">
        <v>50</v>
      </c>
      <c r="G703" s="5" t="s">
        <v>32</v>
      </c>
      <c r="H703" s="7" t="s">
        <v>200</v>
      </c>
      <c r="I703" s="7" t="s">
        <v>34</v>
      </c>
      <c r="J703" s="7" t="s">
        <v>365</v>
      </c>
      <c r="K703" s="7" t="s">
        <v>36</v>
      </c>
      <c r="L703" s="7" t="s">
        <v>37</v>
      </c>
      <c r="M703" s="7" t="s">
        <v>38</v>
      </c>
      <c r="N703" s="5">
        <v>43508.0</v>
      </c>
      <c r="O703" s="8">
        <v>2682450.0</v>
      </c>
      <c r="P703" s="8">
        <v>6238200.0</v>
      </c>
      <c r="Q703" s="8">
        <f t="shared" si="2"/>
        <v>3555750</v>
      </c>
      <c r="R703" s="8">
        <v>21.0</v>
      </c>
      <c r="S703" s="8">
        <f t="shared" si="3"/>
        <v>131002200</v>
      </c>
      <c r="T703" s="9">
        <v>0.09</v>
      </c>
      <c r="U703" s="8">
        <f t="shared" si="4"/>
        <v>11790198</v>
      </c>
      <c r="V703" s="8">
        <f t="shared" si="5"/>
        <v>119212002</v>
      </c>
      <c r="W703" s="10">
        <f t="shared" si="6"/>
        <v>56331450</v>
      </c>
      <c r="X703" s="10">
        <f t="shared" si="7"/>
        <v>62880552</v>
      </c>
      <c r="Y703" s="10"/>
      <c r="Z703" s="10"/>
      <c r="AA703" s="10"/>
      <c r="AB703" s="4" t="s">
        <v>2203</v>
      </c>
      <c r="AC703" s="4" t="s">
        <v>2201</v>
      </c>
      <c r="AD703" s="4">
        <v>43508.0</v>
      </c>
      <c r="AE703" s="4">
        <v>2019.0</v>
      </c>
      <c r="AF703" s="4" t="s">
        <v>2202</v>
      </c>
      <c r="AG703" s="4" t="s">
        <v>456</v>
      </c>
      <c r="AH703" s="4" t="s">
        <v>50</v>
      </c>
      <c r="AI703" s="4" t="s">
        <v>32</v>
      </c>
      <c r="AJ703" s="4" t="s">
        <v>200</v>
      </c>
      <c r="AK703" s="4" t="s">
        <v>34</v>
      </c>
      <c r="AL703" s="4" t="s">
        <v>365</v>
      </c>
      <c r="AM703" s="4" t="s">
        <v>36</v>
      </c>
      <c r="AN703" s="4" t="s">
        <v>37</v>
      </c>
      <c r="AO703" s="4" t="s">
        <v>38</v>
      </c>
      <c r="AP703" s="4">
        <v>43508.0</v>
      </c>
      <c r="AQ703" s="4">
        <v>2682450.0</v>
      </c>
      <c r="AR703" s="4">
        <v>6238200.0</v>
      </c>
      <c r="AS703" s="4">
        <v>3555750.0</v>
      </c>
      <c r="AT703" s="4">
        <v>21.0</v>
      </c>
      <c r="AU703" s="4">
        <v>1.310022E8</v>
      </c>
      <c r="AV703" s="4">
        <v>0.09</v>
      </c>
      <c r="AW703" s="4">
        <v>1.1790198E7</v>
      </c>
      <c r="AX703" s="4">
        <v>1.19212002E8</v>
      </c>
      <c r="AY703" s="4">
        <v>5.633145E7</v>
      </c>
      <c r="AZ703" s="4">
        <v>6.2880552E7</v>
      </c>
    </row>
    <row r="704" ht="15.75" customHeight="1">
      <c r="A704" s="3" t="s">
        <v>2204</v>
      </c>
      <c r="B704" s="5">
        <v>43508.0</v>
      </c>
      <c r="C704" s="6">
        <f t="shared" si="1"/>
        <v>2019</v>
      </c>
      <c r="D704" s="7" t="s">
        <v>2205</v>
      </c>
      <c r="E704" s="7" t="s">
        <v>1536</v>
      </c>
      <c r="F704" s="7" t="s">
        <v>50</v>
      </c>
      <c r="G704" s="5" t="s">
        <v>51</v>
      </c>
      <c r="H704" s="7" t="s">
        <v>189</v>
      </c>
      <c r="I704" s="7" t="s">
        <v>34</v>
      </c>
      <c r="J704" s="7" t="s">
        <v>308</v>
      </c>
      <c r="K704" s="7" t="s">
        <v>61</v>
      </c>
      <c r="L704" s="7" t="s">
        <v>37</v>
      </c>
      <c r="M704" s="7" t="s">
        <v>38</v>
      </c>
      <c r="N704" s="5">
        <v>43509.0</v>
      </c>
      <c r="O704" s="8">
        <v>2347500.0</v>
      </c>
      <c r="P704" s="8">
        <v>4514550.0</v>
      </c>
      <c r="Q704" s="8">
        <f t="shared" si="2"/>
        <v>2167050</v>
      </c>
      <c r="R704" s="8">
        <v>23.0</v>
      </c>
      <c r="S704" s="8">
        <f t="shared" si="3"/>
        <v>103834650</v>
      </c>
      <c r="T704" s="9">
        <v>0.06</v>
      </c>
      <c r="U704" s="8">
        <f t="shared" si="4"/>
        <v>6230079</v>
      </c>
      <c r="V704" s="8">
        <f t="shared" si="5"/>
        <v>97604571</v>
      </c>
      <c r="W704" s="10">
        <f t="shared" si="6"/>
        <v>53992500</v>
      </c>
      <c r="X704" s="10">
        <f t="shared" si="7"/>
        <v>43612071</v>
      </c>
      <c r="Y704" s="10"/>
      <c r="Z704" s="10"/>
      <c r="AA704" s="10"/>
      <c r="AB704" s="4" t="s">
        <v>2206</v>
      </c>
      <c r="AC704" s="4" t="s">
        <v>2204</v>
      </c>
      <c r="AD704" s="4">
        <v>43508.0</v>
      </c>
      <c r="AE704" s="4">
        <v>2019.0</v>
      </c>
      <c r="AF704" s="4" t="s">
        <v>2205</v>
      </c>
      <c r="AG704" s="4" t="s">
        <v>1536</v>
      </c>
      <c r="AH704" s="4" t="s">
        <v>50</v>
      </c>
      <c r="AI704" s="4" t="s">
        <v>51</v>
      </c>
      <c r="AJ704" s="4" t="s">
        <v>189</v>
      </c>
      <c r="AK704" s="4" t="s">
        <v>34</v>
      </c>
      <c r="AL704" s="4" t="s">
        <v>308</v>
      </c>
      <c r="AM704" s="4" t="s">
        <v>61</v>
      </c>
      <c r="AN704" s="4" t="s">
        <v>37</v>
      </c>
      <c r="AO704" s="4" t="s">
        <v>38</v>
      </c>
      <c r="AP704" s="4">
        <v>43509.0</v>
      </c>
      <c r="AQ704" s="4">
        <v>2347500.0</v>
      </c>
      <c r="AR704" s="4">
        <v>4514550.0</v>
      </c>
      <c r="AS704" s="4">
        <v>2167050.0</v>
      </c>
      <c r="AT704" s="4">
        <v>23.0</v>
      </c>
      <c r="AU704" s="4">
        <v>1.0383465E8</v>
      </c>
      <c r="AV704" s="4">
        <v>0.06</v>
      </c>
      <c r="AW704" s="4">
        <v>6230079.0</v>
      </c>
      <c r="AX704" s="4">
        <v>9.7604571E7</v>
      </c>
      <c r="AY704" s="4">
        <v>5.39925E7</v>
      </c>
      <c r="AZ704" s="4">
        <v>4.3612071E7</v>
      </c>
    </row>
    <row r="705" ht="15.75" customHeight="1">
      <c r="A705" s="3" t="s">
        <v>2207</v>
      </c>
      <c r="B705" s="5">
        <v>43509.0</v>
      </c>
      <c r="C705" s="6">
        <f t="shared" si="1"/>
        <v>2019</v>
      </c>
      <c r="D705" s="7" t="s">
        <v>2178</v>
      </c>
      <c r="E705" s="7" t="s">
        <v>2179</v>
      </c>
      <c r="F705" s="7" t="s">
        <v>50</v>
      </c>
      <c r="G705" s="5" t="s">
        <v>91</v>
      </c>
      <c r="H705" s="7" t="s">
        <v>200</v>
      </c>
      <c r="I705" s="7" t="s">
        <v>74</v>
      </c>
      <c r="J705" s="7" t="s">
        <v>44</v>
      </c>
      <c r="K705" s="7" t="s">
        <v>36</v>
      </c>
      <c r="L705" s="7" t="s">
        <v>45</v>
      </c>
      <c r="M705" s="7" t="s">
        <v>38</v>
      </c>
      <c r="N705" s="5">
        <v>43511.0</v>
      </c>
      <c r="O705" s="8">
        <v>35850.0</v>
      </c>
      <c r="P705" s="8">
        <v>63900.0</v>
      </c>
      <c r="Q705" s="8">
        <f t="shared" si="2"/>
        <v>28050</v>
      </c>
      <c r="R705" s="8">
        <v>47.0</v>
      </c>
      <c r="S705" s="8">
        <f t="shared" si="3"/>
        <v>3003300</v>
      </c>
      <c r="T705" s="9">
        <v>0.07</v>
      </c>
      <c r="U705" s="8">
        <f t="shared" si="4"/>
        <v>210231</v>
      </c>
      <c r="V705" s="8">
        <f t="shared" si="5"/>
        <v>2793069</v>
      </c>
      <c r="W705" s="10">
        <f t="shared" si="6"/>
        <v>1684950</v>
      </c>
      <c r="X705" s="10">
        <f t="shared" si="7"/>
        <v>1108119</v>
      </c>
      <c r="Y705" s="10"/>
      <c r="Z705" s="10"/>
      <c r="AA705" s="10"/>
      <c r="AB705" s="4" t="s">
        <v>2208</v>
      </c>
      <c r="AC705" s="4" t="s">
        <v>2207</v>
      </c>
      <c r="AD705" s="4">
        <v>43509.0</v>
      </c>
      <c r="AE705" s="4">
        <v>2019.0</v>
      </c>
      <c r="AF705" s="4" t="s">
        <v>2178</v>
      </c>
      <c r="AG705" s="4" t="s">
        <v>2179</v>
      </c>
      <c r="AH705" s="4" t="s">
        <v>50</v>
      </c>
      <c r="AI705" s="4" t="s">
        <v>91</v>
      </c>
      <c r="AJ705" s="4" t="s">
        <v>200</v>
      </c>
      <c r="AK705" s="4" t="s">
        <v>74</v>
      </c>
      <c r="AL705" s="4" t="s">
        <v>44</v>
      </c>
      <c r="AM705" s="4" t="s">
        <v>36</v>
      </c>
      <c r="AN705" s="4" t="s">
        <v>45</v>
      </c>
      <c r="AO705" s="4" t="s">
        <v>38</v>
      </c>
      <c r="AP705" s="4">
        <v>43511.0</v>
      </c>
      <c r="AQ705" s="4">
        <v>35850.0</v>
      </c>
      <c r="AR705" s="4">
        <v>63900.0</v>
      </c>
      <c r="AS705" s="4">
        <v>28050.0</v>
      </c>
      <c r="AT705" s="4">
        <v>47.0</v>
      </c>
      <c r="AU705" s="4">
        <v>3003300.0</v>
      </c>
      <c r="AV705" s="4">
        <v>0.07</v>
      </c>
      <c r="AW705" s="4">
        <v>210231.0</v>
      </c>
      <c r="AX705" s="4">
        <v>2793069.0</v>
      </c>
      <c r="AY705" s="4">
        <v>1684950.0</v>
      </c>
      <c r="AZ705" s="4">
        <v>1108119.0</v>
      </c>
    </row>
    <row r="706" ht="15.75" customHeight="1">
      <c r="A706" s="3" t="s">
        <v>2209</v>
      </c>
      <c r="B706" s="5">
        <v>43509.0</v>
      </c>
      <c r="C706" s="6">
        <f t="shared" si="1"/>
        <v>2019</v>
      </c>
      <c r="D706" s="7" t="s">
        <v>2178</v>
      </c>
      <c r="E706" s="7" t="s">
        <v>2179</v>
      </c>
      <c r="F706" s="7" t="s">
        <v>50</v>
      </c>
      <c r="G706" s="5" t="s">
        <v>91</v>
      </c>
      <c r="H706" s="7" t="s">
        <v>200</v>
      </c>
      <c r="I706" s="7" t="s">
        <v>74</v>
      </c>
      <c r="J706" s="7" t="s">
        <v>141</v>
      </c>
      <c r="K706" s="7" t="s">
        <v>36</v>
      </c>
      <c r="L706" s="7" t="s">
        <v>45</v>
      </c>
      <c r="M706" s="7" t="s">
        <v>38</v>
      </c>
      <c r="N706" s="5">
        <v>43514.0</v>
      </c>
      <c r="O706" s="8">
        <v>19500.0</v>
      </c>
      <c r="P706" s="8">
        <v>43200.0</v>
      </c>
      <c r="Q706" s="8">
        <f t="shared" si="2"/>
        <v>23700</v>
      </c>
      <c r="R706" s="8">
        <v>17.0</v>
      </c>
      <c r="S706" s="8">
        <f t="shared" si="3"/>
        <v>734400</v>
      </c>
      <c r="T706" s="9">
        <v>0.09</v>
      </c>
      <c r="U706" s="8">
        <f t="shared" si="4"/>
        <v>66096</v>
      </c>
      <c r="V706" s="8">
        <f t="shared" si="5"/>
        <v>668304</v>
      </c>
      <c r="W706" s="10">
        <f t="shared" si="6"/>
        <v>331500</v>
      </c>
      <c r="X706" s="10">
        <f t="shared" si="7"/>
        <v>336804</v>
      </c>
      <c r="Y706" s="10"/>
      <c r="Z706" s="10"/>
      <c r="AA706" s="10"/>
      <c r="AB706" s="4" t="s">
        <v>2210</v>
      </c>
      <c r="AC706" s="4" t="s">
        <v>2209</v>
      </c>
      <c r="AD706" s="4">
        <v>43509.0</v>
      </c>
      <c r="AE706" s="4">
        <v>2019.0</v>
      </c>
      <c r="AF706" s="4" t="s">
        <v>2178</v>
      </c>
      <c r="AG706" s="4" t="s">
        <v>2179</v>
      </c>
      <c r="AH706" s="4" t="s">
        <v>50</v>
      </c>
      <c r="AI706" s="4" t="s">
        <v>91</v>
      </c>
      <c r="AJ706" s="4" t="s">
        <v>200</v>
      </c>
      <c r="AK706" s="4" t="s">
        <v>74</v>
      </c>
      <c r="AL706" s="4" t="s">
        <v>141</v>
      </c>
      <c r="AM706" s="4" t="s">
        <v>36</v>
      </c>
      <c r="AN706" s="4" t="s">
        <v>45</v>
      </c>
      <c r="AO706" s="4" t="s">
        <v>38</v>
      </c>
      <c r="AP706" s="4">
        <v>43514.0</v>
      </c>
      <c r="AQ706" s="4">
        <v>19500.0</v>
      </c>
      <c r="AR706" s="4">
        <v>43200.0</v>
      </c>
      <c r="AS706" s="4">
        <v>23700.0</v>
      </c>
      <c r="AT706" s="4">
        <v>17.0</v>
      </c>
      <c r="AU706" s="4">
        <v>734400.0</v>
      </c>
      <c r="AV706" s="4">
        <v>0.09</v>
      </c>
      <c r="AW706" s="4">
        <v>66096.0</v>
      </c>
      <c r="AX706" s="4">
        <v>668304.0</v>
      </c>
      <c r="AY706" s="4">
        <v>331500.0</v>
      </c>
      <c r="AZ706" s="4">
        <v>336804.0</v>
      </c>
    </row>
    <row r="707" ht="15.75" customHeight="1">
      <c r="A707" s="3" t="s">
        <v>2211</v>
      </c>
      <c r="B707" s="5">
        <v>43514.0</v>
      </c>
      <c r="C707" s="6">
        <f t="shared" si="1"/>
        <v>2019</v>
      </c>
      <c r="D707" s="7" t="s">
        <v>2212</v>
      </c>
      <c r="E707" s="7" t="s">
        <v>169</v>
      </c>
      <c r="F707" s="7" t="s">
        <v>31</v>
      </c>
      <c r="G707" s="5" t="s">
        <v>51</v>
      </c>
      <c r="H707" s="7" t="s">
        <v>43</v>
      </c>
      <c r="I707" s="7" t="s">
        <v>34</v>
      </c>
      <c r="J707" s="7" t="s">
        <v>1261</v>
      </c>
      <c r="K707" s="7" t="s">
        <v>61</v>
      </c>
      <c r="L707" s="7" t="s">
        <v>37</v>
      </c>
      <c r="M707" s="7" t="s">
        <v>55</v>
      </c>
      <c r="N707" s="5">
        <v>43514.0</v>
      </c>
      <c r="O707" s="8">
        <v>220500.0</v>
      </c>
      <c r="P707" s="8">
        <v>449850.0</v>
      </c>
      <c r="Q707" s="8">
        <f t="shared" si="2"/>
        <v>229350</v>
      </c>
      <c r="R707" s="8">
        <v>20.0</v>
      </c>
      <c r="S707" s="8">
        <f t="shared" si="3"/>
        <v>8997000</v>
      </c>
      <c r="T707" s="9">
        <v>0.04</v>
      </c>
      <c r="U707" s="8">
        <f t="shared" si="4"/>
        <v>359880</v>
      </c>
      <c r="V707" s="8">
        <f t="shared" si="5"/>
        <v>8637120</v>
      </c>
      <c r="W707" s="10">
        <f t="shared" si="6"/>
        <v>4410000</v>
      </c>
      <c r="X707" s="10">
        <f t="shared" si="7"/>
        <v>4227120</v>
      </c>
      <c r="Y707" s="10"/>
      <c r="Z707" s="10"/>
      <c r="AA707" s="10"/>
      <c r="AB707" s="4" t="s">
        <v>2213</v>
      </c>
      <c r="AC707" s="4" t="s">
        <v>2211</v>
      </c>
      <c r="AD707" s="4">
        <v>43514.0</v>
      </c>
      <c r="AE707" s="4">
        <v>2019.0</v>
      </c>
      <c r="AF707" s="4" t="s">
        <v>2212</v>
      </c>
      <c r="AG707" s="4" t="s">
        <v>169</v>
      </c>
      <c r="AH707" s="4" t="s">
        <v>31</v>
      </c>
      <c r="AI707" s="4" t="s">
        <v>51</v>
      </c>
      <c r="AJ707" s="4" t="s">
        <v>43</v>
      </c>
      <c r="AK707" s="4" t="s">
        <v>34</v>
      </c>
      <c r="AL707" s="4" t="s">
        <v>1261</v>
      </c>
      <c r="AM707" s="4" t="s">
        <v>61</v>
      </c>
      <c r="AN707" s="4" t="s">
        <v>37</v>
      </c>
      <c r="AO707" s="4" t="s">
        <v>55</v>
      </c>
      <c r="AP707" s="4">
        <v>43514.0</v>
      </c>
      <c r="AQ707" s="4">
        <v>220500.0</v>
      </c>
      <c r="AR707" s="4">
        <v>449850.0</v>
      </c>
      <c r="AS707" s="4">
        <v>229350.0</v>
      </c>
      <c r="AT707" s="4">
        <v>20.0</v>
      </c>
      <c r="AU707" s="4">
        <v>8997000.0</v>
      </c>
      <c r="AV707" s="4">
        <v>0.04</v>
      </c>
      <c r="AW707" s="4">
        <v>359880.0</v>
      </c>
      <c r="AX707" s="4">
        <v>8637120.0</v>
      </c>
      <c r="AY707" s="4">
        <v>4410000.0</v>
      </c>
      <c r="AZ707" s="4">
        <v>4227120.0</v>
      </c>
    </row>
    <row r="708" ht="15.75" customHeight="1">
      <c r="A708" s="3" t="s">
        <v>2214</v>
      </c>
      <c r="B708" s="5">
        <v>43514.0</v>
      </c>
      <c r="C708" s="6">
        <f t="shared" si="1"/>
        <v>2019</v>
      </c>
      <c r="D708" s="7" t="s">
        <v>420</v>
      </c>
      <c r="E708" s="7" t="s">
        <v>199</v>
      </c>
      <c r="F708" s="7" t="s">
        <v>50</v>
      </c>
      <c r="G708" s="5" t="s">
        <v>91</v>
      </c>
      <c r="H708" s="7" t="s">
        <v>200</v>
      </c>
      <c r="I708" s="7" t="s">
        <v>74</v>
      </c>
      <c r="J708" s="7" t="s">
        <v>93</v>
      </c>
      <c r="K708" s="7" t="s">
        <v>36</v>
      </c>
      <c r="L708" s="7" t="s">
        <v>37</v>
      </c>
      <c r="M708" s="7" t="s">
        <v>38</v>
      </c>
      <c r="N708" s="5">
        <v>43521.0</v>
      </c>
      <c r="O708" s="8">
        <v>814350.0</v>
      </c>
      <c r="P708" s="8">
        <v>1357200.0</v>
      </c>
      <c r="Q708" s="8">
        <f t="shared" si="2"/>
        <v>542850</v>
      </c>
      <c r="R708" s="8">
        <v>49.0</v>
      </c>
      <c r="S708" s="8">
        <f t="shared" si="3"/>
        <v>66502800</v>
      </c>
      <c r="T708" s="9">
        <v>0.05</v>
      </c>
      <c r="U708" s="8">
        <f t="shared" si="4"/>
        <v>3325140</v>
      </c>
      <c r="V708" s="8">
        <f t="shared" si="5"/>
        <v>63177660</v>
      </c>
      <c r="W708" s="10">
        <f t="shared" si="6"/>
        <v>39903150</v>
      </c>
      <c r="X708" s="10">
        <f t="shared" si="7"/>
        <v>23274510</v>
      </c>
      <c r="Y708" s="10"/>
      <c r="Z708" s="10"/>
      <c r="AA708" s="10"/>
      <c r="AB708" s="4" t="s">
        <v>2215</v>
      </c>
      <c r="AC708" s="4" t="s">
        <v>2214</v>
      </c>
      <c r="AD708" s="4">
        <v>43514.0</v>
      </c>
      <c r="AE708" s="4">
        <v>2019.0</v>
      </c>
      <c r="AF708" s="4" t="s">
        <v>420</v>
      </c>
      <c r="AG708" s="4" t="s">
        <v>199</v>
      </c>
      <c r="AH708" s="4" t="s">
        <v>50</v>
      </c>
      <c r="AI708" s="4" t="s">
        <v>91</v>
      </c>
      <c r="AJ708" s="4" t="s">
        <v>200</v>
      </c>
      <c r="AK708" s="4" t="s">
        <v>74</v>
      </c>
      <c r="AL708" s="4" t="s">
        <v>93</v>
      </c>
      <c r="AM708" s="4" t="s">
        <v>36</v>
      </c>
      <c r="AN708" s="4" t="s">
        <v>37</v>
      </c>
      <c r="AO708" s="4" t="s">
        <v>38</v>
      </c>
      <c r="AP708" s="4">
        <v>43521.0</v>
      </c>
      <c r="AQ708" s="4">
        <v>814350.0</v>
      </c>
      <c r="AR708" s="4">
        <v>1357200.0</v>
      </c>
      <c r="AS708" s="4">
        <v>542850.0</v>
      </c>
      <c r="AT708" s="4">
        <v>49.0</v>
      </c>
      <c r="AU708" s="4">
        <v>6.65028E7</v>
      </c>
      <c r="AV708" s="4">
        <v>0.05</v>
      </c>
      <c r="AW708" s="4">
        <v>3325140.0</v>
      </c>
      <c r="AX708" s="4">
        <v>6.317766E7</v>
      </c>
      <c r="AY708" s="4">
        <v>3.990315E7</v>
      </c>
      <c r="AZ708" s="4">
        <v>2.327451E7</v>
      </c>
    </row>
    <row r="709" ht="15.75" customHeight="1">
      <c r="A709" s="3" t="s">
        <v>2216</v>
      </c>
      <c r="B709" s="5">
        <v>43515.0</v>
      </c>
      <c r="C709" s="6">
        <f t="shared" si="1"/>
        <v>2019</v>
      </c>
      <c r="D709" s="7" t="s">
        <v>1849</v>
      </c>
      <c r="E709" s="7" t="s">
        <v>173</v>
      </c>
      <c r="F709" s="7" t="s">
        <v>31</v>
      </c>
      <c r="G709" s="5" t="s">
        <v>51</v>
      </c>
      <c r="H709" s="7" t="s">
        <v>43</v>
      </c>
      <c r="I709" s="7" t="s">
        <v>53</v>
      </c>
      <c r="J709" s="7" t="s">
        <v>224</v>
      </c>
      <c r="K709" s="7" t="s">
        <v>36</v>
      </c>
      <c r="L709" s="7" t="s">
        <v>45</v>
      </c>
      <c r="M709" s="7" t="s">
        <v>38</v>
      </c>
      <c r="N709" s="5">
        <v>43516.0</v>
      </c>
      <c r="O709" s="8">
        <v>52050.0</v>
      </c>
      <c r="P709" s="8">
        <v>100200.0</v>
      </c>
      <c r="Q709" s="8">
        <f t="shared" si="2"/>
        <v>48150</v>
      </c>
      <c r="R709" s="8">
        <v>12.0</v>
      </c>
      <c r="S709" s="8">
        <f t="shared" si="3"/>
        <v>1202400</v>
      </c>
      <c r="T709" s="9">
        <v>0.06</v>
      </c>
      <c r="U709" s="8">
        <f t="shared" si="4"/>
        <v>72144</v>
      </c>
      <c r="V709" s="8">
        <f t="shared" si="5"/>
        <v>1130256</v>
      </c>
      <c r="W709" s="10">
        <f t="shared" si="6"/>
        <v>624600</v>
      </c>
      <c r="X709" s="10">
        <f t="shared" si="7"/>
        <v>505656</v>
      </c>
      <c r="Y709" s="10"/>
      <c r="Z709" s="10"/>
      <c r="AA709" s="10"/>
      <c r="AB709" s="4" t="s">
        <v>2217</v>
      </c>
      <c r="AC709" s="4" t="s">
        <v>2216</v>
      </c>
      <c r="AD709" s="4">
        <v>43515.0</v>
      </c>
      <c r="AE709" s="4">
        <v>2019.0</v>
      </c>
      <c r="AF709" s="4" t="s">
        <v>1849</v>
      </c>
      <c r="AG709" s="4" t="s">
        <v>173</v>
      </c>
      <c r="AH709" s="4" t="s">
        <v>31</v>
      </c>
      <c r="AI709" s="4" t="s">
        <v>51</v>
      </c>
      <c r="AJ709" s="4" t="s">
        <v>43</v>
      </c>
      <c r="AK709" s="4" t="s">
        <v>53</v>
      </c>
      <c r="AL709" s="4" t="s">
        <v>224</v>
      </c>
      <c r="AM709" s="4" t="s">
        <v>36</v>
      </c>
      <c r="AN709" s="4" t="s">
        <v>45</v>
      </c>
      <c r="AO709" s="4" t="s">
        <v>38</v>
      </c>
      <c r="AP709" s="4">
        <v>43516.0</v>
      </c>
      <c r="AQ709" s="4">
        <v>52050.0</v>
      </c>
      <c r="AR709" s="4">
        <v>100200.0</v>
      </c>
      <c r="AS709" s="4">
        <v>48150.0</v>
      </c>
      <c r="AT709" s="4">
        <v>12.0</v>
      </c>
      <c r="AU709" s="4">
        <v>1202400.0</v>
      </c>
      <c r="AV709" s="4">
        <v>0.06</v>
      </c>
      <c r="AW709" s="4">
        <v>72144.0</v>
      </c>
      <c r="AX709" s="4">
        <v>1130256.0</v>
      </c>
      <c r="AY709" s="4">
        <v>624600.0</v>
      </c>
      <c r="AZ709" s="4">
        <v>505656.0</v>
      </c>
    </row>
    <row r="710" ht="15.75" customHeight="1">
      <c r="A710" s="3" t="s">
        <v>2218</v>
      </c>
      <c r="B710" s="5">
        <v>43518.0</v>
      </c>
      <c r="C710" s="6">
        <f t="shared" si="1"/>
        <v>2019</v>
      </c>
      <c r="D710" s="7" t="s">
        <v>794</v>
      </c>
      <c r="E710" s="7" t="s">
        <v>795</v>
      </c>
      <c r="F710" s="7" t="s">
        <v>50</v>
      </c>
      <c r="G710" s="5" t="s">
        <v>51</v>
      </c>
      <c r="H710" s="7" t="s">
        <v>344</v>
      </c>
      <c r="I710" s="7" t="s">
        <v>74</v>
      </c>
      <c r="J710" s="7" t="s">
        <v>567</v>
      </c>
      <c r="K710" s="7" t="s">
        <v>36</v>
      </c>
      <c r="L710" s="7" t="s">
        <v>45</v>
      </c>
      <c r="M710" s="7" t="s">
        <v>38</v>
      </c>
      <c r="N710" s="5">
        <v>43522.0</v>
      </c>
      <c r="O710" s="8">
        <v>13950.0</v>
      </c>
      <c r="P710" s="8">
        <v>22200.0</v>
      </c>
      <c r="Q710" s="8">
        <f t="shared" si="2"/>
        <v>8250</v>
      </c>
      <c r="R710" s="8">
        <v>19.0</v>
      </c>
      <c r="S710" s="8">
        <f t="shared" si="3"/>
        <v>421800</v>
      </c>
      <c r="T710" s="9">
        <v>0.0</v>
      </c>
      <c r="U710" s="8">
        <f t="shared" si="4"/>
        <v>0</v>
      </c>
      <c r="V710" s="8">
        <f t="shared" si="5"/>
        <v>421800</v>
      </c>
      <c r="W710" s="10">
        <f t="shared" si="6"/>
        <v>265050</v>
      </c>
      <c r="X710" s="10">
        <f t="shared" si="7"/>
        <v>156750</v>
      </c>
      <c r="Y710" s="10"/>
      <c r="Z710" s="10"/>
      <c r="AA710" s="10"/>
      <c r="AB710" s="4" t="s">
        <v>2219</v>
      </c>
      <c r="AC710" s="4" t="s">
        <v>2218</v>
      </c>
      <c r="AD710" s="4">
        <v>43518.0</v>
      </c>
      <c r="AE710" s="4">
        <v>2019.0</v>
      </c>
      <c r="AF710" s="4" t="s">
        <v>794</v>
      </c>
      <c r="AG710" s="4" t="s">
        <v>795</v>
      </c>
      <c r="AH710" s="4" t="s">
        <v>50</v>
      </c>
      <c r="AI710" s="4" t="s">
        <v>51</v>
      </c>
      <c r="AJ710" s="4" t="s">
        <v>344</v>
      </c>
      <c r="AK710" s="4" t="s">
        <v>74</v>
      </c>
      <c r="AL710" s="4" t="s">
        <v>567</v>
      </c>
      <c r="AM710" s="4" t="s">
        <v>36</v>
      </c>
      <c r="AN710" s="4" t="s">
        <v>45</v>
      </c>
      <c r="AO710" s="4" t="s">
        <v>38</v>
      </c>
      <c r="AP710" s="4">
        <v>43522.0</v>
      </c>
      <c r="AQ710" s="4">
        <v>13950.0</v>
      </c>
      <c r="AR710" s="4">
        <v>22200.0</v>
      </c>
      <c r="AS710" s="4">
        <v>8250.0</v>
      </c>
      <c r="AT710" s="4">
        <v>19.0</v>
      </c>
      <c r="AU710" s="4">
        <v>421800.0</v>
      </c>
      <c r="AV710" s="4">
        <v>0.0</v>
      </c>
      <c r="AW710" s="4">
        <v>0.0</v>
      </c>
      <c r="AX710" s="4">
        <v>421800.0</v>
      </c>
      <c r="AY710" s="4">
        <v>265050.0</v>
      </c>
      <c r="AZ710" s="4">
        <v>156750.0</v>
      </c>
    </row>
    <row r="711" ht="15.75" customHeight="1">
      <c r="A711" s="3" t="s">
        <v>2220</v>
      </c>
      <c r="B711" s="5">
        <v>43518.0</v>
      </c>
      <c r="C711" s="6">
        <f t="shared" si="1"/>
        <v>2019</v>
      </c>
      <c r="D711" s="7" t="s">
        <v>1852</v>
      </c>
      <c r="E711" s="7" t="s">
        <v>716</v>
      </c>
      <c r="F711" s="7" t="s">
        <v>289</v>
      </c>
      <c r="G711" s="5" t="s">
        <v>51</v>
      </c>
      <c r="H711" s="7" t="s">
        <v>140</v>
      </c>
      <c r="I711" s="7" t="s">
        <v>104</v>
      </c>
      <c r="J711" s="7" t="s">
        <v>1351</v>
      </c>
      <c r="K711" s="7" t="s">
        <v>36</v>
      </c>
      <c r="L711" s="7" t="s">
        <v>37</v>
      </c>
      <c r="M711" s="7" t="s">
        <v>38</v>
      </c>
      <c r="N711" s="5">
        <v>43518.0</v>
      </c>
      <c r="O711" s="8">
        <v>60450.00000000001</v>
      </c>
      <c r="P711" s="8">
        <v>140700.0</v>
      </c>
      <c r="Q711" s="8">
        <f t="shared" si="2"/>
        <v>80250</v>
      </c>
      <c r="R711" s="8">
        <v>24.0</v>
      </c>
      <c r="S711" s="8">
        <f t="shared" si="3"/>
        <v>3376800</v>
      </c>
      <c r="T711" s="9">
        <v>0.05</v>
      </c>
      <c r="U711" s="8">
        <f t="shared" si="4"/>
        <v>168840</v>
      </c>
      <c r="V711" s="8">
        <f t="shared" si="5"/>
        <v>3207960</v>
      </c>
      <c r="W711" s="10">
        <f t="shared" si="6"/>
        <v>1450800</v>
      </c>
      <c r="X711" s="10">
        <f t="shared" si="7"/>
        <v>1757160</v>
      </c>
      <c r="Y711" s="10"/>
      <c r="Z711" s="10"/>
      <c r="AA711" s="10"/>
      <c r="AB711" s="4" t="s">
        <v>2221</v>
      </c>
      <c r="AC711" s="4" t="s">
        <v>2220</v>
      </c>
      <c r="AD711" s="4">
        <v>43518.0</v>
      </c>
      <c r="AE711" s="4">
        <v>2019.0</v>
      </c>
      <c r="AF711" s="4" t="s">
        <v>1852</v>
      </c>
      <c r="AG711" s="4" t="s">
        <v>716</v>
      </c>
      <c r="AH711" s="4" t="s">
        <v>289</v>
      </c>
      <c r="AI711" s="4" t="s">
        <v>51</v>
      </c>
      <c r="AJ711" s="4" t="s">
        <v>140</v>
      </c>
      <c r="AK711" s="4" t="s">
        <v>104</v>
      </c>
      <c r="AL711" s="4" t="s">
        <v>1351</v>
      </c>
      <c r="AM711" s="4" t="s">
        <v>36</v>
      </c>
      <c r="AN711" s="4" t="s">
        <v>37</v>
      </c>
      <c r="AO711" s="4" t="s">
        <v>38</v>
      </c>
      <c r="AP711" s="4">
        <v>43518.0</v>
      </c>
      <c r="AQ711" s="4">
        <v>60450.0</v>
      </c>
      <c r="AR711" s="4">
        <v>140700.0</v>
      </c>
      <c r="AS711" s="4">
        <v>80250.0</v>
      </c>
      <c r="AT711" s="4">
        <v>24.0</v>
      </c>
      <c r="AU711" s="4">
        <v>3376800.0</v>
      </c>
      <c r="AV711" s="4">
        <v>0.05</v>
      </c>
      <c r="AW711" s="4">
        <v>168840.0</v>
      </c>
      <c r="AX711" s="4">
        <v>3207960.0</v>
      </c>
      <c r="AY711" s="4">
        <v>1450800.0</v>
      </c>
      <c r="AZ711" s="4">
        <v>1757160.0</v>
      </c>
    </row>
    <row r="712" ht="15.75" customHeight="1">
      <c r="A712" s="3" t="s">
        <v>2222</v>
      </c>
      <c r="B712" s="5">
        <v>43519.0</v>
      </c>
      <c r="C712" s="6">
        <f t="shared" si="1"/>
        <v>2019</v>
      </c>
      <c r="D712" s="7" t="s">
        <v>2073</v>
      </c>
      <c r="E712" s="7" t="s">
        <v>1601</v>
      </c>
      <c r="F712" s="7" t="s">
        <v>50</v>
      </c>
      <c r="G712" s="5" t="s">
        <v>32</v>
      </c>
      <c r="H712" s="7" t="s">
        <v>344</v>
      </c>
      <c r="I712" s="7" t="s">
        <v>34</v>
      </c>
      <c r="J712" s="7" t="s">
        <v>184</v>
      </c>
      <c r="K712" s="7" t="s">
        <v>36</v>
      </c>
      <c r="L712" s="7" t="s">
        <v>37</v>
      </c>
      <c r="M712" s="7" t="s">
        <v>38</v>
      </c>
      <c r="N712" s="5">
        <v>43521.0</v>
      </c>
      <c r="O712" s="8">
        <v>23850.0</v>
      </c>
      <c r="P712" s="8">
        <v>39150.0</v>
      </c>
      <c r="Q712" s="8">
        <f t="shared" si="2"/>
        <v>15300</v>
      </c>
      <c r="R712" s="8">
        <v>40.0</v>
      </c>
      <c r="S712" s="8">
        <f t="shared" si="3"/>
        <v>1566000</v>
      </c>
      <c r="T712" s="9">
        <v>0.03</v>
      </c>
      <c r="U712" s="8">
        <f t="shared" si="4"/>
        <v>46980</v>
      </c>
      <c r="V712" s="8">
        <f t="shared" si="5"/>
        <v>1519020</v>
      </c>
      <c r="W712" s="10">
        <f t="shared" si="6"/>
        <v>954000</v>
      </c>
      <c r="X712" s="10">
        <f t="shared" si="7"/>
        <v>565020</v>
      </c>
      <c r="Y712" s="10"/>
      <c r="Z712" s="10"/>
      <c r="AA712" s="10"/>
      <c r="AB712" s="4" t="s">
        <v>2223</v>
      </c>
      <c r="AC712" s="4" t="s">
        <v>2222</v>
      </c>
      <c r="AD712" s="4">
        <v>43519.0</v>
      </c>
      <c r="AE712" s="4">
        <v>2019.0</v>
      </c>
      <c r="AF712" s="4" t="s">
        <v>2073</v>
      </c>
      <c r="AG712" s="4" t="s">
        <v>1601</v>
      </c>
      <c r="AH712" s="4" t="s">
        <v>50</v>
      </c>
      <c r="AI712" s="4" t="s">
        <v>32</v>
      </c>
      <c r="AJ712" s="4" t="s">
        <v>344</v>
      </c>
      <c r="AK712" s="4" t="s">
        <v>34</v>
      </c>
      <c r="AL712" s="4" t="s">
        <v>184</v>
      </c>
      <c r="AM712" s="4" t="s">
        <v>36</v>
      </c>
      <c r="AN712" s="4" t="s">
        <v>37</v>
      </c>
      <c r="AO712" s="4" t="s">
        <v>38</v>
      </c>
      <c r="AP712" s="4">
        <v>43521.0</v>
      </c>
      <c r="AQ712" s="4">
        <v>23850.0</v>
      </c>
      <c r="AR712" s="4">
        <v>39150.0</v>
      </c>
      <c r="AS712" s="4">
        <v>15300.0</v>
      </c>
      <c r="AT712" s="4">
        <v>40.0</v>
      </c>
      <c r="AU712" s="4">
        <v>1566000.0</v>
      </c>
      <c r="AV712" s="4">
        <v>0.03</v>
      </c>
      <c r="AW712" s="4">
        <v>46980.0</v>
      </c>
      <c r="AX712" s="4">
        <v>1519020.0</v>
      </c>
      <c r="AY712" s="4">
        <v>954000.0</v>
      </c>
      <c r="AZ712" s="4">
        <v>565020.0</v>
      </c>
    </row>
    <row r="713" ht="15.75" customHeight="1">
      <c r="A713" s="3" t="s">
        <v>2224</v>
      </c>
      <c r="B713" s="5">
        <v>43520.0</v>
      </c>
      <c r="C713" s="6">
        <f t="shared" si="1"/>
        <v>2019</v>
      </c>
      <c r="D713" s="7" t="s">
        <v>1604</v>
      </c>
      <c r="E713" s="7" t="s">
        <v>183</v>
      </c>
      <c r="F713" s="7" t="s">
        <v>31</v>
      </c>
      <c r="G713" s="5" t="s">
        <v>91</v>
      </c>
      <c r="H713" s="7" t="s">
        <v>43</v>
      </c>
      <c r="I713" s="7" t="s">
        <v>92</v>
      </c>
      <c r="J713" s="7" t="s">
        <v>1012</v>
      </c>
      <c r="K713" s="7" t="s">
        <v>36</v>
      </c>
      <c r="L713" s="7" t="s">
        <v>127</v>
      </c>
      <c r="M713" s="7" t="s">
        <v>38</v>
      </c>
      <c r="N713" s="5">
        <v>43522.0</v>
      </c>
      <c r="O713" s="8">
        <v>62850.00000000001</v>
      </c>
      <c r="P713" s="8">
        <v>153450.0</v>
      </c>
      <c r="Q713" s="8">
        <f t="shared" si="2"/>
        <v>90600</v>
      </c>
      <c r="R713" s="8">
        <v>46.0</v>
      </c>
      <c r="S713" s="8">
        <f t="shared" si="3"/>
        <v>7058700</v>
      </c>
      <c r="T713" s="9">
        <v>0.08</v>
      </c>
      <c r="U713" s="8">
        <f t="shared" si="4"/>
        <v>564696</v>
      </c>
      <c r="V713" s="8">
        <f t="shared" si="5"/>
        <v>6494004</v>
      </c>
      <c r="W713" s="10">
        <f t="shared" si="6"/>
        <v>2891100</v>
      </c>
      <c r="X713" s="10">
        <f t="shared" si="7"/>
        <v>3602904</v>
      </c>
      <c r="Y713" s="10"/>
      <c r="Z713" s="10"/>
      <c r="AA713" s="10"/>
      <c r="AB713" s="4" t="s">
        <v>2225</v>
      </c>
      <c r="AC713" s="4" t="s">
        <v>2224</v>
      </c>
      <c r="AD713" s="4">
        <v>43520.0</v>
      </c>
      <c r="AE713" s="4">
        <v>2019.0</v>
      </c>
      <c r="AF713" s="4" t="s">
        <v>1604</v>
      </c>
      <c r="AG713" s="4" t="s">
        <v>183</v>
      </c>
      <c r="AH713" s="4" t="s">
        <v>31</v>
      </c>
      <c r="AI713" s="4" t="s">
        <v>91</v>
      </c>
      <c r="AJ713" s="4" t="s">
        <v>43</v>
      </c>
      <c r="AK713" s="4" t="s">
        <v>92</v>
      </c>
      <c r="AL713" s="4" t="s">
        <v>1012</v>
      </c>
      <c r="AM713" s="4" t="s">
        <v>36</v>
      </c>
      <c r="AN713" s="4" t="s">
        <v>127</v>
      </c>
      <c r="AO713" s="4" t="s">
        <v>38</v>
      </c>
      <c r="AP713" s="4">
        <v>43522.0</v>
      </c>
      <c r="AQ713" s="4">
        <v>62850.0</v>
      </c>
      <c r="AR713" s="4">
        <v>153450.0</v>
      </c>
      <c r="AS713" s="4">
        <v>90600.0</v>
      </c>
      <c r="AT713" s="4">
        <v>46.0</v>
      </c>
      <c r="AU713" s="4">
        <v>7058700.0</v>
      </c>
      <c r="AV713" s="4">
        <v>0.08</v>
      </c>
      <c r="AW713" s="4">
        <v>564696.0</v>
      </c>
      <c r="AX713" s="4">
        <v>6494004.0</v>
      </c>
      <c r="AY713" s="4">
        <v>2891100.0</v>
      </c>
      <c r="AZ713" s="4">
        <v>3602904.0</v>
      </c>
    </row>
    <row r="714" ht="15.75" customHeight="1">
      <c r="A714" s="3" t="s">
        <v>2226</v>
      </c>
      <c r="B714" s="5">
        <v>43523.0</v>
      </c>
      <c r="C714" s="6">
        <f t="shared" si="1"/>
        <v>2019</v>
      </c>
      <c r="D714" s="7" t="s">
        <v>2227</v>
      </c>
      <c r="E714" s="7" t="s">
        <v>2228</v>
      </c>
      <c r="F714" s="7" t="s">
        <v>31</v>
      </c>
      <c r="G714" s="5" t="s">
        <v>51</v>
      </c>
      <c r="H714" s="7" t="s">
        <v>33</v>
      </c>
      <c r="I714" s="7" t="s">
        <v>74</v>
      </c>
      <c r="J714" s="7" t="s">
        <v>2229</v>
      </c>
      <c r="K714" s="7" t="s">
        <v>36</v>
      </c>
      <c r="L714" s="7" t="s">
        <v>45</v>
      </c>
      <c r="M714" s="7" t="s">
        <v>38</v>
      </c>
      <c r="N714" s="5">
        <v>43532.0</v>
      </c>
      <c r="O714" s="8">
        <v>59250.0</v>
      </c>
      <c r="P714" s="8">
        <v>91200.0</v>
      </c>
      <c r="Q714" s="8">
        <f t="shared" si="2"/>
        <v>31950</v>
      </c>
      <c r="R714" s="8">
        <v>41.0</v>
      </c>
      <c r="S714" s="8">
        <f t="shared" si="3"/>
        <v>3739200</v>
      </c>
      <c r="T714" s="9">
        <v>0.03</v>
      </c>
      <c r="U714" s="8">
        <f t="shared" si="4"/>
        <v>112176</v>
      </c>
      <c r="V714" s="8">
        <f t="shared" si="5"/>
        <v>3627024</v>
      </c>
      <c r="W714" s="10">
        <f t="shared" si="6"/>
        <v>2429250</v>
      </c>
      <c r="X714" s="10">
        <f t="shared" si="7"/>
        <v>1197774</v>
      </c>
      <c r="Y714" s="10"/>
      <c r="Z714" s="10"/>
      <c r="AA714" s="10"/>
      <c r="AB714" s="4" t="s">
        <v>2230</v>
      </c>
      <c r="AC714" s="4" t="s">
        <v>2226</v>
      </c>
      <c r="AD714" s="4">
        <v>43523.0</v>
      </c>
      <c r="AE714" s="4">
        <v>2019.0</v>
      </c>
      <c r="AF714" s="4" t="s">
        <v>2227</v>
      </c>
      <c r="AG714" s="4" t="s">
        <v>2228</v>
      </c>
      <c r="AH714" s="4" t="s">
        <v>31</v>
      </c>
      <c r="AI714" s="4" t="s">
        <v>51</v>
      </c>
      <c r="AJ714" s="4" t="s">
        <v>33</v>
      </c>
      <c r="AK714" s="4" t="s">
        <v>74</v>
      </c>
      <c r="AL714" s="4" t="s">
        <v>2229</v>
      </c>
      <c r="AM714" s="4" t="s">
        <v>36</v>
      </c>
      <c r="AN714" s="4" t="s">
        <v>45</v>
      </c>
      <c r="AO714" s="4" t="s">
        <v>38</v>
      </c>
      <c r="AP714" s="4">
        <v>43532.0</v>
      </c>
      <c r="AQ714" s="4">
        <v>59250.0</v>
      </c>
      <c r="AR714" s="4">
        <v>91200.0</v>
      </c>
      <c r="AS714" s="4">
        <v>31950.0</v>
      </c>
      <c r="AT714" s="4">
        <v>41.0</v>
      </c>
      <c r="AU714" s="4">
        <v>3739200.0</v>
      </c>
      <c r="AV714" s="4">
        <v>0.03</v>
      </c>
      <c r="AW714" s="4">
        <v>112176.0</v>
      </c>
      <c r="AX714" s="4">
        <v>3627024.0</v>
      </c>
      <c r="AY714" s="4">
        <v>2429250.0</v>
      </c>
      <c r="AZ714" s="4">
        <v>1197774.0</v>
      </c>
    </row>
    <row r="715" ht="15.75" customHeight="1">
      <c r="A715" s="3" t="s">
        <v>2231</v>
      </c>
      <c r="B715" s="5">
        <v>43524.0</v>
      </c>
      <c r="C715" s="6">
        <f t="shared" si="1"/>
        <v>2019</v>
      </c>
      <c r="D715" s="7" t="s">
        <v>262</v>
      </c>
      <c r="E715" s="7" t="s">
        <v>263</v>
      </c>
      <c r="F715" s="7" t="s">
        <v>50</v>
      </c>
      <c r="G715" s="5" t="s">
        <v>68</v>
      </c>
      <c r="H715" s="7" t="s">
        <v>140</v>
      </c>
      <c r="I715" s="7" t="s">
        <v>53</v>
      </c>
      <c r="J715" s="7" t="s">
        <v>457</v>
      </c>
      <c r="K715" s="7" t="s">
        <v>36</v>
      </c>
      <c r="L715" s="7" t="s">
        <v>45</v>
      </c>
      <c r="M715" s="7" t="s">
        <v>38</v>
      </c>
      <c r="N715" s="5">
        <v>43525.0</v>
      </c>
      <c r="O715" s="8">
        <v>58200.0</v>
      </c>
      <c r="P715" s="8">
        <v>97050.0</v>
      </c>
      <c r="Q715" s="8">
        <f t="shared" si="2"/>
        <v>38850</v>
      </c>
      <c r="R715" s="8">
        <v>22.0</v>
      </c>
      <c r="S715" s="8">
        <f t="shared" si="3"/>
        <v>2135100</v>
      </c>
      <c r="T715" s="9">
        <v>0.04</v>
      </c>
      <c r="U715" s="8">
        <f t="shared" si="4"/>
        <v>85404</v>
      </c>
      <c r="V715" s="8">
        <f t="shared" si="5"/>
        <v>2049696</v>
      </c>
      <c r="W715" s="10">
        <f t="shared" si="6"/>
        <v>1280400</v>
      </c>
      <c r="X715" s="10">
        <f t="shared" si="7"/>
        <v>769296</v>
      </c>
      <c r="Y715" s="10"/>
      <c r="Z715" s="10"/>
      <c r="AA715" s="10"/>
      <c r="AB715" s="4" t="s">
        <v>2232</v>
      </c>
      <c r="AC715" s="4" t="s">
        <v>2231</v>
      </c>
      <c r="AD715" s="4">
        <v>43524.0</v>
      </c>
      <c r="AE715" s="4">
        <v>2019.0</v>
      </c>
      <c r="AF715" s="4" t="s">
        <v>262</v>
      </c>
      <c r="AG715" s="4" t="s">
        <v>263</v>
      </c>
      <c r="AH715" s="4" t="s">
        <v>50</v>
      </c>
      <c r="AI715" s="4" t="s">
        <v>68</v>
      </c>
      <c r="AJ715" s="4" t="s">
        <v>140</v>
      </c>
      <c r="AK715" s="4" t="s">
        <v>53</v>
      </c>
      <c r="AL715" s="4" t="s">
        <v>459</v>
      </c>
      <c r="AM715" s="4" t="s">
        <v>460</v>
      </c>
      <c r="AN715" s="4" t="s">
        <v>36</v>
      </c>
      <c r="AO715" s="4" t="s">
        <v>45</v>
      </c>
      <c r="AP715" s="4" t="s">
        <v>38</v>
      </c>
      <c r="AQ715" s="4">
        <v>43525.0</v>
      </c>
      <c r="AR715" s="4">
        <v>58200.0</v>
      </c>
      <c r="AS715" s="4">
        <v>97050.0</v>
      </c>
      <c r="AT715" s="4">
        <v>38850.0</v>
      </c>
      <c r="AU715" s="4">
        <v>22.0</v>
      </c>
      <c r="AV715" s="4">
        <v>2135100.0</v>
      </c>
      <c r="AW715" s="4">
        <v>0.04</v>
      </c>
      <c r="AX715" s="4">
        <v>85404.0</v>
      </c>
      <c r="AY715" s="4">
        <v>2049696.0</v>
      </c>
      <c r="AZ715" s="4">
        <v>1280400.0</v>
      </c>
      <c r="BA715" s="4">
        <v>769296.0</v>
      </c>
    </row>
    <row r="716" ht="15.75" customHeight="1">
      <c r="A716" s="3" t="s">
        <v>2233</v>
      </c>
      <c r="B716" s="5">
        <v>43525.0</v>
      </c>
      <c r="C716" s="6">
        <f t="shared" si="1"/>
        <v>2019</v>
      </c>
      <c r="D716" s="7" t="s">
        <v>2234</v>
      </c>
      <c r="E716" s="7" t="s">
        <v>440</v>
      </c>
      <c r="F716" s="7" t="s">
        <v>50</v>
      </c>
      <c r="G716" s="5" t="s">
        <v>91</v>
      </c>
      <c r="H716" s="7" t="s">
        <v>80</v>
      </c>
      <c r="I716" s="7" t="s">
        <v>53</v>
      </c>
      <c r="J716" s="7" t="s">
        <v>1012</v>
      </c>
      <c r="K716" s="7" t="s">
        <v>36</v>
      </c>
      <c r="L716" s="7" t="s">
        <v>127</v>
      </c>
      <c r="M716" s="7" t="s">
        <v>38</v>
      </c>
      <c r="N716" s="5">
        <v>43527.0</v>
      </c>
      <c r="O716" s="8">
        <v>62850.00000000001</v>
      </c>
      <c r="P716" s="8">
        <v>153450.0</v>
      </c>
      <c r="Q716" s="8">
        <f t="shared" si="2"/>
        <v>90600</v>
      </c>
      <c r="R716" s="8">
        <v>16.0</v>
      </c>
      <c r="S716" s="8">
        <f t="shared" si="3"/>
        <v>2455200</v>
      </c>
      <c r="T716" s="9">
        <v>0.02</v>
      </c>
      <c r="U716" s="8">
        <f t="shared" si="4"/>
        <v>49104</v>
      </c>
      <c r="V716" s="8">
        <f t="shared" si="5"/>
        <v>2406096</v>
      </c>
      <c r="W716" s="10">
        <f t="shared" si="6"/>
        <v>1005600</v>
      </c>
      <c r="X716" s="10">
        <f t="shared" si="7"/>
        <v>1400496</v>
      </c>
      <c r="Y716" s="10"/>
      <c r="Z716" s="10"/>
      <c r="AA716" s="10"/>
      <c r="AB716" s="4" t="s">
        <v>2235</v>
      </c>
      <c r="AC716" s="4" t="s">
        <v>2233</v>
      </c>
      <c r="AD716" s="4">
        <v>43525.0</v>
      </c>
      <c r="AE716" s="4">
        <v>2019.0</v>
      </c>
      <c r="AF716" s="4" t="s">
        <v>2234</v>
      </c>
      <c r="AG716" s="4" t="s">
        <v>440</v>
      </c>
      <c r="AH716" s="4" t="s">
        <v>50</v>
      </c>
      <c r="AI716" s="4" t="s">
        <v>91</v>
      </c>
      <c r="AJ716" s="4" t="s">
        <v>80</v>
      </c>
      <c r="AK716" s="4" t="s">
        <v>53</v>
      </c>
      <c r="AL716" s="4" t="s">
        <v>1012</v>
      </c>
      <c r="AM716" s="4" t="s">
        <v>36</v>
      </c>
      <c r="AN716" s="4" t="s">
        <v>127</v>
      </c>
      <c r="AO716" s="4" t="s">
        <v>38</v>
      </c>
      <c r="AP716" s="4">
        <v>43527.0</v>
      </c>
      <c r="AQ716" s="4">
        <v>62850.0</v>
      </c>
      <c r="AR716" s="4">
        <v>153450.0</v>
      </c>
      <c r="AS716" s="4">
        <v>90600.0</v>
      </c>
      <c r="AT716" s="4">
        <v>16.0</v>
      </c>
      <c r="AU716" s="4">
        <v>2455200.0</v>
      </c>
      <c r="AV716" s="4">
        <v>0.02</v>
      </c>
      <c r="AW716" s="4">
        <v>49104.0</v>
      </c>
      <c r="AX716" s="4">
        <v>2406096.0</v>
      </c>
      <c r="AY716" s="4">
        <v>1005600.0</v>
      </c>
      <c r="AZ716" s="4">
        <v>1400496.0</v>
      </c>
    </row>
    <row r="717" ht="15.75" customHeight="1">
      <c r="A717" s="3" t="s">
        <v>2236</v>
      </c>
      <c r="B717" s="5">
        <v>43525.0</v>
      </c>
      <c r="C717" s="6">
        <f t="shared" si="1"/>
        <v>2019</v>
      </c>
      <c r="D717" s="7" t="s">
        <v>2197</v>
      </c>
      <c r="E717" s="7" t="s">
        <v>258</v>
      </c>
      <c r="F717" s="7" t="s">
        <v>50</v>
      </c>
      <c r="G717" s="5" t="s">
        <v>91</v>
      </c>
      <c r="H717" s="7" t="s">
        <v>98</v>
      </c>
      <c r="I717" s="7" t="s">
        <v>74</v>
      </c>
      <c r="J717" s="7" t="s">
        <v>502</v>
      </c>
      <c r="K717" s="7" t="s">
        <v>36</v>
      </c>
      <c r="L717" s="7" t="s">
        <v>37</v>
      </c>
      <c r="M717" s="7" t="s">
        <v>38</v>
      </c>
      <c r="N717" s="5">
        <v>43532.0</v>
      </c>
      <c r="O717" s="8">
        <v>66900.0</v>
      </c>
      <c r="P717" s="8">
        <v>163350.0</v>
      </c>
      <c r="Q717" s="8">
        <f t="shared" si="2"/>
        <v>96450</v>
      </c>
      <c r="R717" s="8">
        <v>10.0</v>
      </c>
      <c r="S717" s="8">
        <f t="shared" si="3"/>
        <v>1633500</v>
      </c>
      <c r="T717" s="9">
        <v>0.1</v>
      </c>
      <c r="U717" s="8">
        <f t="shared" si="4"/>
        <v>163350</v>
      </c>
      <c r="V717" s="8">
        <f t="shared" si="5"/>
        <v>1470150</v>
      </c>
      <c r="W717" s="10">
        <f t="shared" si="6"/>
        <v>669000</v>
      </c>
      <c r="X717" s="10">
        <f t="shared" si="7"/>
        <v>801150</v>
      </c>
      <c r="Y717" s="10"/>
      <c r="Z717" s="10"/>
      <c r="AA717" s="10"/>
      <c r="AB717" s="4" t="s">
        <v>2237</v>
      </c>
      <c r="AC717" s="4" t="s">
        <v>2236</v>
      </c>
      <c r="AD717" s="4">
        <v>43525.0</v>
      </c>
      <c r="AE717" s="4">
        <v>2019.0</v>
      </c>
      <c r="AF717" s="4" t="s">
        <v>2197</v>
      </c>
      <c r="AG717" s="4" t="s">
        <v>258</v>
      </c>
      <c r="AH717" s="4" t="s">
        <v>50</v>
      </c>
      <c r="AI717" s="4" t="s">
        <v>91</v>
      </c>
      <c r="AJ717" s="4" t="s">
        <v>98</v>
      </c>
      <c r="AK717" s="4" t="s">
        <v>74</v>
      </c>
      <c r="AL717" s="4" t="s">
        <v>502</v>
      </c>
      <c r="AM717" s="4" t="s">
        <v>36</v>
      </c>
      <c r="AN717" s="4" t="s">
        <v>37</v>
      </c>
      <c r="AO717" s="4" t="s">
        <v>38</v>
      </c>
      <c r="AP717" s="4">
        <v>43532.0</v>
      </c>
      <c r="AQ717" s="4">
        <v>66900.0</v>
      </c>
      <c r="AR717" s="4">
        <v>163350.0</v>
      </c>
      <c r="AS717" s="4">
        <v>96450.0</v>
      </c>
      <c r="AT717" s="4">
        <v>10.0</v>
      </c>
      <c r="AU717" s="4">
        <v>1633500.0</v>
      </c>
      <c r="AV717" s="4">
        <v>0.1</v>
      </c>
      <c r="AW717" s="4">
        <v>163350.0</v>
      </c>
      <c r="AX717" s="4">
        <v>1470150.0</v>
      </c>
      <c r="AY717" s="4">
        <v>669000.0</v>
      </c>
      <c r="AZ717" s="4">
        <v>801150.0</v>
      </c>
    </row>
    <row r="718" ht="15.75" customHeight="1">
      <c r="A718" s="3" t="s">
        <v>2238</v>
      </c>
      <c r="B718" s="5">
        <v>43528.0</v>
      </c>
      <c r="C718" s="6">
        <f t="shared" si="1"/>
        <v>2019</v>
      </c>
      <c r="D718" s="7" t="s">
        <v>2053</v>
      </c>
      <c r="E718" s="7" t="s">
        <v>156</v>
      </c>
      <c r="F718" s="7" t="s">
        <v>50</v>
      </c>
      <c r="G718" s="5" t="s">
        <v>32</v>
      </c>
      <c r="H718" s="7" t="s">
        <v>110</v>
      </c>
      <c r="I718" s="7" t="s">
        <v>34</v>
      </c>
      <c r="J718" s="7" t="s">
        <v>516</v>
      </c>
      <c r="K718" s="7" t="s">
        <v>36</v>
      </c>
      <c r="L718" s="7" t="s">
        <v>37</v>
      </c>
      <c r="M718" s="7" t="s">
        <v>38</v>
      </c>
      <c r="N718" s="5">
        <v>43530.0</v>
      </c>
      <c r="O718" s="8">
        <v>29100.0</v>
      </c>
      <c r="P718" s="8">
        <v>46200.0</v>
      </c>
      <c r="Q718" s="8">
        <f t="shared" si="2"/>
        <v>17100</v>
      </c>
      <c r="R718" s="8">
        <v>11.0</v>
      </c>
      <c r="S718" s="8">
        <f t="shared" si="3"/>
        <v>508200</v>
      </c>
      <c r="T718" s="9">
        <v>0.09</v>
      </c>
      <c r="U718" s="8">
        <f t="shared" si="4"/>
        <v>45738</v>
      </c>
      <c r="V718" s="8">
        <f t="shared" si="5"/>
        <v>462462</v>
      </c>
      <c r="W718" s="10">
        <f t="shared" si="6"/>
        <v>320100</v>
      </c>
      <c r="X718" s="10">
        <f t="shared" si="7"/>
        <v>142362</v>
      </c>
      <c r="Y718" s="10"/>
      <c r="Z718" s="10"/>
      <c r="AA718" s="10"/>
      <c r="AB718" s="4" t="s">
        <v>2239</v>
      </c>
      <c r="AC718" s="4" t="s">
        <v>2238</v>
      </c>
      <c r="AD718" s="4">
        <v>43528.0</v>
      </c>
      <c r="AE718" s="4">
        <v>2019.0</v>
      </c>
      <c r="AF718" s="4" t="s">
        <v>2053</v>
      </c>
      <c r="AG718" s="4" t="s">
        <v>156</v>
      </c>
      <c r="AH718" s="4" t="s">
        <v>50</v>
      </c>
      <c r="AI718" s="4" t="s">
        <v>32</v>
      </c>
      <c r="AJ718" s="4" t="s">
        <v>110</v>
      </c>
      <c r="AK718" s="4" t="s">
        <v>34</v>
      </c>
      <c r="AL718" s="4" t="s">
        <v>516</v>
      </c>
      <c r="AM718" s="4" t="s">
        <v>36</v>
      </c>
      <c r="AN718" s="4" t="s">
        <v>37</v>
      </c>
      <c r="AO718" s="4" t="s">
        <v>38</v>
      </c>
      <c r="AP718" s="4">
        <v>43530.0</v>
      </c>
      <c r="AQ718" s="4">
        <v>29100.0</v>
      </c>
      <c r="AR718" s="4">
        <v>46200.0</v>
      </c>
      <c r="AS718" s="4">
        <v>17100.0</v>
      </c>
      <c r="AT718" s="4">
        <v>11.0</v>
      </c>
      <c r="AU718" s="4">
        <v>508200.0</v>
      </c>
      <c r="AV718" s="4">
        <v>0.09</v>
      </c>
      <c r="AW718" s="4">
        <v>45738.0</v>
      </c>
      <c r="AX718" s="4">
        <v>462462.0</v>
      </c>
      <c r="AY718" s="4">
        <v>320100.0</v>
      </c>
      <c r="AZ718" s="4">
        <v>142362.0</v>
      </c>
    </row>
    <row r="719" ht="15.75" customHeight="1">
      <c r="A719" s="3" t="s">
        <v>2240</v>
      </c>
      <c r="B719" s="5">
        <v>43530.0</v>
      </c>
      <c r="C719" s="6">
        <f t="shared" si="1"/>
        <v>2019</v>
      </c>
      <c r="D719" s="7" t="s">
        <v>1608</v>
      </c>
      <c r="E719" s="7" t="s">
        <v>667</v>
      </c>
      <c r="F719" s="7" t="s">
        <v>50</v>
      </c>
      <c r="G719" s="5" t="s">
        <v>51</v>
      </c>
      <c r="H719" s="7" t="s">
        <v>140</v>
      </c>
      <c r="I719" s="7" t="s">
        <v>104</v>
      </c>
      <c r="J719" s="7" t="s">
        <v>533</v>
      </c>
      <c r="K719" s="7" t="s">
        <v>36</v>
      </c>
      <c r="L719" s="7" t="s">
        <v>45</v>
      </c>
      <c r="M719" s="7" t="s">
        <v>38</v>
      </c>
      <c r="N719" s="5">
        <v>43531.0</v>
      </c>
      <c r="O719" s="8">
        <v>22950.0</v>
      </c>
      <c r="P719" s="8">
        <v>41700.0</v>
      </c>
      <c r="Q719" s="8">
        <f t="shared" si="2"/>
        <v>18750</v>
      </c>
      <c r="R719" s="8">
        <v>21.0</v>
      </c>
      <c r="S719" s="8">
        <f t="shared" si="3"/>
        <v>875700</v>
      </c>
      <c r="T719" s="9">
        <v>0.06</v>
      </c>
      <c r="U719" s="8">
        <f t="shared" si="4"/>
        <v>52542</v>
      </c>
      <c r="V719" s="8">
        <f t="shared" si="5"/>
        <v>823158</v>
      </c>
      <c r="W719" s="10">
        <f t="shared" si="6"/>
        <v>481950</v>
      </c>
      <c r="X719" s="10">
        <f t="shared" si="7"/>
        <v>341208</v>
      </c>
      <c r="Y719" s="10"/>
      <c r="Z719" s="10"/>
      <c r="AA719" s="10"/>
      <c r="AB719" s="4" t="s">
        <v>2241</v>
      </c>
      <c r="AC719" s="4" t="s">
        <v>2240</v>
      </c>
      <c r="AD719" s="4">
        <v>43530.0</v>
      </c>
      <c r="AE719" s="4">
        <v>2019.0</v>
      </c>
      <c r="AF719" s="4" t="s">
        <v>1608</v>
      </c>
      <c r="AG719" s="4" t="s">
        <v>667</v>
      </c>
      <c r="AH719" s="4" t="s">
        <v>50</v>
      </c>
      <c r="AI719" s="4" t="s">
        <v>51</v>
      </c>
      <c r="AJ719" s="4" t="s">
        <v>140</v>
      </c>
      <c r="AK719" s="4" t="s">
        <v>104</v>
      </c>
      <c r="AL719" s="4" t="s">
        <v>533</v>
      </c>
      <c r="AM719" s="4" t="s">
        <v>36</v>
      </c>
      <c r="AN719" s="4" t="s">
        <v>45</v>
      </c>
      <c r="AO719" s="4" t="s">
        <v>38</v>
      </c>
      <c r="AP719" s="4">
        <v>43531.0</v>
      </c>
      <c r="AQ719" s="4">
        <v>22950.0</v>
      </c>
      <c r="AR719" s="4">
        <v>41700.0</v>
      </c>
      <c r="AS719" s="4">
        <v>18750.0</v>
      </c>
      <c r="AT719" s="4">
        <v>21.0</v>
      </c>
      <c r="AU719" s="4">
        <v>875700.0</v>
      </c>
      <c r="AV719" s="4">
        <v>0.06</v>
      </c>
      <c r="AW719" s="4">
        <v>52542.0</v>
      </c>
      <c r="AX719" s="4">
        <v>823158.0</v>
      </c>
      <c r="AY719" s="4">
        <v>481950.0</v>
      </c>
      <c r="AZ719" s="4">
        <v>341208.0</v>
      </c>
    </row>
    <row r="720" ht="15.75" customHeight="1">
      <c r="A720" s="3" t="s">
        <v>2242</v>
      </c>
      <c r="B720" s="5">
        <v>43532.0</v>
      </c>
      <c r="C720" s="6">
        <f t="shared" si="1"/>
        <v>2019</v>
      </c>
      <c r="D720" s="7" t="s">
        <v>866</v>
      </c>
      <c r="E720" s="7" t="s">
        <v>537</v>
      </c>
      <c r="F720" s="7" t="s">
        <v>31</v>
      </c>
      <c r="G720" s="5" t="s">
        <v>91</v>
      </c>
      <c r="H720" s="7" t="s">
        <v>33</v>
      </c>
      <c r="I720" s="7" t="s">
        <v>74</v>
      </c>
      <c r="J720" s="7" t="s">
        <v>195</v>
      </c>
      <c r="K720" s="7" t="s">
        <v>61</v>
      </c>
      <c r="L720" s="7" t="s">
        <v>37</v>
      </c>
      <c r="M720" s="7" t="s">
        <v>38</v>
      </c>
      <c r="N720" s="5">
        <v>43532.0</v>
      </c>
      <c r="O720" s="8">
        <v>594600.0</v>
      </c>
      <c r="P720" s="8">
        <v>2287200.0</v>
      </c>
      <c r="Q720" s="8">
        <f t="shared" si="2"/>
        <v>1692600</v>
      </c>
      <c r="R720" s="8">
        <v>17.0</v>
      </c>
      <c r="S720" s="8">
        <f t="shared" si="3"/>
        <v>38882400</v>
      </c>
      <c r="T720" s="9">
        <v>0.04</v>
      </c>
      <c r="U720" s="8">
        <f t="shared" si="4"/>
        <v>1555296</v>
      </c>
      <c r="V720" s="8">
        <f t="shared" si="5"/>
        <v>37327104</v>
      </c>
      <c r="W720" s="10">
        <f t="shared" si="6"/>
        <v>10108200</v>
      </c>
      <c r="X720" s="10">
        <f t="shared" si="7"/>
        <v>27218904</v>
      </c>
      <c r="Y720" s="10"/>
      <c r="Z720" s="10"/>
      <c r="AA720" s="10"/>
      <c r="AB720" s="4" t="s">
        <v>2243</v>
      </c>
      <c r="AC720" s="4" t="s">
        <v>2242</v>
      </c>
      <c r="AD720" s="4">
        <v>43532.0</v>
      </c>
      <c r="AE720" s="4">
        <v>2019.0</v>
      </c>
      <c r="AF720" s="4" t="s">
        <v>866</v>
      </c>
      <c r="AG720" s="4" t="s">
        <v>537</v>
      </c>
      <c r="AH720" s="4" t="s">
        <v>31</v>
      </c>
      <c r="AI720" s="4" t="s">
        <v>91</v>
      </c>
      <c r="AJ720" s="4" t="s">
        <v>33</v>
      </c>
      <c r="AK720" s="4" t="s">
        <v>74</v>
      </c>
      <c r="AL720" s="4" t="s">
        <v>195</v>
      </c>
      <c r="AM720" s="4" t="s">
        <v>61</v>
      </c>
      <c r="AN720" s="4" t="s">
        <v>37</v>
      </c>
      <c r="AO720" s="4" t="s">
        <v>38</v>
      </c>
      <c r="AP720" s="4">
        <v>43532.0</v>
      </c>
      <c r="AQ720" s="4">
        <v>594600.0</v>
      </c>
      <c r="AR720" s="4">
        <v>2287200.0</v>
      </c>
      <c r="AS720" s="4">
        <v>1692600.0</v>
      </c>
      <c r="AT720" s="4">
        <v>17.0</v>
      </c>
      <c r="AU720" s="4">
        <v>3.88824E7</v>
      </c>
      <c r="AV720" s="4">
        <v>0.04</v>
      </c>
      <c r="AW720" s="4">
        <v>1555296.0</v>
      </c>
      <c r="AX720" s="4">
        <v>3.7327104E7</v>
      </c>
      <c r="AY720" s="4">
        <v>1.01082E7</v>
      </c>
      <c r="AZ720" s="4">
        <v>2.7218904E7</v>
      </c>
    </row>
    <row r="721" ht="15.75" customHeight="1">
      <c r="A721" s="3" t="s">
        <v>2244</v>
      </c>
      <c r="B721" s="5">
        <v>43536.0</v>
      </c>
      <c r="C721" s="6">
        <f t="shared" si="1"/>
        <v>2019</v>
      </c>
      <c r="D721" s="7" t="s">
        <v>2245</v>
      </c>
      <c r="E721" s="7" t="s">
        <v>398</v>
      </c>
      <c r="F721" s="7" t="s">
        <v>50</v>
      </c>
      <c r="G721" s="5" t="s">
        <v>91</v>
      </c>
      <c r="H721" s="7" t="s">
        <v>52</v>
      </c>
      <c r="I721" s="7" t="s">
        <v>53</v>
      </c>
      <c r="J721" s="7" t="s">
        <v>457</v>
      </c>
      <c r="K721" s="7" t="s">
        <v>36</v>
      </c>
      <c r="L721" s="7" t="s">
        <v>45</v>
      </c>
      <c r="M721" s="7" t="s">
        <v>38</v>
      </c>
      <c r="N721" s="5">
        <v>43538.0</v>
      </c>
      <c r="O721" s="8">
        <v>58200.0</v>
      </c>
      <c r="P721" s="8">
        <v>97050.0</v>
      </c>
      <c r="Q721" s="8">
        <f t="shared" si="2"/>
        <v>38850</v>
      </c>
      <c r="R721" s="8">
        <v>16.0</v>
      </c>
      <c r="S721" s="8">
        <f t="shared" si="3"/>
        <v>1552800</v>
      </c>
      <c r="T721" s="9">
        <v>0.01</v>
      </c>
      <c r="U721" s="8">
        <f t="shared" si="4"/>
        <v>15528</v>
      </c>
      <c r="V721" s="8">
        <f t="shared" si="5"/>
        <v>1537272</v>
      </c>
      <c r="W721" s="10">
        <f t="shared" si="6"/>
        <v>931200</v>
      </c>
      <c r="X721" s="10">
        <f t="shared" si="7"/>
        <v>606072</v>
      </c>
      <c r="Y721" s="10"/>
      <c r="Z721" s="10"/>
      <c r="AA721" s="10"/>
      <c r="AB721" s="4" t="s">
        <v>2246</v>
      </c>
      <c r="AC721" s="4" t="s">
        <v>2244</v>
      </c>
      <c r="AD721" s="4">
        <v>43536.0</v>
      </c>
      <c r="AE721" s="4">
        <v>2019.0</v>
      </c>
      <c r="AF721" s="4" t="s">
        <v>2245</v>
      </c>
      <c r="AG721" s="4" t="s">
        <v>398</v>
      </c>
      <c r="AH721" s="4" t="s">
        <v>50</v>
      </c>
      <c r="AI721" s="4" t="s">
        <v>91</v>
      </c>
      <c r="AJ721" s="4" t="s">
        <v>52</v>
      </c>
      <c r="AK721" s="4" t="s">
        <v>53</v>
      </c>
      <c r="AL721" s="4" t="s">
        <v>459</v>
      </c>
      <c r="AM721" s="4" t="s">
        <v>460</v>
      </c>
      <c r="AN721" s="4" t="s">
        <v>36</v>
      </c>
      <c r="AO721" s="4" t="s">
        <v>45</v>
      </c>
      <c r="AP721" s="4" t="s">
        <v>38</v>
      </c>
      <c r="AQ721" s="4">
        <v>43538.0</v>
      </c>
      <c r="AR721" s="4">
        <v>58200.0</v>
      </c>
      <c r="AS721" s="4">
        <v>97050.0</v>
      </c>
      <c r="AT721" s="4">
        <v>38850.0</v>
      </c>
      <c r="AU721" s="4">
        <v>16.0</v>
      </c>
      <c r="AV721" s="4">
        <v>1552800.0</v>
      </c>
      <c r="AW721" s="4">
        <v>0.01</v>
      </c>
      <c r="AX721" s="4">
        <v>15528.0</v>
      </c>
      <c r="AY721" s="4">
        <v>1537272.0</v>
      </c>
      <c r="AZ721" s="4">
        <v>931200.0</v>
      </c>
      <c r="BA721" s="4">
        <v>606072.0</v>
      </c>
    </row>
    <row r="722" ht="15.75" customHeight="1">
      <c r="A722" s="3" t="s">
        <v>2247</v>
      </c>
      <c r="B722" s="5">
        <v>43538.0</v>
      </c>
      <c r="C722" s="6">
        <f t="shared" si="1"/>
        <v>2019</v>
      </c>
      <c r="D722" s="7" t="s">
        <v>722</v>
      </c>
      <c r="E722" s="7" t="s">
        <v>509</v>
      </c>
      <c r="F722" s="7" t="s">
        <v>31</v>
      </c>
      <c r="G722" s="5" t="s">
        <v>51</v>
      </c>
      <c r="H722" s="7" t="s">
        <v>33</v>
      </c>
      <c r="I722" s="7" t="s">
        <v>34</v>
      </c>
      <c r="J722" s="7" t="s">
        <v>115</v>
      </c>
      <c r="K722" s="7" t="s">
        <v>36</v>
      </c>
      <c r="L722" s="7" t="s">
        <v>37</v>
      </c>
      <c r="M722" s="7" t="s">
        <v>38</v>
      </c>
      <c r="N722" s="5">
        <v>43539.0</v>
      </c>
      <c r="O722" s="8">
        <v>540300.0</v>
      </c>
      <c r="P722" s="8">
        <v>871500.0</v>
      </c>
      <c r="Q722" s="8">
        <f t="shared" si="2"/>
        <v>331200</v>
      </c>
      <c r="R722" s="8">
        <v>27.0</v>
      </c>
      <c r="S722" s="8">
        <f t="shared" si="3"/>
        <v>23530500</v>
      </c>
      <c r="T722" s="9">
        <v>0.07</v>
      </c>
      <c r="U722" s="8">
        <f t="shared" si="4"/>
        <v>1647135</v>
      </c>
      <c r="V722" s="8">
        <f t="shared" si="5"/>
        <v>21883365</v>
      </c>
      <c r="W722" s="10">
        <f t="shared" si="6"/>
        <v>14588100</v>
      </c>
      <c r="X722" s="10">
        <f t="shared" si="7"/>
        <v>7295265</v>
      </c>
      <c r="Y722" s="10"/>
      <c r="Z722" s="10"/>
      <c r="AA722" s="10"/>
      <c r="AB722" s="4" t="s">
        <v>2248</v>
      </c>
      <c r="AC722" s="4" t="s">
        <v>2247</v>
      </c>
      <c r="AD722" s="4">
        <v>43538.0</v>
      </c>
      <c r="AE722" s="4">
        <v>2019.0</v>
      </c>
      <c r="AF722" s="4" t="s">
        <v>722</v>
      </c>
      <c r="AG722" s="4" t="s">
        <v>509</v>
      </c>
      <c r="AH722" s="4" t="s">
        <v>31</v>
      </c>
      <c r="AI722" s="4" t="s">
        <v>51</v>
      </c>
      <c r="AJ722" s="4" t="s">
        <v>33</v>
      </c>
      <c r="AK722" s="4" t="s">
        <v>34</v>
      </c>
      <c r="AL722" s="4" t="s">
        <v>115</v>
      </c>
      <c r="AM722" s="4" t="s">
        <v>36</v>
      </c>
      <c r="AN722" s="4" t="s">
        <v>37</v>
      </c>
      <c r="AO722" s="4" t="s">
        <v>38</v>
      </c>
      <c r="AP722" s="4">
        <v>43539.0</v>
      </c>
      <c r="AQ722" s="4">
        <v>540300.0</v>
      </c>
      <c r="AR722" s="4">
        <v>871500.0</v>
      </c>
      <c r="AS722" s="4">
        <v>331200.0</v>
      </c>
      <c r="AT722" s="4">
        <v>27.0</v>
      </c>
      <c r="AU722" s="4">
        <v>2.35305E7</v>
      </c>
      <c r="AV722" s="4">
        <v>0.07</v>
      </c>
      <c r="AW722" s="4">
        <v>1647135.0</v>
      </c>
      <c r="AX722" s="4">
        <v>2.1883365E7</v>
      </c>
      <c r="AY722" s="4">
        <v>1.45881E7</v>
      </c>
      <c r="AZ722" s="4">
        <v>7295265.0</v>
      </c>
    </row>
    <row r="723" ht="15.75" customHeight="1">
      <c r="A723" s="3" t="s">
        <v>2249</v>
      </c>
      <c r="B723" s="5">
        <v>43538.0</v>
      </c>
      <c r="C723" s="6">
        <f t="shared" si="1"/>
        <v>2019</v>
      </c>
      <c r="D723" s="7" t="s">
        <v>2250</v>
      </c>
      <c r="E723" s="7" t="s">
        <v>738</v>
      </c>
      <c r="F723" s="7" t="s">
        <v>50</v>
      </c>
      <c r="G723" s="5" t="s">
        <v>51</v>
      </c>
      <c r="H723" s="7" t="s">
        <v>200</v>
      </c>
      <c r="I723" s="7" t="s">
        <v>92</v>
      </c>
      <c r="J723" s="7" t="s">
        <v>452</v>
      </c>
      <c r="K723" s="7" t="s">
        <v>36</v>
      </c>
      <c r="L723" s="7" t="s">
        <v>45</v>
      </c>
      <c r="M723" s="7" t="s">
        <v>38</v>
      </c>
      <c r="N723" s="5">
        <v>43539.0</v>
      </c>
      <c r="O723" s="8">
        <v>65550.0</v>
      </c>
      <c r="P723" s="8">
        <v>136650.0</v>
      </c>
      <c r="Q723" s="8">
        <f t="shared" si="2"/>
        <v>71100</v>
      </c>
      <c r="R723" s="8">
        <v>30.0</v>
      </c>
      <c r="S723" s="8">
        <f t="shared" si="3"/>
        <v>4099500</v>
      </c>
      <c r="T723" s="9">
        <v>0.03</v>
      </c>
      <c r="U723" s="8">
        <f t="shared" si="4"/>
        <v>122985</v>
      </c>
      <c r="V723" s="8">
        <f t="shared" si="5"/>
        <v>3976515</v>
      </c>
      <c r="W723" s="10">
        <f t="shared" si="6"/>
        <v>1966500</v>
      </c>
      <c r="X723" s="10">
        <f t="shared" si="7"/>
        <v>2010015</v>
      </c>
      <c r="Y723" s="10"/>
      <c r="Z723" s="10"/>
      <c r="AA723" s="10"/>
      <c r="AB723" s="4" t="s">
        <v>2251</v>
      </c>
      <c r="AC723" s="4" t="s">
        <v>2249</v>
      </c>
      <c r="AD723" s="4">
        <v>43538.0</v>
      </c>
      <c r="AE723" s="4">
        <v>2019.0</v>
      </c>
      <c r="AF723" s="4" t="s">
        <v>2250</v>
      </c>
      <c r="AG723" s="4" t="s">
        <v>738</v>
      </c>
      <c r="AH723" s="4" t="s">
        <v>50</v>
      </c>
      <c r="AI723" s="4" t="s">
        <v>51</v>
      </c>
      <c r="AJ723" s="4" t="s">
        <v>200</v>
      </c>
      <c r="AK723" s="4" t="s">
        <v>92</v>
      </c>
      <c r="AL723" s="4" t="s">
        <v>452</v>
      </c>
      <c r="AM723" s="4" t="s">
        <v>36</v>
      </c>
      <c r="AN723" s="4" t="s">
        <v>45</v>
      </c>
      <c r="AO723" s="4" t="s">
        <v>38</v>
      </c>
      <c r="AP723" s="4">
        <v>43539.0</v>
      </c>
      <c r="AQ723" s="4">
        <v>65550.0</v>
      </c>
      <c r="AR723" s="4">
        <v>136650.0</v>
      </c>
      <c r="AS723" s="4">
        <v>71100.0</v>
      </c>
      <c r="AT723" s="4">
        <v>30.0</v>
      </c>
      <c r="AU723" s="4">
        <v>4099500.0</v>
      </c>
      <c r="AV723" s="4">
        <v>0.03</v>
      </c>
      <c r="AW723" s="4">
        <v>122985.0</v>
      </c>
      <c r="AX723" s="4">
        <v>3976515.0</v>
      </c>
      <c r="AY723" s="4">
        <v>1966500.0</v>
      </c>
      <c r="AZ723" s="4">
        <v>2010015.0</v>
      </c>
    </row>
    <row r="724" ht="15.75" customHeight="1">
      <c r="A724" s="3" t="s">
        <v>2252</v>
      </c>
      <c r="B724" s="5">
        <v>43542.0</v>
      </c>
      <c r="C724" s="6">
        <f t="shared" si="1"/>
        <v>2019</v>
      </c>
      <c r="D724" s="7" t="s">
        <v>1201</v>
      </c>
      <c r="E724" s="7" t="s">
        <v>823</v>
      </c>
      <c r="F724" s="7" t="s">
        <v>50</v>
      </c>
      <c r="G724" s="5" t="s">
        <v>91</v>
      </c>
      <c r="H724" s="7" t="s">
        <v>80</v>
      </c>
      <c r="I724" s="7" t="s">
        <v>34</v>
      </c>
      <c r="J724" s="7" t="s">
        <v>1244</v>
      </c>
      <c r="K724" s="7" t="s">
        <v>36</v>
      </c>
      <c r="L724" s="7" t="s">
        <v>37</v>
      </c>
      <c r="M724" s="7" t="s">
        <v>38</v>
      </c>
      <c r="N724" s="5">
        <v>43543.0</v>
      </c>
      <c r="O724" s="8">
        <v>27600.0</v>
      </c>
      <c r="P724" s="8">
        <v>43200.0</v>
      </c>
      <c r="Q724" s="8">
        <f t="shared" si="2"/>
        <v>15600</v>
      </c>
      <c r="R724" s="8">
        <v>28.0</v>
      </c>
      <c r="S724" s="8">
        <f t="shared" si="3"/>
        <v>1209600</v>
      </c>
      <c r="T724" s="9">
        <v>0.1</v>
      </c>
      <c r="U724" s="8">
        <f t="shared" si="4"/>
        <v>120960</v>
      </c>
      <c r="V724" s="8">
        <f t="shared" si="5"/>
        <v>1088640</v>
      </c>
      <c r="W724" s="10">
        <f t="shared" si="6"/>
        <v>772800</v>
      </c>
      <c r="X724" s="10">
        <f t="shared" si="7"/>
        <v>315840</v>
      </c>
      <c r="Y724" s="10"/>
      <c r="Z724" s="10"/>
      <c r="AA724" s="10"/>
      <c r="AB724" s="4" t="s">
        <v>2253</v>
      </c>
      <c r="AC724" s="4" t="s">
        <v>2252</v>
      </c>
      <c r="AD724" s="4">
        <v>43542.0</v>
      </c>
      <c r="AE724" s="4">
        <v>2019.0</v>
      </c>
      <c r="AF724" s="4" t="s">
        <v>1201</v>
      </c>
      <c r="AG724" s="4" t="s">
        <v>823</v>
      </c>
      <c r="AH724" s="4" t="s">
        <v>50</v>
      </c>
      <c r="AI724" s="4" t="s">
        <v>91</v>
      </c>
      <c r="AJ724" s="4" t="s">
        <v>80</v>
      </c>
      <c r="AK724" s="4" t="s">
        <v>34</v>
      </c>
      <c r="AL724" s="4" t="s">
        <v>1244</v>
      </c>
      <c r="AM724" s="4" t="s">
        <v>36</v>
      </c>
      <c r="AN724" s="4" t="s">
        <v>37</v>
      </c>
      <c r="AO724" s="4" t="s">
        <v>38</v>
      </c>
      <c r="AP724" s="4">
        <v>43543.0</v>
      </c>
      <c r="AQ724" s="4">
        <v>27600.0</v>
      </c>
      <c r="AR724" s="4">
        <v>43200.0</v>
      </c>
      <c r="AS724" s="4">
        <v>15600.0</v>
      </c>
      <c r="AT724" s="4">
        <v>28.0</v>
      </c>
      <c r="AU724" s="4">
        <v>1209600.0</v>
      </c>
      <c r="AV724" s="4">
        <v>0.1</v>
      </c>
      <c r="AW724" s="4">
        <v>120960.0</v>
      </c>
      <c r="AX724" s="4">
        <v>1088640.0</v>
      </c>
      <c r="AY724" s="4">
        <v>772800.0</v>
      </c>
      <c r="AZ724" s="4">
        <v>315840.0</v>
      </c>
    </row>
    <row r="725" ht="15.75" customHeight="1">
      <c r="A725" s="3" t="s">
        <v>2254</v>
      </c>
      <c r="B725" s="5">
        <v>43544.0</v>
      </c>
      <c r="C725" s="6">
        <f t="shared" si="1"/>
        <v>2019</v>
      </c>
      <c r="D725" s="7" t="s">
        <v>1767</v>
      </c>
      <c r="E725" s="7" t="s">
        <v>150</v>
      </c>
      <c r="F725" s="7" t="s">
        <v>50</v>
      </c>
      <c r="G725" s="5" t="s">
        <v>51</v>
      </c>
      <c r="H725" s="7" t="s">
        <v>151</v>
      </c>
      <c r="I725" s="7" t="s">
        <v>74</v>
      </c>
      <c r="J725" s="7" t="s">
        <v>533</v>
      </c>
      <c r="K725" s="7" t="s">
        <v>36</v>
      </c>
      <c r="L725" s="7" t="s">
        <v>45</v>
      </c>
      <c r="M725" s="7" t="s">
        <v>38</v>
      </c>
      <c r="N725" s="5">
        <v>43546.0</v>
      </c>
      <c r="O725" s="8">
        <v>17550.0</v>
      </c>
      <c r="P725" s="8">
        <v>41700.0</v>
      </c>
      <c r="Q725" s="8">
        <f t="shared" si="2"/>
        <v>24150</v>
      </c>
      <c r="R725" s="8">
        <v>39.0</v>
      </c>
      <c r="S725" s="8">
        <f t="shared" si="3"/>
        <v>1626300</v>
      </c>
      <c r="T725" s="9">
        <v>0.05</v>
      </c>
      <c r="U725" s="8">
        <f t="shared" si="4"/>
        <v>81315</v>
      </c>
      <c r="V725" s="8">
        <f t="shared" si="5"/>
        <v>1544985</v>
      </c>
      <c r="W725" s="10">
        <f t="shared" si="6"/>
        <v>684450</v>
      </c>
      <c r="X725" s="10">
        <f t="shared" si="7"/>
        <v>860535</v>
      </c>
      <c r="Y725" s="10"/>
      <c r="Z725" s="10"/>
      <c r="AA725" s="10"/>
      <c r="AB725" s="4" t="s">
        <v>2255</v>
      </c>
      <c r="AC725" s="4" t="s">
        <v>2254</v>
      </c>
      <c r="AD725" s="4">
        <v>43544.0</v>
      </c>
      <c r="AE725" s="4">
        <v>2019.0</v>
      </c>
      <c r="AF725" s="4" t="s">
        <v>1767</v>
      </c>
      <c r="AG725" s="4" t="s">
        <v>150</v>
      </c>
      <c r="AH725" s="4" t="s">
        <v>50</v>
      </c>
      <c r="AI725" s="4" t="s">
        <v>51</v>
      </c>
      <c r="AJ725" s="4" t="s">
        <v>151</v>
      </c>
      <c r="AK725" s="4" t="s">
        <v>74</v>
      </c>
      <c r="AL725" s="4" t="s">
        <v>533</v>
      </c>
      <c r="AM725" s="4" t="s">
        <v>36</v>
      </c>
      <c r="AN725" s="4" t="s">
        <v>45</v>
      </c>
      <c r="AO725" s="4" t="s">
        <v>38</v>
      </c>
      <c r="AP725" s="4">
        <v>43546.0</v>
      </c>
      <c r="AQ725" s="4">
        <v>17550.0</v>
      </c>
      <c r="AR725" s="4">
        <v>41700.0</v>
      </c>
      <c r="AS725" s="4">
        <v>24150.0</v>
      </c>
      <c r="AT725" s="4">
        <v>39.0</v>
      </c>
      <c r="AU725" s="4">
        <v>1626300.0</v>
      </c>
      <c r="AV725" s="4">
        <v>0.05</v>
      </c>
      <c r="AW725" s="4">
        <v>81315.0</v>
      </c>
      <c r="AX725" s="4">
        <v>1544985.0</v>
      </c>
      <c r="AY725" s="4">
        <v>684450.0</v>
      </c>
      <c r="AZ725" s="4">
        <v>860535.0</v>
      </c>
    </row>
    <row r="726" ht="15.75" customHeight="1">
      <c r="A726" s="3" t="s">
        <v>2256</v>
      </c>
      <c r="B726" s="5">
        <v>43544.0</v>
      </c>
      <c r="C726" s="6">
        <f t="shared" si="1"/>
        <v>2019</v>
      </c>
      <c r="D726" s="7" t="s">
        <v>2257</v>
      </c>
      <c r="E726" s="7" t="s">
        <v>164</v>
      </c>
      <c r="F726" s="7" t="s">
        <v>50</v>
      </c>
      <c r="G726" s="5" t="s">
        <v>51</v>
      </c>
      <c r="H726" s="7" t="s">
        <v>69</v>
      </c>
      <c r="I726" s="7" t="s">
        <v>92</v>
      </c>
      <c r="J726" s="7" t="s">
        <v>294</v>
      </c>
      <c r="K726" s="7" t="s">
        <v>36</v>
      </c>
      <c r="L726" s="7" t="s">
        <v>37</v>
      </c>
      <c r="M726" s="7" t="s">
        <v>38</v>
      </c>
      <c r="N726" s="5">
        <v>43545.0</v>
      </c>
      <c r="O726" s="8">
        <v>17700.0</v>
      </c>
      <c r="P726" s="8">
        <v>28200.0</v>
      </c>
      <c r="Q726" s="8">
        <f t="shared" si="2"/>
        <v>10500</v>
      </c>
      <c r="R726" s="8">
        <v>20.0</v>
      </c>
      <c r="S726" s="8">
        <f t="shared" si="3"/>
        <v>564000</v>
      </c>
      <c r="T726" s="9">
        <v>0.07</v>
      </c>
      <c r="U726" s="8">
        <f t="shared" si="4"/>
        <v>39480</v>
      </c>
      <c r="V726" s="8">
        <f t="shared" si="5"/>
        <v>524520</v>
      </c>
      <c r="W726" s="10">
        <f t="shared" si="6"/>
        <v>354000</v>
      </c>
      <c r="X726" s="10">
        <f t="shared" si="7"/>
        <v>170520</v>
      </c>
      <c r="Y726" s="10"/>
      <c r="Z726" s="10"/>
      <c r="AA726" s="10"/>
      <c r="AB726" s="4" t="s">
        <v>2258</v>
      </c>
      <c r="AC726" s="4" t="s">
        <v>2256</v>
      </c>
      <c r="AD726" s="4">
        <v>43544.0</v>
      </c>
      <c r="AE726" s="4">
        <v>2019.0</v>
      </c>
      <c r="AF726" s="4" t="s">
        <v>2257</v>
      </c>
      <c r="AG726" s="4" t="s">
        <v>164</v>
      </c>
      <c r="AH726" s="4" t="s">
        <v>50</v>
      </c>
      <c r="AI726" s="4" t="s">
        <v>51</v>
      </c>
      <c r="AJ726" s="4" t="s">
        <v>69</v>
      </c>
      <c r="AK726" s="4" t="s">
        <v>92</v>
      </c>
      <c r="AL726" s="4" t="s">
        <v>294</v>
      </c>
      <c r="AM726" s="4" t="s">
        <v>36</v>
      </c>
      <c r="AN726" s="4" t="s">
        <v>37</v>
      </c>
      <c r="AO726" s="4" t="s">
        <v>38</v>
      </c>
      <c r="AP726" s="4">
        <v>43545.0</v>
      </c>
      <c r="AQ726" s="4">
        <v>17700.0</v>
      </c>
      <c r="AR726" s="4">
        <v>28200.0</v>
      </c>
      <c r="AS726" s="4">
        <v>10500.0</v>
      </c>
      <c r="AT726" s="4">
        <v>20.0</v>
      </c>
      <c r="AU726" s="4">
        <v>564000.0</v>
      </c>
      <c r="AV726" s="4">
        <v>0.07</v>
      </c>
      <c r="AW726" s="4">
        <v>39480.0</v>
      </c>
      <c r="AX726" s="4">
        <v>524520.0</v>
      </c>
      <c r="AY726" s="4">
        <v>354000.0</v>
      </c>
      <c r="AZ726" s="4">
        <v>170520.0</v>
      </c>
    </row>
    <row r="727" ht="15.75" customHeight="1">
      <c r="A727" s="3" t="s">
        <v>2259</v>
      </c>
      <c r="B727" s="5">
        <v>43546.0</v>
      </c>
      <c r="C727" s="6">
        <f t="shared" si="1"/>
        <v>2019</v>
      </c>
      <c r="D727" s="7" t="s">
        <v>579</v>
      </c>
      <c r="E727" s="7" t="s">
        <v>580</v>
      </c>
      <c r="F727" s="7" t="s">
        <v>289</v>
      </c>
      <c r="G727" s="5" t="s">
        <v>51</v>
      </c>
      <c r="H727" s="7" t="s">
        <v>140</v>
      </c>
      <c r="I727" s="7" t="s">
        <v>74</v>
      </c>
      <c r="J727" s="7" t="s">
        <v>394</v>
      </c>
      <c r="K727" s="7" t="s">
        <v>36</v>
      </c>
      <c r="L727" s="7" t="s">
        <v>45</v>
      </c>
      <c r="M727" s="7" t="s">
        <v>38</v>
      </c>
      <c r="N727" s="5">
        <v>43550.0</v>
      </c>
      <c r="O727" s="8">
        <v>24000.0</v>
      </c>
      <c r="P727" s="8">
        <v>39300.0</v>
      </c>
      <c r="Q727" s="8">
        <f t="shared" si="2"/>
        <v>15300</v>
      </c>
      <c r="R727" s="8">
        <v>26.0</v>
      </c>
      <c r="S727" s="8">
        <f t="shared" si="3"/>
        <v>1021800</v>
      </c>
      <c r="T727" s="9">
        <v>0.08</v>
      </c>
      <c r="U727" s="8">
        <f t="shared" si="4"/>
        <v>81744</v>
      </c>
      <c r="V727" s="8">
        <f t="shared" si="5"/>
        <v>940056</v>
      </c>
      <c r="W727" s="10">
        <f t="shared" si="6"/>
        <v>624000</v>
      </c>
      <c r="X727" s="10">
        <f t="shared" si="7"/>
        <v>316056</v>
      </c>
      <c r="Y727" s="10"/>
      <c r="Z727" s="10"/>
      <c r="AA727" s="10"/>
      <c r="AB727" s="4" t="s">
        <v>2260</v>
      </c>
      <c r="AC727" s="4" t="s">
        <v>2259</v>
      </c>
      <c r="AD727" s="4">
        <v>43546.0</v>
      </c>
      <c r="AE727" s="4">
        <v>2019.0</v>
      </c>
      <c r="AF727" s="4" t="s">
        <v>579</v>
      </c>
      <c r="AG727" s="4" t="s">
        <v>580</v>
      </c>
      <c r="AH727" s="4" t="s">
        <v>289</v>
      </c>
      <c r="AI727" s="4" t="s">
        <v>51</v>
      </c>
      <c r="AJ727" s="4" t="s">
        <v>140</v>
      </c>
      <c r="AK727" s="4" t="s">
        <v>74</v>
      </c>
      <c r="AL727" s="4" t="s">
        <v>394</v>
      </c>
      <c r="AM727" s="4" t="s">
        <v>36</v>
      </c>
      <c r="AN727" s="4" t="s">
        <v>45</v>
      </c>
      <c r="AO727" s="4" t="s">
        <v>38</v>
      </c>
      <c r="AP727" s="4">
        <v>43550.0</v>
      </c>
      <c r="AQ727" s="4">
        <v>24000.0</v>
      </c>
      <c r="AR727" s="4">
        <v>39300.0</v>
      </c>
      <c r="AS727" s="4">
        <v>15300.0</v>
      </c>
      <c r="AT727" s="4">
        <v>26.0</v>
      </c>
      <c r="AU727" s="4">
        <v>1021800.0</v>
      </c>
      <c r="AV727" s="4">
        <v>0.08</v>
      </c>
      <c r="AW727" s="4">
        <v>81744.0</v>
      </c>
      <c r="AX727" s="4">
        <v>940056.0</v>
      </c>
      <c r="AY727" s="4">
        <v>624000.0</v>
      </c>
      <c r="AZ727" s="4">
        <v>316056.0</v>
      </c>
    </row>
    <row r="728" ht="15.75" customHeight="1">
      <c r="A728" s="3" t="s">
        <v>2261</v>
      </c>
      <c r="B728" s="5">
        <v>43547.0</v>
      </c>
      <c r="C728" s="6">
        <f t="shared" si="1"/>
        <v>2019</v>
      </c>
      <c r="D728" s="7" t="s">
        <v>168</v>
      </c>
      <c r="E728" s="7" t="s">
        <v>169</v>
      </c>
      <c r="F728" s="7" t="s">
        <v>31</v>
      </c>
      <c r="G728" s="5" t="s">
        <v>51</v>
      </c>
      <c r="H728" s="7" t="s">
        <v>43</v>
      </c>
      <c r="I728" s="7" t="s">
        <v>34</v>
      </c>
      <c r="J728" s="7" t="s">
        <v>75</v>
      </c>
      <c r="K728" s="7" t="s">
        <v>36</v>
      </c>
      <c r="L728" s="7" t="s">
        <v>45</v>
      </c>
      <c r="M728" s="7" t="s">
        <v>38</v>
      </c>
      <c r="N728" s="5">
        <v>43547.0</v>
      </c>
      <c r="O728" s="8">
        <v>16350.000000000002</v>
      </c>
      <c r="P728" s="8">
        <v>39000.0</v>
      </c>
      <c r="Q728" s="8">
        <f t="shared" si="2"/>
        <v>22650</v>
      </c>
      <c r="R728" s="8">
        <v>14.0</v>
      </c>
      <c r="S728" s="8">
        <f t="shared" si="3"/>
        <v>546000</v>
      </c>
      <c r="T728" s="9">
        <v>0.08</v>
      </c>
      <c r="U728" s="8">
        <f t="shared" si="4"/>
        <v>43680</v>
      </c>
      <c r="V728" s="8">
        <f t="shared" si="5"/>
        <v>502320</v>
      </c>
      <c r="W728" s="10">
        <f t="shared" si="6"/>
        <v>228900</v>
      </c>
      <c r="X728" s="10">
        <f t="shared" si="7"/>
        <v>273420</v>
      </c>
      <c r="Y728" s="10"/>
      <c r="Z728" s="10"/>
      <c r="AA728" s="10"/>
      <c r="AB728" s="4" t="s">
        <v>2262</v>
      </c>
      <c r="AC728" s="4" t="s">
        <v>2261</v>
      </c>
      <c r="AD728" s="4">
        <v>43547.0</v>
      </c>
      <c r="AE728" s="4">
        <v>2019.0</v>
      </c>
      <c r="AF728" s="4" t="s">
        <v>168</v>
      </c>
      <c r="AG728" s="4" t="s">
        <v>169</v>
      </c>
      <c r="AH728" s="4" t="s">
        <v>31</v>
      </c>
      <c r="AI728" s="4" t="s">
        <v>51</v>
      </c>
      <c r="AJ728" s="4" t="s">
        <v>43</v>
      </c>
      <c r="AK728" s="4" t="s">
        <v>34</v>
      </c>
      <c r="AL728" s="4" t="s">
        <v>75</v>
      </c>
      <c r="AM728" s="4" t="s">
        <v>36</v>
      </c>
      <c r="AN728" s="4" t="s">
        <v>45</v>
      </c>
      <c r="AO728" s="4" t="s">
        <v>38</v>
      </c>
      <c r="AP728" s="4">
        <v>43547.0</v>
      </c>
      <c r="AQ728" s="4">
        <v>16350.0</v>
      </c>
      <c r="AR728" s="4">
        <v>39000.0</v>
      </c>
      <c r="AS728" s="4">
        <v>22650.0</v>
      </c>
      <c r="AT728" s="4">
        <v>14.0</v>
      </c>
      <c r="AU728" s="4">
        <v>546000.0</v>
      </c>
      <c r="AV728" s="4">
        <v>0.08</v>
      </c>
      <c r="AW728" s="4">
        <v>43680.0</v>
      </c>
      <c r="AX728" s="4">
        <v>502320.0</v>
      </c>
      <c r="AY728" s="4">
        <v>228900.0</v>
      </c>
      <c r="AZ728" s="4">
        <v>273420.0</v>
      </c>
    </row>
    <row r="729" ht="15.75" customHeight="1">
      <c r="A729" s="3" t="s">
        <v>2263</v>
      </c>
      <c r="B729" s="5">
        <v>43547.0</v>
      </c>
      <c r="C729" s="6">
        <f t="shared" si="1"/>
        <v>2019</v>
      </c>
      <c r="D729" s="7" t="s">
        <v>2212</v>
      </c>
      <c r="E729" s="7" t="s">
        <v>169</v>
      </c>
      <c r="F729" s="7" t="s">
        <v>31</v>
      </c>
      <c r="G729" s="5" t="s">
        <v>32</v>
      </c>
      <c r="H729" s="7" t="s">
        <v>43</v>
      </c>
      <c r="I729" s="7" t="s">
        <v>104</v>
      </c>
      <c r="J729" s="7" t="s">
        <v>2264</v>
      </c>
      <c r="K729" s="7" t="s">
        <v>36</v>
      </c>
      <c r="L729" s="7" t="s">
        <v>45</v>
      </c>
      <c r="M729" s="7" t="s">
        <v>55</v>
      </c>
      <c r="N729" s="5">
        <v>43548.0</v>
      </c>
      <c r="O729" s="8">
        <v>4800.0</v>
      </c>
      <c r="P729" s="8">
        <v>25200.0</v>
      </c>
      <c r="Q729" s="8">
        <f t="shared" si="2"/>
        <v>20400</v>
      </c>
      <c r="R729" s="8">
        <v>6.0</v>
      </c>
      <c r="S729" s="8">
        <f t="shared" si="3"/>
        <v>151200</v>
      </c>
      <c r="T729" s="9">
        <v>0.05</v>
      </c>
      <c r="U729" s="8">
        <f t="shared" si="4"/>
        <v>7560</v>
      </c>
      <c r="V729" s="8">
        <f t="shared" si="5"/>
        <v>143640</v>
      </c>
      <c r="W729" s="10">
        <f t="shared" si="6"/>
        <v>28800</v>
      </c>
      <c r="X729" s="10">
        <f t="shared" si="7"/>
        <v>114840</v>
      </c>
      <c r="Y729" s="10"/>
      <c r="Z729" s="10"/>
      <c r="AA729" s="10"/>
      <c r="AB729" s="4" t="s">
        <v>2265</v>
      </c>
      <c r="AC729" s="4" t="s">
        <v>2263</v>
      </c>
      <c r="AD729" s="4">
        <v>43547.0</v>
      </c>
      <c r="AE729" s="4">
        <v>2019.0</v>
      </c>
      <c r="AF729" s="4" t="s">
        <v>2212</v>
      </c>
      <c r="AG729" s="4" t="s">
        <v>169</v>
      </c>
      <c r="AH729" s="4" t="s">
        <v>31</v>
      </c>
      <c r="AI729" s="4" t="s">
        <v>32</v>
      </c>
      <c r="AJ729" s="4" t="s">
        <v>43</v>
      </c>
      <c r="AK729" s="4" t="s">
        <v>104</v>
      </c>
      <c r="AL729" s="4" t="s">
        <v>2264</v>
      </c>
      <c r="AM729" s="4" t="s">
        <v>36</v>
      </c>
      <c r="AN729" s="4" t="s">
        <v>45</v>
      </c>
      <c r="AO729" s="4" t="s">
        <v>55</v>
      </c>
      <c r="AP729" s="4">
        <v>43548.0</v>
      </c>
      <c r="AQ729" s="4">
        <v>4800.0</v>
      </c>
      <c r="AR729" s="4">
        <v>25200.0</v>
      </c>
      <c r="AS729" s="4">
        <v>20400.0</v>
      </c>
      <c r="AT729" s="4">
        <v>6.0</v>
      </c>
      <c r="AU729" s="4">
        <v>151200.0</v>
      </c>
      <c r="AV729" s="4">
        <v>0.05</v>
      </c>
      <c r="AW729" s="4">
        <v>7560.0</v>
      </c>
      <c r="AX729" s="4">
        <v>143640.0</v>
      </c>
      <c r="AY729" s="4">
        <v>28800.0</v>
      </c>
      <c r="AZ729" s="4">
        <v>114840.0</v>
      </c>
    </row>
    <row r="730" ht="15.75" customHeight="1">
      <c r="A730" s="3" t="s">
        <v>2266</v>
      </c>
      <c r="B730" s="5">
        <v>43554.0</v>
      </c>
      <c r="C730" s="6">
        <f t="shared" si="1"/>
        <v>2019</v>
      </c>
      <c r="D730" s="7" t="s">
        <v>934</v>
      </c>
      <c r="E730" s="7" t="s">
        <v>935</v>
      </c>
      <c r="F730" s="7" t="s">
        <v>289</v>
      </c>
      <c r="G730" s="5" t="s">
        <v>32</v>
      </c>
      <c r="H730" s="7" t="s">
        <v>140</v>
      </c>
      <c r="I730" s="7" t="s">
        <v>53</v>
      </c>
      <c r="J730" s="7" t="s">
        <v>190</v>
      </c>
      <c r="K730" s="7" t="s">
        <v>61</v>
      </c>
      <c r="L730" s="7" t="s">
        <v>37</v>
      </c>
      <c r="M730" s="7" t="s">
        <v>55</v>
      </c>
      <c r="N730" s="5">
        <v>43556.0</v>
      </c>
      <c r="O730" s="8">
        <v>95850.0</v>
      </c>
      <c r="P730" s="8">
        <v>299700.0</v>
      </c>
      <c r="Q730" s="8">
        <f t="shared" si="2"/>
        <v>203850</v>
      </c>
      <c r="R730" s="8">
        <v>18.0</v>
      </c>
      <c r="S730" s="8">
        <f t="shared" si="3"/>
        <v>5394600</v>
      </c>
      <c r="T730" s="9">
        <v>0.04</v>
      </c>
      <c r="U730" s="8">
        <f t="shared" si="4"/>
        <v>215784</v>
      </c>
      <c r="V730" s="8">
        <f t="shared" si="5"/>
        <v>5178816</v>
      </c>
      <c r="W730" s="10">
        <f t="shared" si="6"/>
        <v>1725300</v>
      </c>
      <c r="X730" s="10">
        <f t="shared" si="7"/>
        <v>3453516</v>
      </c>
      <c r="Y730" s="10"/>
      <c r="Z730" s="10"/>
      <c r="AA730" s="10"/>
      <c r="AB730" s="4" t="s">
        <v>2267</v>
      </c>
      <c r="AC730" s="4" t="s">
        <v>2266</v>
      </c>
      <c r="AD730" s="4">
        <v>43554.0</v>
      </c>
      <c r="AE730" s="4">
        <v>2019.0</v>
      </c>
      <c r="AF730" s="4" t="s">
        <v>934</v>
      </c>
      <c r="AG730" s="4" t="s">
        <v>935</v>
      </c>
      <c r="AH730" s="4" t="s">
        <v>289</v>
      </c>
      <c r="AI730" s="4" t="s">
        <v>32</v>
      </c>
      <c r="AJ730" s="4" t="s">
        <v>140</v>
      </c>
      <c r="AK730" s="4" t="s">
        <v>53</v>
      </c>
      <c r="AL730" s="4" t="s">
        <v>190</v>
      </c>
      <c r="AM730" s="4" t="s">
        <v>61</v>
      </c>
      <c r="AN730" s="4" t="s">
        <v>37</v>
      </c>
      <c r="AO730" s="4" t="s">
        <v>55</v>
      </c>
      <c r="AP730" s="4">
        <v>43556.0</v>
      </c>
      <c r="AQ730" s="4">
        <v>95850.0</v>
      </c>
      <c r="AR730" s="4">
        <v>299700.0</v>
      </c>
      <c r="AS730" s="4">
        <v>203850.0</v>
      </c>
      <c r="AT730" s="4">
        <v>18.0</v>
      </c>
      <c r="AU730" s="4">
        <v>5394600.0</v>
      </c>
      <c r="AV730" s="4">
        <v>0.04</v>
      </c>
      <c r="AW730" s="4">
        <v>215784.0</v>
      </c>
      <c r="AX730" s="4">
        <v>5178816.0</v>
      </c>
      <c r="AY730" s="4">
        <v>1725300.0</v>
      </c>
      <c r="AZ730" s="4">
        <v>3453516.0</v>
      </c>
    </row>
    <row r="731" ht="15.75" customHeight="1">
      <c r="A731" s="3" t="s">
        <v>2268</v>
      </c>
      <c r="B731" s="5">
        <v>43554.0</v>
      </c>
      <c r="C731" s="6">
        <f t="shared" si="1"/>
        <v>2019</v>
      </c>
      <c r="D731" s="7" t="s">
        <v>934</v>
      </c>
      <c r="E731" s="7" t="s">
        <v>935</v>
      </c>
      <c r="F731" s="7" t="s">
        <v>289</v>
      </c>
      <c r="G731" s="5" t="s">
        <v>32</v>
      </c>
      <c r="H731" s="7" t="s">
        <v>140</v>
      </c>
      <c r="I731" s="7" t="s">
        <v>53</v>
      </c>
      <c r="J731" s="7" t="s">
        <v>677</v>
      </c>
      <c r="K731" s="7" t="s">
        <v>36</v>
      </c>
      <c r="L731" s="7" t="s">
        <v>37</v>
      </c>
      <c r="M731" s="7" t="s">
        <v>38</v>
      </c>
      <c r="N731" s="5">
        <v>43556.0</v>
      </c>
      <c r="O731" s="8">
        <v>224250.0</v>
      </c>
      <c r="P731" s="8">
        <v>521399.99999999994</v>
      </c>
      <c r="Q731" s="8">
        <f t="shared" si="2"/>
        <v>297150</v>
      </c>
      <c r="R731" s="8">
        <v>46.0</v>
      </c>
      <c r="S731" s="8">
        <f t="shared" si="3"/>
        <v>23984400</v>
      </c>
      <c r="T731" s="9">
        <v>0.09</v>
      </c>
      <c r="U731" s="8">
        <f t="shared" si="4"/>
        <v>2158596</v>
      </c>
      <c r="V731" s="8">
        <f t="shared" si="5"/>
        <v>21825804</v>
      </c>
      <c r="W731" s="10">
        <f t="shared" si="6"/>
        <v>10315500</v>
      </c>
      <c r="X731" s="10">
        <f t="shared" si="7"/>
        <v>11510304</v>
      </c>
      <c r="Y731" s="10"/>
      <c r="Z731" s="10"/>
      <c r="AA731" s="10"/>
      <c r="AB731" s="4" t="s">
        <v>2269</v>
      </c>
      <c r="AC731" s="4" t="s">
        <v>2268</v>
      </c>
      <c r="AD731" s="4">
        <v>43554.0</v>
      </c>
      <c r="AE731" s="4">
        <v>2019.0</v>
      </c>
      <c r="AF731" s="4" t="s">
        <v>934</v>
      </c>
      <c r="AG731" s="4" t="s">
        <v>935</v>
      </c>
      <c r="AH731" s="4" t="s">
        <v>289</v>
      </c>
      <c r="AI731" s="4" t="s">
        <v>32</v>
      </c>
      <c r="AJ731" s="4" t="s">
        <v>140</v>
      </c>
      <c r="AK731" s="4" t="s">
        <v>53</v>
      </c>
      <c r="AL731" s="4" t="s">
        <v>677</v>
      </c>
      <c r="AM731" s="4" t="s">
        <v>36</v>
      </c>
      <c r="AN731" s="4" t="s">
        <v>37</v>
      </c>
      <c r="AO731" s="4" t="s">
        <v>38</v>
      </c>
      <c r="AP731" s="4">
        <v>43556.0</v>
      </c>
      <c r="AQ731" s="4">
        <v>224250.0</v>
      </c>
      <c r="AR731" s="4">
        <v>521400.0</v>
      </c>
      <c r="AS731" s="4">
        <v>297150.0</v>
      </c>
      <c r="AT731" s="4">
        <v>46.0</v>
      </c>
      <c r="AU731" s="4">
        <v>2.39844E7</v>
      </c>
      <c r="AV731" s="4">
        <v>0.09</v>
      </c>
      <c r="AW731" s="4">
        <v>2158596.0</v>
      </c>
      <c r="AX731" s="4">
        <v>2.1825804E7</v>
      </c>
      <c r="AY731" s="4">
        <v>1.03155E7</v>
      </c>
      <c r="AZ731" s="4">
        <v>1.1510304E7</v>
      </c>
    </row>
    <row r="732" ht="15.75" customHeight="1">
      <c r="A732" s="3" t="s">
        <v>2270</v>
      </c>
      <c r="B732" s="5">
        <v>43554.0</v>
      </c>
      <c r="C732" s="6">
        <f t="shared" si="1"/>
        <v>2019</v>
      </c>
      <c r="D732" s="7" t="s">
        <v>1594</v>
      </c>
      <c r="E732" s="7" t="s">
        <v>85</v>
      </c>
      <c r="F732" s="7" t="s">
        <v>50</v>
      </c>
      <c r="G732" s="5" t="s">
        <v>68</v>
      </c>
      <c r="H732" s="7" t="s">
        <v>80</v>
      </c>
      <c r="I732" s="7" t="s">
        <v>104</v>
      </c>
      <c r="J732" s="7" t="s">
        <v>81</v>
      </c>
      <c r="K732" s="7" t="s">
        <v>36</v>
      </c>
      <c r="L732" s="7" t="s">
        <v>37</v>
      </c>
      <c r="M732" s="7" t="s">
        <v>38</v>
      </c>
      <c r="N732" s="5">
        <v>43555.0</v>
      </c>
      <c r="O732" s="8">
        <v>1490850.0</v>
      </c>
      <c r="P732" s="8">
        <v>2443950.0</v>
      </c>
      <c r="Q732" s="8">
        <f t="shared" si="2"/>
        <v>953100</v>
      </c>
      <c r="R732" s="8">
        <v>41.0</v>
      </c>
      <c r="S732" s="8">
        <f t="shared" si="3"/>
        <v>100201950</v>
      </c>
      <c r="T732" s="9">
        <v>0.01</v>
      </c>
      <c r="U732" s="8">
        <f t="shared" si="4"/>
        <v>1002019.5</v>
      </c>
      <c r="V732" s="8">
        <f t="shared" si="5"/>
        <v>99199930.5</v>
      </c>
      <c r="W732" s="10">
        <f t="shared" si="6"/>
        <v>61124850</v>
      </c>
      <c r="X732" s="10">
        <f t="shared" si="7"/>
        <v>38075080.5</v>
      </c>
      <c r="Y732" s="10"/>
      <c r="Z732" s="10"/>
      <c r="AA732" s="10"/>
      <c r="AB732" s="4" t="s">
        <v>2271</v>
      </c>
      <c r="AC732" s="4" t="s">
        <v>2270</v>
      </c>
      <c r="AD732" s="4">
        <v>43554.0</v>
      </c>
      <c r="AE732" s="4">
        <v>2019.0</v>
      </c>
      <c r="AF732" s="4" t="s">
        <v>1594</v>
      </c>
      <c r="AG732" s="4" t="s">
        <v>85</v>
      </c>
      <c r="AH732" s="4" t="s">
        <v>50</v>
      </c>
      <c r="AI732" s="4" t="s">
        <v>68</v>
      </c>
      <c r="AJ732" s="4" t="s">
        <v>80</v>
      </c>
      <c r="AK732" s="4" t="s">
        <v>104</v>
      </c>
      <c r="AL732" s="4" t="s">
        <v>81</v>
      </c>
      <c r="AM732" s="4" t="s">
        <v>36</v>
      </c>
      <c r="AN732" s="4" t="s">
        <v>37</v>
      </c>
      <c r="AO732" s="4" t="s">
        <v>38</v>
      </c>
      <c r="AP732" s="4">
        <v>43555.0</v>
      </c>
      <c r="AQ732" s="4">
        <v>1490850.0</v>
      </c>
      <c r="AR732" s="4">
        <v>2443950.0</v>
      </c>
      <c r="AS732" s="4">
        <v>953100.0</v>
      </c>
      <c r="AT732" s="4">
        <v>41.0</v>
      </c>
      <c r="AU732" s="4">
        <v>1.0020195E8</v>
      </c>
      <c r="AV732" s="4">
        <v>0.01</v>
      </c>
      <c r="AW732" s="4">
        <v>1002019.5</v>
      </c>
      <c r="AX732" s="4">
        <v>9.91999305E7</v>
      </c>
      <c r="AY732" s="4">
        <v>6.112485E7</v>
      </c>
      <c r="AZ732" s="4">
        <v>3.80750805E7</v>
      </c>
    </row>
    <row r="733" ht="15.75" customHeight="1">
      <c r="A733" s="3" t="s">
        <v>2272</v>
      </c>
      <c r="B733" s="5">
        <v>43557.0</v>
      </c>
      <c r="C733" s="6">
        <f t="shared" si="1"/>
        <v>2019</v>
      </c>
      <c r="D733" s="7" t="s">
        <v>73</v>
      </c>
      <c r="E733" s="7" t="s">
        <v>59</v>
      </c>
      <c r="F733" s="7" t="s">
        <v>31</v>
      </c>
      <c r="G733" s="5" t="s">
        <v>32</v>
      </c>
      <c r="H733" s="7" t="s">
        <v>33</v>
      </c>
      <c r="I733" s="7" t="s">
        <v>92</v>
      </c>
      <c r="J733" s="7" t="s">
        <v>627</v>
      </c>
      <c r="K733" s="7" t="s">
        <v>36</v>
      </c>
      <c r="L733" s="7" t="s">
        <v>45</v>
      </c>
      <c r="M733" s="7" t="s">
        <v>38</v>
      </c>
      <c r="N733" s="5">
        <v>43559.0</v>
      </c>
      <c r="O733" s="8">
        <v>49800.0</v>
      </c>
      <c r="P733" s="8">
        <v>77700.0</v>
      </c>
      <c r="Q733" s="8">
        <f t="shared" si="2"/>
        <v>27900</v>
      </c>
      <c r="R733" s="8">
        <v>25.0</v>
      </c>
      <c r="S733" s="8">
        <f t="shared" si="3"/>
        <v>1942500</v>
      </c>
      <c r="T733" s="9">
        <v>0.1</v>
      </c>
      <c r="U733" s="8">
        <f t="shared" si="4"/>
        <v>194250</v>
      </c>
      <c r="V733" s="8">
        <f t="shared" si="5"/>
        <v>1748250</v>
      </c>
      <c r="W733" s="10">
        <f t="shared" si="6"/>
        <v>1245000</v>
      </c>
      <c r="X733" s="10">
        <f t="shared" si="7"/>
        <v>503250</v>
      </c>
      <c r="Y733" s="10"/>
      <c r="Z733" s="10"/>
      <c r="AA733" s="10"/>
      <c r="AB733" s="4" t="s">
        <v>2273</v>
      </c>
      <c r="AC733" s="4" t="s">
        <v>2272</v>
      </c>
      <c r="AD733" s="4">
        <v>43557.0</v>
      </c>
      <c r="AE733" s="4">
        <v>2019.0</v>
      </c>
      <c r="AF733" s="4" t="s">
        <v>73</v>
      </c>
      <c r="AG733" s="4" t="s">
        <v>59</v>
      </c>
      <c r="AH733" s="4" t="s">
        <v>31</v>
      </c>
      <c r="AI733" s="4" t="s">
        <v>32</v>
      </c>
      <c r="AJ733" s="4" t="s">
        <v>33</v>
      </c>
      <c r="AK733" s="4" t="s">
        <v>92</v>
      </c>
      <c r="AL733" s="4" t="s">
        <v>627</v>
      </c>
      <c r="AM733" s="4" t="s">
        <v>36</v>
      </c>
      <c r="AN733" s="4" t="s">
        <v>45</v>
      </c>
      <c r="AO733" s="4" t="s">
        <v>38</v>
      </c>
      <c r="AP733" s="4">
        <v>43559.0</v>
      </c>
      <c r="AQ733" s="4">
        <v>49800.0</v>
      </c>
      <c r="AR733" s="4">
        <v>77700.0</v>
      </c>
      <c r="AS733" s="4">
        <v>27900.0</v>
      </c>
      <c r="AT733" s="4">
        <v>25.0</v>
      </c>
      <c r="AU733" s="4">
        <v>1942500.0</v>
      </c>
      <c r="AV733" s="4">
        <v>0.1</v>
      </c>
      <c r="AW733" s="4">
        <v>194250.0</v>
      </c>
      <c r="AX733" s="4">
        <v>1748250.0</v>
      </c>
      <c r="AY733" s="4">
        <v>1245000.0</v>
      </c>
      <c r="AZ733" s="4">
        <v>503250.0</v>
      </c>
    </row>
    <row r="734" ht="15.75" customHeight="1">
      <c r="A734" s="3" t="s">
        <v>2274</v>
      </c>
      <c r="B734" s="5">
        <v>43557.0</v>
      </c>
      <c r="C734" s="6">
        <f t="shared" si="1"/>
        <v>2019</v>
      </c>
      <c r="D734" s="7" t="s">
        <v>1544</v>
      </c>
      <c r="E734" s="7" t="s">
        <v>757</v>
      </c>
      <c r="F734" s="7" t="s">
        <v>50</v>
      </c>
      <c r="G734" s="5" t="s">
        <v>51</v>
      </c>
      <c r="H734" s="7" t="s">
        <v>110</v>
      </c>
      <c r="I734" s="7" t="s">
        <v>53</v>
      </c>
      <c r="J734" s="7" t="s">
        <v>502</v>
      </c>
      <c r="K734" s="7" t="s">
        <v>36</v>
      </c>
      <c r="L734" s="7" t="s">
        <v>37</v>
      </c>
      <c r="M734" s="7" t="s">
        <v>38</v>
      </c>
      <c r="N734" s="5">
        <v>43559.0</v>
      </c>
      <c r="O734" s="8">
        <v>66900.0</v>
      </c>
      <c r="P734" s="8">
        <v>163350.0</v>
      </c>
      <c r="Q734" s="8">
        <f t="shared" si="2"/>
        <v>96450</v>
      </c>
      <c r="R734" s="8">
        <v>30.0</v>
      </c>
      <c r="S734" s="8">
        <f t="shared" si="3"/>
        <v>4900500</v>
      </c>
      <c r="T734" s="9">
        <v>0.08</v>
      </c>
      <c r="U734" s="8">
        <f t="shared" si="4"/>
        <v>392040</v>
      </c>
      <c r="V734" s="8">
        <f t="shared" si="5"/>
        <v>4508460</v>
      </c>
      <c r="W734" s="10">
        <f t="shared" si="6"/>
        <v>2007000</v>
      </c>
      <c r="X734" s="10">
        <f t="shared" si="7"/>
        <v>2501460</v>
      </c>
      <c r="Y734" s="10"/>
      <c r="Z734" s="10"/>
      <c r="AA734" s="10"/>
      <c r="AB734" s="4" t="s">
        <v>2275</v>
      </c>
      <c r="AC734" s="4" t="s">
        <v>2274</v>
      </c>
      <c r="AD734" s="4">
        <v>43557.0</v>
      </c>
      <c r="AE734" s="4">
        <v>2019.0</v>
      </c>
      <c r="AF734" s="4" t="s">
        <v>1544</v>
      </c>
      <c r="AG734" s="4" t="s">
        <v>757</v>
      </c>
      <c r="AH734" s="4" t="s">
        <v>50</v>
      </c>
      <c r="AI734" s="4" t="s">
        <v>51</v>
      </c>
      <c r="AJ734" s="4" t="s">
        <v>110</v>
      </c>
      <c r="AK734" s="4" t="s">
        <v>53</v>
      </c>
      <c r="AL734" s="4" t="s">
        <v>502</v>
      </c>
      <c r="AM734" s="4" t="s">
        <v>36</v>
      </c>
      <c r="AN734" s="4" t="s">
        <v>37</v>
      </c>
      <c r="AO734" s="4" t="s">
        <v>38</v>
      </c>
      <c r="AP734" s="4">
        <v>43559.0</v>
      </c>
      <c r="AQ734" s="4">
        <v>66900.0</v>
      </c>
      <c r="AR734" s="4">
        <v>163350.0</v>
      </c>
      <c r="AS734" s="4">
        <v>96450.0</v>
      </c>
      <c r="AT734" s="4">
        <v>30.0</v>
      </c>
      <c r="AU734" s="4">
        <v>4900500.0</v>
      </c>
      <c r="AV734" s="4">
        <v>0.08</v>
      </c>
      <c r="AW734" s="4">
        <v>392040.0</v>
      </c>
      <c r="AX734" s="4">
        <v>4508460.0</v>
      </c>
      <c r="AY734" s="4">
        <v>2007000.0</v>
      </c>
      <c r="AZ734" s="4">
        <v>2501460.0</v>
      </c>
    </row>
    <row r="735" ht="15.75" customHeight="1">
      <c r="A735" s="3" t="s">
        <v>2276</v>
      </c>
      <c r="B735" s="5">
        <v>43560.0</v>
      </c>
      <c r="C735" s="6">
        <f t="shared" si="1"/>
        <v>2019</v>
      </c>
      <c r="D735" s="7" t="s">
        <v>616</v>
      </c>
      <c r="E735" s="7" t="s">
        <v>617</v>
      </c>
      <c r="F735" s="7" t="s">
        <v>289</v>
      </c>
      <c r="G735" s="5" t="s">
        <v>32</v>
      </c>
      <c r="H735" s="7" t="s">
        <v>360</v>
      </c>
      <c r="I735" s="7" t="s">
        <v>92</v>
      </c>
      <c r="J735" s="7" t="s">
        <v>264</v>
      </c>
      <c r="K735" s="7" t="s">
        <v>61</v>
      </c>
      <c r="L735" s="7" t="s">
        <v>37</v>
      </c>
      <c r="M735" s="7" t="s">
        <v>38</v>
      </c>
      <c r="N735" s="5">
        <v>43562.0</v>
      </c>
      <c r="O735" s="8">
        <v>296700.0</v>
      </c>
      <c r="P735" s="8">
        <v>689850.0</v>
      </c>
      <c r="Q735" s="8">
        <f t="shared" si="2"/>
        <v>393150</v>
      </c>
      <c r="R735" s="8">
        <v>11.0</v>
      </c>
      <c r="S735" s="8">
        <f t="shared" si="3"/>
        <v>7588350</v>
      </c>
      <c r="T735" s="9">
        <v>0.07</v>
      </c>
      <c r="U735" s="8">
        <f t="shared" si="4"/>
        <v>531184.5</v>
      </c>
      <c r="V735" s="8">
        <f t="shared" si="5"/>
        <v>7057165.5</v>
      </c>
      <c r="W735" s="10">
        <f t="shared" si="6"/>
        <v>3263700</v>
      </c>
      <c r="X735" s="10">
        <f t="shared" si="7"/>
        <v>3793465.5</v>
      </c>
      <c r="Y735" s="10"/>
      <c r="Z735" s="10"/>
      <c r="AA735" s="10"/>
      <c r="AB735" s="4" t="s">
        <v>2277</v>
      </c>
      <c r="AC735" s="4" t="s">
        <v>2276</v>
      </c>
      <c r="AD735" s="4">
        <v>43560.0</v>
      </c>
      <c r="AE735" s="4">
        <v>2019.0</v>
      </c>
      <c r="AF735" s="4" t="s">
        <v>616</v>
      </c>
      <c r="AG735" s="4" t="s">
        <v>617</v>
      </c>
      <c r="AH735" s="4" t="s">
        <v>289</v>
      </c>
      <c r="AI735" s="4" t="s">
        <v>32</v>
      </c>
      <c r="AJ735" s="4" t="s">
        <v>360</v>
      </c>
      <c r="AK735" s="4" t="s">
        <v>92</v>
      </c>
      <c r="AL735" s="4" t="s">
        <v>264</v>
      </c>
      <c r="AM735" s="4" t="s">
        <v>61</v>
      </c>
      <c r="AN735" s="4" t="s">
        <v>37</v>
      </c>
      <c r="AO735" s="4" t="s">
        <v>38</v>
      </c>
      <c r="AP735" s="4">
        <v>43562.0</v>
      </c>
      <c r="AQ735" s="4">
        <v>296700.0</v>
      </c>
      <c r="AR735" s="4">
        <v>689850.0</v>
      </c>
      <c r="AS735" s="4">
        <v>393150.0</v>
      </c>
      <c r="AT735" s="4">
        <v>11.0</v>
      </c>
      <c r="AU735" s="4">
        <v>7588350.0</v>
      </c>
      <c r="AV735" s="4">
        <v>0.07</v>
      </c>
      <c r="AW735" s="4">
        <v>531184.5</v>
      </c>
      <c r="AX735" s="4">
        <v>7057165.5</v>
      </c>
      <c r="AY735" s="4">
        <v>3263700.0</v>
      </c>
      <c r="AZ735" s="4">
        <v>3793465.5</v>
      </c>
    </row>
    <row r="736" ht="15.75" customHeight="1">
      <c r="A736" s="3" t="s">
        <v>2278</v>
      </c>
      <c r="B736" s="5">
        <v>43562.0</v>
      </c>
      <c r="C736" s="6">
        <f t="shared" si="1"/>
        <v>2019</v>
      </c>
      <c r="D736" s="7" t="s">
        <v>827</v>
      </c>
      <c r="E736" s="7" t="s">
        <v>85</v>
      </c>
      <c r="F736" s="7" t="s">
        <v>50</v>
      </c>
      <c r="G736" s="5" t="s">
        <v>51</v>
      </c>
      <c r="H736" s="7" t="s">
        <v>80</v>
      </c>
      <c r="I736" s="7" t="s">
        <v>53</v>
      </c>
      <c r="J736" s="7" t="s">
        <v>294</v>
      </c>
      <c r="K736" s="7" t="s">
        <v>36</v>
      </c>
      <c r="L736" s="7" t="s">
        <v>37</v>
      </c>
      <c r="M736" s="7" t="s">
        <v>38</v>
      </c>
      <c r="N736" s="5">
        <v>43564.0</v>
      </c>
      <c r="O736" s="8">
        <v>17700.0</v>
      </c>
      <c r="P736" s="8">
        <v>28200.0</v>
      </c>
      <c r="Q736" s="8">
        <f t="shared" si="2"/>
        <v>10500</v>
      </c>
      <c r="R736" s="8">
        <v>39.0</v>
      </c>
      <c r="S736" s="8">
        <f t="shared" si="3"/>
        <v>1099800</v>
      </c>
      <c r="T736" s="9">
        <v>0.07</v>
      </c>
      <c r="U736" s="8">
        <f t="shared" si="4"/>
        <v>76986</v>
      </c>
      <c r="V736" s="8">
        <f t="shared" si="5"/>
        <v>1022814</v>
      </c>
      <c r="W736" s="10">
        <f t="shared" si="6"/>
        <v>690300</v>
      </c>
      <c r="X736" s="10">
        <f t="shared" si="7"/>
        <v>332514</v>
      </c>
      <c r="Y736" s="10"/>
      <c r="Z736" s="10"/>
      <c r="AA736" s="10"/>
      <c r="AB736" s="4" t="s">
        <v>2279</v>
      </c>
      <c r="AC736" s="4" t="s">
        <v>2278</v>
      </c>
      <c r="AD736" s="4">
        <v>43562.0</v>
      </c>
      <c r="AE736" s="4">
        <v>2019.0</v>
      </c>
      <c r="AF736" s="4" t="s">
        <v>827</v>
      </c>
      <c r="AG736" s="4" t="s">
        <v>85</v>
      </c>
      <c r="AH736" s="4" t="s">
        <v>50</v>
      </c>
      <c r="AI736" s="4" t="s">
        <v>51</v>
      </c>
      <c r="AJ736" s="4" t="s">
        <v>80</v>
      </c>
      <c r="AK736" s="4" t="s">
        <v>53</v>
      </c>
      <c r="AL736" s="4" t="s">
        <v>294</v>
      </c>
      <c r="AM736" s="4" t="s">
        <v>36</v>
      </c>
      <c r="AN736" s="4" t="s">
        <v>37</v>
      </c>
      <c r="AO736" s="4" t="s">
        <v>38</v>
      </c>
      <c r="AP736" s="4">
        <v>43564.0</v>
      </c>
      <c r="AQ736" s="4">
        <v>17700.0</v>
      </c>
      <c r="AR736" s="4">
        <v>28200.0</v>
      </c>
      <c r="AS736" s="4">
        <v>10500.0</v>
      </c>
      <c r="AT736" s="4">
        <v>39.0</v>
      </c>
      <c r="AU736" s="4">
        <v>1099800.0</v>
      </c>
      <c r="AV736" s="4">
        <v>0.07</v>
      </c>
      <c r="AW736" s="4">
        <v>76986.0</v>
      </c>
      <c r="AX736" s="4">
        <v>1022814.0</v>
      </c>
      <c r="AY736" s="4">
        <v>690300.0</v>
      </c>
      <c r="AZ736" s="4">
        <v>332514.0</v>
      </c>
    </row>
    <row r="737" ht="15.75" customHeight="1">
      <c r="A737" s="3" t="s">
        <v>2280</v>
      </c>
      <c r="B737" s="5">
        <v>43563.0</v>
      </c>
      <c r="C737" s="6">
        <f t="shared" si="1"/>
        <v>2019</v>
      </c>
      <c r="D737" s="7" t="s">
        <v>1286</v>
      </c>
      <c r="E737" s="7" t="s">
        <v>124</v>
      </c>
      <c r="F737" s="7" t="s">
        <v>50</v>
      </c>
      <c r="G737" s="5" t="s">
        <v>51</v>
      </c>
      <c r="H737" s="7" t="s">
        <v>52</v>
      </c>
      <c r="I737" s="7" t="s">
        <v>74</v>
      </c>
      <c r="J737" s="7" t="s">
        <v>978</v>
      </c>
      <c r="K737" s="7" t="s">
        <v>61</v>
      </c>
      <c r="L737" s="7" t="s">
        <v>555</v>
      </c>
      <c r="M737" s="7" t="s">
        <v>38</v>
      </c>
      <c r="N737" s="5">
        <v>43570.0</v>
      </c>
      <c r="O737" s="8">
        <v>5669850.0</v>
      </c>
      <c r="P737" s="8">
        <v>8999850.0</v>
      </c>
      <c r="Q737" s="8">
        <f t="shared" si="2"/>
        <v>3330000</v>
      </c>
      <c r="R737" s="8">
        <v>17.0</v>
      </c>
      <c r="S737" s="8">
        <f t="shared" si="3"/>
        <v>152997450</v>
      </c>
      <c r="T737" s="9">
        <v>0.08</v>
      </c>
      <c r="U737" s="8">
        <f t="shared" si="4"/>
        <v>12239796</v>
      </c>
      <c r="V737" s="8">
        <f t="shared" si="5"/>
        <v>140757654</v>
      </c>
      <c r="W737" s="10">
        <f t="shared" si="6"/>
        <v>96387450</v>
      </c>
      <c r="X737" s="10">
        <f t="shared" si="7"/>
        <v>44370204</v>
      </c>
      <c r="Y737" s="10"/>
      <c r="Z737" s="10"/>
      <c r="AA737" s="10"/>
      <c r="AB737" s="4" t="s">
        <v>2281</v>
      </c>
      <c r="AC737" s="4" t="s">
        <v>2280</v>
      </c>
      <c r="AD737" s="4">
        <v>43563.0</v>
      </c>
      <c r="AE737" s="4">
        <v>2019.0</v>
      </c>
      <c r="AF737" s="4" t="s">
        <v>1286</v>
      </c>
      <c r="AG737" s="4" t="s">
        <v>124</v>
      </c>
      <c r="AH737" s="4" t="s">
        <v>50</v>
      </c>
      <c r="AI737" s="4" t="s">
        <v>51</v>
      </c>
      <c r="AJ737" s="4" t="s">
        <v>52</v>
      </c>
      <c r="AK737" s="4" t="s">
        <v>74</v>
      </c>
      <c r="AL737" s="4" t="s">
        <v>978</v>
      </c>
      <c r="AM737" s="4" t="s">
        <v>61</v>
      </c>
      <c r="AN737" s="4" t="s">
        <v>555</v>
      </c>
      <c r="AO737" s="4" t="s">
        <v>38</v>
      </c>
      <c r="AP737" s="4">
        <v>43570.0</v>
      </c>
      <c r="AQ737" s="4">
        <v>5669850.0</v>
      </c>
      <c r="AR737" s="4">
        <v>8999850.0</v>
      </c>
      <c r="AS737" s="4">
        <v>3330000.0</v>
      </c>
      <c r="AT737" s="4">
        <v>17.0</v>
      </c>
      <c r="AU737" s="4">
        <v>1.5299745E8</v>
      </c>
      <c r="AV737" s="4">
        <v>0.08</v>
      </c>
      <c r="AW737" s="4">
        <v>1.2239796E7</v>
      </c>
      <c r="AX737" s="4">
        <v>1.40757654E8</v>
      </c>
      <c r="AY737" s="4">
        <v>9.638745E7</v>
      </c>
      <c r="AZ737" s="4">
        <v>4.4370204E7</v>
      </c>
    </row>
    <row r="738" ht="15.75" customHeight="1">
      <c r="A738" s="3" t="s">
        <v>2282</v>
      </c>
      <c r="B738" s="5">
        <v>43563.0</v>
      </c>
      <c r="C738" s="6">
        <f t="shared" si="1"/>
        <v>2019</v>
      </c>
      <c r="D738" s="7" t="s">
        <v>496</v>
      </c>
      <c r="E738" s="7" t="s">
        <v>263</v>
      </c>
      <c r="F738" s="7" t="s">
        <v>50</v>
      </c>
      <c r="G738" s="5" t="s">
        <v>51</v>
      </c>
      <c r="H738" s="7" t="s">
        <v>140</v>
      </c>
      <c r="I738" s="7" t="s">
        <v>34</v>
      </c>
      <c r="J738" s="7" t="s">
        <v>86</v>
      </c>
      <c r="K738" s="7" t="s">
        <v>36</v>
      </c>
      <c r="L738" s="7" t="s">
        <v>45</v>
      </c>
      <c r="M738" s="7" t="s">
        <v>38</v>
      </c>
      <c r="N738" s="5">
        <v>43564.0</v>
      </c>
      <c r="O738" s="8">
        <v>16350.000000000002</v>
      </c>
      <c r="P738" s="8">
        <v>25200.0</v>
      </c>
      <c r="Q738" s="8">
        <f t="shared" si="2"/>
        <v>8850</v>
      </c>
      <c r="R738" s="8">
        <v>24.0</v>
      </c>
      <c r="S738" s="8">
        <f t="shared" si="3"/>
        <v>604800</v>
      </c>
      <c r="T738" s="9">
        <v>0.05</v>
      </c>
      <c r="U738" s="8">
        <f t="shared" si="4"/>
        <v>30240</v>
      </c>
      <c r="V738" s="8">
        <f t="shared" si="5"/>
        <v>574560</v>
      </c>
      <c r="W738" s="10">
        <f t="shared" si="6"/>
        <v>392400</v>
      </c>
      <c r="X738" s="10">
        <f t="shared" si="7"/>
        <v>182160</v>
      </c>
      <c r="Y738" s="10"/>
      <c r="Z738" s="10"/>
      <c r="AA738" s="10"/>
      <c r="AB738" s="4" t="s">
        <v>2283</v>
      </c>
      <c r="AC738" s="4" t="s">
        <v>2282</v>
      </c>
      <c r="AD738" s="4">
        <v>43563.0</v>
      </c>
      <c r="AE738" s="4">
        <v>2019.0</v>
      </c>
      <c r="AF738" s="4" t="s">
        <v>496</v>
      </c>
      <c r="AG738" s="4" t="s">
        <v>263</v>
      </c>
      <c r="AH738" s="4" t="s">
        <v>50</v>
      </c>
      <c r="AI738" s="4" t="s">
        <v>51</v>
      </c>
      <c r="AJ738" s="4" t="s">
        <v>140</v>
      </c>
      <c r="AK738" s="4" t="s">
        <v>34</v>
      </c>
      <c r="AL738" s="4" t="s">
        <v>86</v>
      </c>
      <c r="AM738" s="4" t="s">
        <v>36</v>
      </c>
      <c r="AN738" s="4" t="s">
        <v>45</v>
      </c>
      <c r="AO738" s="4" t="s">
        <v>38</v>
      </c>
      <c r="AP738" s="4">
        <v>43564.0</v>
      </c>
      <c r="AQ738" s="4">
        <v>16350.0</v>
      </c>
      <c r="AR738" s="4">
        <v>25200.0</v>
      </c>
      <c r="AS738" s="4">
        <v>8850.0</v>
      </c>
      <c r="AT738" s="4">
        <v>24.0</v>
      </c>
      <c r="AU738" s="4">
        <v>604800.0</v>
      </c>
      <c r="AV738" s="4">
        <v>0.05</v>
      </c>
      <c r="AW738" s="4">
        <v>30240.0</v>
      </c>
      <c r="AX738" s="4">
        <v>574560.0</v>
      </c>
      <c r="AY738" s="4">
        <v>392400.0</v>
      </c>
      <c r="AZ738" s="4">
        <v>182160.0</v>
      </c>
    </row>
    <row r="739" ht="15.75" customHeight="1">
      <c r="A739" s="3" t="s">
        <v>2284</v>
      </c>
      <c r="B739" s="5">
        <v>43566.0</v>
      </c>
      <c r="C739" s="6">
        <f t="shared" si="1"/>
        <v>2019</v>
      </c>
      <c r="D739" s="7" t="s">
        <v>2285</v>
      </c>
      <c r="E739" s="7" t="s">
        <v>1239</v>
      </c>
      <c r="F739" s="7" t="s">
        <v>31</v>
      </c>
      <c r="G739" s="5" t="s">
        <v>32</v>
      </c>
      <c r="H739" s="7" t="s">
        <v>33</v>
      </c>
      <c r="I739" s="7" t="s">
        <v>34</v>
      </c>
      <c r="J739" s="7" t="s">
        <v>243</v>
      </c>
      <c r="K739" s="7" t="s">
        <v>61</v>
      </c>
      <c r="L739" s="7" t="s">
        <v>244</v>
      </c>
      <c r="M739" s="7" t="s">
        <v>38</v>
      </c>
      <c r="N739" s="5">
        <v>43567.0</v>
      </c>
      <c r="O739" s="8">
        <v>132300.0</v>
      </c>
      <c r="P739" s="8">
        <v>314850.0</v>
      </c>
      <c r="Q739" s="8">
        <f t="shared" si="2"/>
        <v>182550</v>
      </c>
      <c r="R739" s="8">
        <v>30.0</v>
      </c>
      <c r="S739" s="8">
        <f t="shared" si="3"/>
        <v>9445500</v>
      </c>
      <c r="T739" s="9">
        <v>0.03</v>
      </c>
      <c r="U739" s="8">
        <f t="shared" si="4"/>
        <v>283365</v>
      </c>
      <c r="V739" s="8">
        <f t="shared" si="5"/>
        <v>9162135</v>
      </c>
      <c r="W739" s="10">
        <f t="shared" si="6"/>
        <v>3969000</v>
      </c>
      <c r="X739" s="10">
        <f t="shared" si="7"/>
        <v>5193135</v>
      </c>
      <c r="Y739" s="10"/>
      <c r="Z739" s="10"/>
      <c r="AA739" s="10"/>
      <c r="AB739" s="4" t="s">
        <v>2286</v>
      </c>
      <c r="AC739" s="4" t="s">
        <v>2284</v>
      </c>
      <c r="AD739" s="4">
        <v>43566.0</v>
      </c>
      <c r="AE739" s="4">
        <v>2019.0</v>
      </c>
      <c r="AF739" s="4" t="s">
        <v>2285</v>
      </c>
      <c r="AG739" s="4" t="s">
        <v>1239</v>
      </c>
      <c r="AH739" s="4" t="s">
        <v>31</v>
      </c>
      <c r="AI739" s="4" t="s">
        <v>32</v>
      </c>
      <c r="AJ739" s="4" t="s">
        <v>33</v>
      </c>
      <c r="AK739" s="4" t="s">
        <v>34</v>
      </c>
      <c r="AL739" s="4" t="s">
        <v>243</v>
      </c>
      <c r="AM739" s="4" t="s">
        <v>61</v>
      </c>
      <c r="AN739" s="4" t="s">
        <v>244</v>
      </c>
      <c r="AO739" s="4" t="s">
        <v>38</v>
      </c>
      <c r="AP739" s="4">
        <v>43567.0</v>
      </c>
      <c r="AQ739" s="4">
        <v>132300.0</v>
      </c>
      <c r="AR739" s="4">
        <v>314850.0</v>
      </c>
      <c r="AS739" s="4">
        <v>182550.0</v>
      </c>
      <c r="AT739" s="4">
        <v>30.0</v>
      </c>
      <c r="AU739" s="4">
        <v>9445500.0</v>
      </c>
      <c r="AV739" s="4">
        <v>0.03</v>
      </c>
      <c r="AW739" s="4">
        <v>283365.0</v>
      </c>
      <c r="AX739" s="4">
        <v>9162135.0</v>
      </c>
      <c r="AY739" s="4">
        <v>3969000.0</v>
      </c>
      <c r="AZ739" s="4">
        <v>5193135.0</v>
      </c>
    </row>
    <row r="740" ht="15.75" customHeight="1">
      <c r="A740" s="3" t="s">
        <v>2287</v>
      </c>
      <c r="B740" s="5">
        <v>43566.0</v>
      </c>
      <c r="C740" s="6">
        <f t="shared" si="1"/>
        <v>2019</v>
      </c>
      <c r="D740" s="7" t="s">
        <v>1175</v>
      </c>
      <c r="E740" s="7" t="s">
        <v>307</v>
      </c>
      <c r="F740" s="7" t="s">
        <v>50</v>
      </c>
      <c r="G740" s="5" t="s">
        <v>91</v>
      </c>
      <c r="H740" s="7" t="s">
        <v>140</v>
      </c>
      <c r="I740" s="7" t="s">
        <v>53</v>
      </c>
      <c r="J740" s="7" t="s">
        <v>294</v>
      </c>
      <c r="K740" s="7" t="s">
        <v>36</v>
      </c>
      <c r="L740" s="7" t="s">
        <v>37</v>
      </c>
      <c r="M740" s="7" t="s">
        <v>38</v>
      </c>
      <c r="N740" s="5">
        <v>43568.0</v>
      </c>
      <c r="O740" s="8">
        <v>17700.0</v>
      </c>
      <c r="P740" s="8">
        <v>28200.0</v>
      </c>
      <c r="Q740" s="8">
        <f t="shared" si="2"/>
        <v>10500</v>
      </c>
      <c r="R740" s="8">
        <v>1.0</v>
      </c>
      <c r="S740" s="8">
        <f t="shared" si="3"/>
        <v>28200</v>
      </c>
      <c r="T740" s="9">
        <v>0.09</v>
      </c>
      <c r="U740" s="8">
        <f t="shared" si="4"/>
        <v>2538</v>
      </c>
      <c r="V740" s="8">
        <f t="shared" si="5"/>
        <v>25662</v>
      </c>
      <c r="W740" s="10">
        <f t="shared" si="6"/>
        <v>17700</v>
      </c>
      <c r="X740" s="10">
        <f t="shared" si="7"/>
        <v>7962</v>
      </c>
      <c r="Y740" s="10"/>
      <c r="Z740" s="10"/>
      <c r="AA740" s="10"/>
      <c r="AB740" s="4" t="s">
        <v>2288</v>
      </c>
      <c r="AC740" s="4" t="s">
        <v>2287</v>
      </c>
      <c r="AD740" s="4">
        <v>43566.0</v>
      </c>
      <c r="AE740" s="4">
        <v>2019.0</v>
      </c>
      <c r="AF740" s="4" t="s">
        <v>1175</v>
      </c>
      <c r="AG740" s="4" t="s">
        <v>307</v>
      </c>
      <c r="AH740" s="4" t="s">
        <v>50</v>
      </c>
      <c r="AI740" s="4" t="s">
        <v>91</v>
      </c>
      <c r="AJ740" s="4" t="s">
        <v>140</v>
      </c>
      <c r="AK740" s="4" t="s">
        <v>53</v>
      </c>
      <c r="AL740" s="4" t="s">
        <v>294</v>
      </c>
      <c r="AM740" s="4" t="s">
        <v>36</v>
      </c>
      <c r="AN740" s="4" t="s">
        <v>37</v>
      </c>
      <c r="AO740" s="4" t="s">
        <v>38</v>
      </c>
      <c r="AP740" s="4">
        <v>43568.0</v>
      </c>
      <c r="AQ740" s="4">
        <v>17700.0</v>
      </c>
      <c r="AR740" s="4">
        <v>28200.0</v>
      </c>
      <c r="AS740" s="4">
        <v>10500.0</v>
      </c>
      <c r="AT740" s="4">
        <v>1.0</v>
      </c>
      <c r="AU740" s="4">
        <v>28200.0</v>
      </c>
      <c r="AV740" s="4">
        <v>0.09</v>
      </c>
      <c r="AW740" s="4">
        <v>2538.0</v>
      </c>
      <c r="AX740" s="4">
        <v>25662.0</v>
      </c>
      <c r="AY740" s="4">
        <v>17700.0</v>
      </c>
      <c r="AZ740" s="4">
        <v>7962.0</v>
      </c>
    </row>
    <row r="741" ht="15.75" customHeight="1">
      <c r="A741" s="3" t="s">
        <v>2289</v>
      </c>
      <c r="B741" s="5">
        <v>43566.0</v>
      </c>
      <c r="C741" s="6">
        <f t="shared" si="1"/>
        <v>2019</v>
      </c>
      <c r="D741" s="7" t="s">
        <v>2116</v>
      </c>
      <c r="E741" s="7" t="s">
        <v>2117</v>
      </c>
      <c r="F741" s="7" t="s">
        <v>289</v>
      </c>
      <c r="G741" s="5" t="s">
        <v>51</v>
      </c>
      <c r="H741" s="7" t="s">
        <v>200</v>
      </c>
      <c r="I741" s="7" t="s">
        <v>74</v>
      </c>
      <c r="J741" s="7" t="s">
        <v>753</v>
      </c>
      <c r="K741" s="7" t="s">
        <v>36</v>
      </c>
      <c r="L741" s="7" t="s">
        <v>127</v>
      </c>
      <c r="M741" s="7" t="s">
        <v>55</v>
      </c>
      <c r="N741" s="5">
        <v>43573.0</v>
      </c>
      <c r="O741" s="8">
        <v>252000.0</v>
      </c>
      <c r="P741" s="8">
        <v>614550.0</v>
      </c>
      <c r="Q741" s="8">
        <f t="shared" si="2"/>
        <v>362550</v>
      </c>
      <c r="R741" s="8">
        <v>49.0</v>
      </c>
      <c r="S741" s="8">
        <f t="shared" si="3"/>
        <v>30112950</v>
      </c>
      <c r="T741" s="9">
        <v>0.1</v>
      </c>
      <c r="U741" s="8">
        <f t="shared" si="4"/>
        <v>3011295</v>
      </c>
      <c r="V741" s="8">
        <f t="shared" si="5"/>
        <v>27101655</v>
      </c>
      <c r="W741" s="10">
        <f t="shared" si="6"/>
        <v>12348000</v>
      </c>
      <c r="X741" s="10">
        <f t="shared" si="7"/>
        <v>14753655</v>
      </c>
      <c r="Y741" s="10"/>
      <c r="Z741" s="10"/>
      <c r="AA741" s="10"/>
      <c r="AB741" s="4" t="s">
        <v>2290</v>
      </c>
      <c r="AC741" s="4" t="s">
        <v>2289</v>
      </c>
      <c r="AD741" s="4">
        <v>43566.0</v>
      </c>
      <c r="AE741" s="4">
        <v>2019.0</v>
      </c>
      <c r="AF741" s="4" t="s">
        <v>2116</v>
      </c>
      <c r="AG741" s="4" t="s">
        <v>2117</v>
      </c>
      <c r="AH741" s="4" t="s">
        <v>289</v>
      </c>
      <c r="AI741" s="4" t="s">
        <v>51</v>
      </c>
      <c r="AJ741" s="4" t="s">
        <v>200</v>
      </c>
      <c r="AK741" s="4" t="s">
        <v>74</v>
      </c>
      <c r="AL741" s="4" t="s">
        <v>753</v>
      </c>
      <c r="AM741" s="4" t="s">
        <v>36</v>
      </c>
      <c r="AN741" s="4" t="s">
        <v>127</v>
      </c>
      <c r="AO741" s="4" t="s">
        <v>55</v>
      </c>
      <c r="AP741" s="4">
        <v>43573.0</v>
      </c>
      <c r="AQ741" s="4">
        <v>252000.0</v>
      </c>
      <c r="AR741" s="4">
        <v>614550.0</v>
      </c>
      <c r="AS741" s="4">
        <v>362550.0</v>
      </c>
      <c r="AT741" s="4">
        <v>49.0</v>
      </c>
      <c r="AU741" s="4">
        <v>3.011295E7</v>
      </c>
      <c r="AV741" s="4">
        <v>0.1</v>
      </c>
      <c r="AW741" s="4">
        <v>3011295.0</v>
      </c>
      <c r="AX741" s="4">
        <v>2.7101655E7</v>
      </c>
      <c r="AY741" s="4">
        <v>1.2348E7</v>
      </c>
      <c r="AZ741" s="4">
        <v>1.4753655E7</v>
      </c>
    </row>
    <row r="742" ht="15.75" customHeight="1">
      <c r="A742" s="3" t="s">
        <v>2291</v>
      </c>
      <c r="B742" s="5">
        <v>43569.0</v>
      </c>
      <c r="C742" s="6">
        <f t="shared" si="1"/>
        <v>2019</v>
      </c>
      <c r="D742" s="7" t="s">
        <v>1050</v>
      </c>
      <c r="E742" s="7" t="s">
        <v>1051</v>
      </c>
      <c r="F742" s="7" t="s">
        <v>289</v>
      </c>
      <c r="G742" s="5" t="s">
        <v>32</v>
      </c>
      <c r="H742" s="7" t="s">
        <v>98</v>
      </c>
      <c r="I742" s="7" t="s">
        <v>34</v>
      </c>
      <c r="J742" s="7" t="s">
        <v>739</v>
      </c>
      <c r="K742" s="7" t="s">
        <v>36</v>
      </c>
      <c r="L742" s="7" t="s">
        <v>37</v>
      </c>
      <c r="M742" s="7" t="s">
        <v>38</v>
      </c>
      <c r="N742" s="5">
        <v>43570.0</v>
      </c>
      <c r="O742" s="8">
        <v>67950.0</v>
      </c>
      <c r="P742" s="8">
        <v>109500.0</v>
      </c>
      <c r="Q742" s="8">
        <f t="shared" si="2"/>
        <v>41550</v>
      </c>
      <c r="R742" s="8">
        <v>38.0</v>
      </c>
      <c r="S742" s="8">
        <f t="shared" si="3"/>
        <v>4161000</v>
      </c>
      <c r="T742" s="9">
        <v>0.05</v>
      </c>
      <c r="U742" s="8">
        <f t="shared" si="4"/>
        <v>208050</v>
      </c>
      <c r="V742" s="8">
        <f t="shared" si="5"/>
        <v>3952950</v>
      </c>
      <c r="W742" s="10">
        <f t="shared" si="6"/>
        <v>2582100</v>
      </c>
      <c r="X742" s="10">
        <f t="shared" si="7"/>
        <v>1370850</v>
      </c>
      <c r="Y742" s="10"/>
      <c r="Z742" s="10"/>
      <c r="AA742" s="10"/>
      <c r="AB742" s="4" t="s">
        <v>2292</v>
      </c>
      <c r="AC742" s="4" t="s">
        <v>2291</v>
      </c>
      <c r="AD742" s="4">
        <v>43569.0</v>
      </c>
      <c r="AE742" s="4">
        <v>2019.0</v>
      </c>
      <c r="AF742" s="4" t="s">
        <v>1050</v>
      </c>
      <c r="AG742" s="4" t="s">
        <v>1051</v>
      </c>
      <c r="AH742" s="4" t="s">
        <v>289</v>
      </c>
      <c r="AI742" s="4" t="s">
        <v>32</v>
      </c>
      <c r="AJ742" s="4" t="s">
        <v>98</v>
      </c>
      <c r="AK742" s="4" t="s">
        <v>34</v>
      </c>
      <c r="AL742" s="4" t="s">
        <v>739</v>
      </c>
      <c r="AM742" s="4" t="s">
        <v>36</v>
      </c>
      <c r="AN742" s="4" t="s">
        <v>37</v>
      </c>
      <c r="AO742" s="4" t="s">
        <v>38</v>
      </c>
      <c r="AP742" s="4">
        <v>43570.0</v>
      </c>
      <c r="AQ742" s="4">
        <v>67950.0</v>
      </c>
      <c r="AR742" s="4">
        <v>109500.0</v>
      </c>
      <c r="AS742" s="4">
        <v>41550.0</v>
      </c>
      <c r="AT742" s="4">
        <v>38.0</v>
      </c>
      <c r="AU742" s="4">
        <v>4161000.0</v>
      </c>
      <c r="AV742" s="4">
        <v>0.05</v>
      </c>
      <c r="AW742" s="4">
        <v>208050.0</v>
      </c>
      <c r="AX742" s="4">
        <v>3952950.0</v>
      </c>
      <c r="AY742" s="4">
        <v>2582100.0</v>
      </c>
      <c r="AZ742" s="4">
        <v>1370850.0</v>
      </c>
    </row>
    <row r="743" ht="15.75" customHeight="1">
      <c r="A743" s="3" t="s">
        <v>2293</v>
      </c>
      <c r="B743" s="5">
        <v>43569.0</v>
      </c>
      <c r="C743" s="6">
        <f t="shared" si="1"/>
        <v>2019</v>
      </c>
      <c r="D743" s="7" t="s">
        <v>1050</v>
      </c>
      <c r="E743" s="7" t="s">
        <v>1051</v>
      </c>
      <c r="F743" s="7" t="s">
        <v>289</v>
      </c>
      <c r="G743" s="5" t="s">
        <v>32</v>
      </c>
      <c r="H743" s="7" t="s">
        <v>98</v>
      </c>
      <c r="I743" s="7" t="s">
        <v>104</v>
      </c>
      <c r="J743" s="7" t="s">
        <v>771</v>
      </c>
      <c r="K743" s="7" t="s">
        <v>36</v>
      </c>
      <c r="L743" s="7" t="s">
        <v>37</v>
      </c>
      <c r="M743" s="7" t="s">
        <v>38</v>
      </c>
      <c r="N743" s="5">
        <v>43570.0</v>
      </c>
      <c r="O743" s="8">
        <v>34350.0</v>
      </c>
      <c r="P743" s="8">
        <v>55350.0</v>
      </c>
      <c r="Q743" s="8">
        <f t="shared" si="2"/>
        <v>21000</v>
      </c>
      <c r="R743" s="8">
        <v>41.0</v>
      </c>
      <c r="S743" s="8">
        <f t="shared" si="3"/>
        <v>2269350</v>
      </c>
      <c r="T743" s="9">
        <v>0.01</v>
      </c>
      <c r="U743" s="8">
        <f t="shared" si="4"/>
        <v>22693.5</v>
      </c>
      <c r="V743" s="8">
        <f t="shared" si="5"/>
        <v>2246656.5</v>
      </c>
      <c r="W743" s="10">
        <f t="shared" si="6"/>
        <v>1408350</v>
      </c>
      <c r="X743" s="10">
        <f t="shared" si="7"/>
        <v>838306.5</v>
      </c>
      <c r="Y743" s="10"/>
      <c r="Z743" s="10"/>
      <c r="AA743" s="10"/>
      <c r="AB743" s="4" t="s">
        <v>2294</v>
      </c>
      <c r="AC743" s="4" t="s">
        <v>2293</v>
      </c>
      <c r="AD743" s="4">
        <v>43569.0</v>
      </c>
      <c r="AE743" s="4">
        <v>2019.0</v>
      </c>
      <c r="AF743" s="4" t="s">
        <v>1050</v>
      </c>
      <c r="AG743" s="4" t="s">
        <v>1051</v>
      </c>
      <c r="AH743" s="4" t="s">
        <v>289</v>
      </c>
      <c r="AI743" s="4" t="s">
        <v>32</v>
      </c>
      <c r="AJ743" s="4" t="s">
        <v>98</v>
      </c>
      <c r="AK743" s="4" t="s">
        <v>104</v>
      </c>
      <c r="AL743" s="4" t="s">
        <v>771</v>
      </c>
      <c r="AM743" s="4" t="s">
        <v>36</v>
      </c>
      <c r="AN743" s="4" t="s">
        <v>37</v>
      </c>
      <c r="AO743" s="4" t="s">
        <v>38</v>
      </c>
      <c r="AP743" s="4">
        <v>43570.0</v>
      </c>
      <c r="AQ743" s="4">
        <v>34350.0</v>
      </c>
      <c r="AR743" s="4">
        <v>55350.0</v>
      </c>
      <c r="AS743" s="4">
        <v>21000.0</v>
      </c>
      <c r="AT743" s="4">
        <v>41.0</v>
      </c>
      <c r="AU743" s="4">
        <v>2269350.0</v>
      </c>
      <c r="AV743" s="4">
        <v>0.01</v>
      </c>
      <c r="AW743" s="4">
        <v>22693.5</v>
      </c>
      <c r="AX743" s="4">
        <v>2246656.5</v>
      </c>
      <c r="AY743" s="4">
        <v>1408350.0</v>
      </c>
      <c r="AZ743" s="4">
        <v>838306.5</v>
      </c>
    </row>
    <row r="744" ht="15.75" customHeight="1">
      <c r="A744" s="3" t="s">
        <v>2293</v>
      </c>
      <c r="B744" s="5">
        <v>43569.0</v>
      </c>
      <c r="C744" s="6">
        <f t="shared" si="1"/>
        <v>2019</v>
      </c>
      <c r="D744" s="7" t="s">
        <v>1050</v>
      </c>
      <c r="E744" s="7" t="s">
        <v>1051</v>
      </c>
      <c r="F744" s="7" t="s">
        <v>289</v>
      </c>
      <c r="G744" s="5" t="s">
        <v>32</v>
      </c>
      <c r="H744" s="7" t="s">
        <v>98</v>
      </c>
      <c r="I744" s="7" t="s">
        <v>34</v>
      </c>
      <c r="J744" s="7" t="s">
        <v>452</v>
      </c>
      <c r="K744" s="7" t="s">
        <v>36</v>
      </c>
      <c r="L744" s="7" t="s">
        <v>45</v>
      </c>
      <c r="M744" s="7" t="s">
        <v>55</v>
      </c>
      <c r="N744" s="5">
        <v>43570.0</v>
      </c>
      <c r="O744" s="8">
        <v>65550.0</v>
      </c>
      <c r="P744" s="8">
        <v>136650.0</v>
      </c>
      <c r="Q744" s="8">
        <f t="shared" si="2"/>
        <v>71100</v>
      </c>
      <c r="R744" s="8">
        <v>21.0</v>
      </c>
      <c r="S744" s="8">
        <f t="shared" si="3"/>
        <v>2869650</v>
      </c>
      <c r="T744" s="9">
        <v>0.03</v>
      </c>
      <c r="U744" s="8">
        <f t="shared" si="4"/>
        <v>86089.5</v>
      </c>
      <c r="V744" s="8">
        <f t="shared" si="5"/>
        <v>2783560.5</v>
      </c>
      <c r="W744" s="10">
        <f t="shared" si="6"/>
        <v>1376550</v>
      </c>
      <c r="X744" s="10">
        <f t="shared" si="7"/>
        <v>1407010.5</v>
      </c>
      <c r="Y744" s="10"/>
      <c r="Z744" s="10"/>
      <c r="AA744" s="10"/>
      <c r="AB744" s="4" t="s">
        <v>2295</v>
      </c>
      <c r="AC744" s="4" t="s">
        <v>2293</v>
      </c>
      <c r="AD744" s="4">
        <v>43569.0</v>
      </c>
      <c r="AE744" s="4">
        <v>2019.0</v>
      </c>
      <c r="AF744" s="4" t="s">
        <v>1050</v>
      </c>
      <c r="AG744" s="4" t="s">
        <v>1051</v>
      </c>
      <c r="AH744" s="4" t="s">
        <v>289</v>
      </c>
      <c r="AI744" s="4" t="s">
        <v>32</v>
      </c>
      <c r="AJ744" s="4" t="s">
        <v>98</v>
      </c>
      <c r="AK744" s="4" t="s">
        <v>34</v>
      </c>
      <c r="AL744" s="4" t="s">
        <v>452</v>
      </c>
      <c r="AM744" s="4" t="s">
        <v>36</v>
      </c>
      <c r="AN744" s="4" t="s">
        <v>45</v>
      </c>
      <c r="AO744" s="4" t="s">
        <v>55</v>
      </c>
      <c r="AP744" s="4">
        <v>43570.0</v>
      </c>
      <c r="AQ744" s="4">
        <v>65550.0</v>
      </c>
      <c r="AR744" s="4">
        <v>136650.0</v>
      </c>
      <c r="AS744" s="4">
        <v>71100.0</v>
      </c>
      <c r="AT744" s="4">
        <v>21.0</v>
      </c>
      <c r="AU744" s="4">
        <v>2869650.0</v>
      </c>
      <c r="AV744" s="4">
        <v>0.03</v>
      </c>
      <c r="AW744" s="4">
        <v>86089.5</v>
      </c>
      <c r="AX744" s="4">
        <v>2783560.5</v>
      </c>
      <c r="AY744" s="4">
        <v>1376550.0</v>
      </c>
      <c r="AZ744" s="4">
        <v>1407010.5</v>
      </c>
    </row>
    <row r="745" ht="15.75" customHeight="1">
      <c r="A745" s="3" t="s">
        <v>2296</v>
      </c>
      <c r="B745" s="5">
        <v>43571.0</v>
      </c>
      <c r="C745" s="6">
        <f t="shared" si="1"/>
        <v>2019</v>
      </c>
      <c r="D745" s="7" t="s">
        <v>2297</v>
      </c>
      <c r="E745" s="7" t="s">
        <v>2298</v>
      </c>
      <c r="F745" s="7" t="s">
        <v>50</v>
      </c>
      <c r="G745" s="5" t="s">
        <v>51</v>
      </c>
      <c r="H745" s="7" t="s">
        <v>344</v>
      </c>
      <c r="I745" s="7" t="s">
        <v>92</v>
      </c>
      <c r="J745" s="7" t="s">
        <v>1261</v>
      </c>
      <c r="K745" s="7" t="s">
        <v>61</v>
      </c>
      <c r="L745" s="7" t="s">
        <v>37</v>
      </c>
      <c r="M745" s="7" t="s">
        <v>38</v>
      </c>
      <c r="N745" s="5">
        <v>43572.0</v>
      </c>
      <c r="O745" s="8">
        <v>220500.0</v>
      </c>
      <c r="P745" s="8">
        <v>449850.0</v>
      </c>
      <c r="Q745" s="8">
        <f t="shared" si="2"/>
        <v>229350</v>
      </c>
      <c r="R745" s="8">
        <v>14.0</v>
      </c>
      <c r="S745" s="8">
        <f t="shared" si="3"/>
        <v>6297900</v>
      </c>
      <c r="T745" s="9">
        <v>0.04</v>
      </c>
      <c r="U745" s="8">
        <f t="shared" si="4"/>
        <v>251916</v>
      </c>
      <c r="V745" s="8">
        <f t="shared" si="5"/>
        <v>6045984</v>
      </c>
      <c r="W745" s="10">
        <f t="shared" si="6"/>
        <v>3087000</v>
      </c>
      <c r="X745" s="10">
        <f t="shared" si="7"/>
        <v>2958984</v>
      </c>
      <c r="Y745" s="10"/>
      <c r="Z745" s="10"/>
      <c r="AA745" s="10"/>
      <c r="AB745" s="4" t="s">
        <v>2299</v>
      </c>
      <c r="AC745" s="4" t="s">
        <v>2296</v>
      </c>
      <c r="AD745" s="4">
        <v>43571.0</v>
      </c>
      <c r="AE745" s="4">
        <v>2019.0</v>
      </c>
      <c r="AF745" s="4" t="s">
        <v>2297</v>
      </c>
      <c r="AG745" s="4" t="s">
        <v>2298</v>
      </c>
      <c r="AH745" s="4" t="s">
        <v>50</v>
      </c>
      <c r="AI745" s="4" t="s">
        <v>51</v>
      </c>
      <c r="AJ745" s="4" t="s">
        <v>344</v>
      </c>
      <c r="AK745" s="4" t="s">
        <v>92</v>
      </c>
      <c r="AL745" s="4" t="s">
        <v>1261</v>
      </c>
      <c r="AM745" s="4" t="s">
        <v>61</v>
      </c>
      <c r="AN745" s="4" t="s">
        <v>37</v>
      </c>
      <c r="AO745" s="4" t="s">
        <v>38</v>
      </c>
      <c r="AP745" s="4">
        <v>43572.0</v>
      </c>
      <c r="AQ745" s="4">
        <v>220500.0</v>
      </c>
      <c r="AR745" s="4">
        <v>449850.0</v>
      </c>
      <c r="AS745" s="4">
        <v>229350.0</v>
      </c>
      <c r="AT745" s="4">
        <v>14.0</v>
      </c>
      <c r="AU745" s="4">
        <v>6297900.0</v>
      </c>
      <c r="AV745" s="4">
        <v>0.04</v>
      </c>
      <c r="AW745" s="4">
        <v>251916.0</v>
      </c>
      <c r="AX745" s="4">
        <v>6045984.0</v>
      </c>
      <c r="AY745" s="4">
        <v>3087000.0</v>
      </c>
      <c r="AZ745" s="4">
        <v>2958984.0</v>
      </c>
    </row>
    <row r="746" ht="15.75" customHeight="1">
      <c r="A746" s="3" t="s">
        <v>2300</v>
      </c>
      <c r="B746" s="5">
        <v>43578.0</v>
      </c>
      <c r="C746" s="6">
        <f t="shared" si="1"/>
        <v>2019</v>
      </c>
      <c r="D746" s="7" t="s">
        <v>1544</v>
      </c>
      <c r="E746" s="7" t="s">
        <v>757</v>
      </c>
      <c r="F746" s="7" t="s">
        <v>50</v>
      </c>
      <c r="G746" s="5" t="s">
        <v>32</v>
      </c>
      <c r="H746" s="7" t="s">
        <v>110</v>
      </c>
      <c r="I746" s="7" t="s">
        <v>34</v>
      </c>
      <c r="J746" s="7" t="s">
        <v>224</v>
      </c>
      <c r="K746" s="7" t="s">
        <v>36</v>
      </c>
      <c r="L746" s="7" t="s">
        <v>45</v>
      </c>
      <c r="M746" s="7" t="s">
        <v>38</v>
      </c>
      <c r="N746" s="5">
        <v>43580.0</v>
      </c>
      <c r="O746" s="8">
        <v>52050.0</v>
      </c>
      <c r="P746" s="8">
        <v>100200.0</v>
      </c>
      <c r="Q746" s="8">
        <f t="shared" si="2"/>
        <v>48150</v>
      </c>
      <c r="R746" s="8">
        <v>10.0</v>
      </c>
      <c r="S746" s="8">
        <f t="shared" si="3"/>
        <v>1002000</v>
      </c>
      <c r="T746" s="9">
        <v>0.08</v>
      </c>
      <c r="U746" s="8">
        <f t="shared" si="4"/>
        <v>80160</v>
      </c>
      <c r="V746" s="8">
        <f t="shared" si="5"/>
        <v>921840</v>
      </c>
      <c r="W746" s="10">
        <f t="shared" si="6"/>
        <v>520500</v>
      </c>
      <c r="X746" s="10">
        <f t="shared" si="7"/>
        <v>401340</v>
      </c>
      <c r="Y746" s="10"/>
      <c r="Z746" s="10"/>
      <c r="AA746" s="10"/>
      <c r="AB746" s="4" t="s">
        <v>2301</v>
      </c>
      <c r="AC746" s="4" t="s">
        <v>2300</v>
      </c>
      <c r="AD746" s="4">
        <v>43578.0</v>
      </c>
      <c r="AE746" s="4">
        <v>2019.0</v>
      </c>
      <c r="AF746" s="4" t="s">
        <v>1544</v>
      </c>
      <c r="AG746" s="4" t="s">
        <v>757</v>
      </c>
      <c r="AH746" s="4" t="s">
        <v>50</v>
      </c>
      <c r="AI746" s="4" t="s">
        <v>32</v>
      </c>
      <c r="AJ746" s="4" t="s">
        <v>110</v>
      </c>
      <c r="AK746" s="4" t="s">
        <v>34</v>
      </c>
      <c r="AL746" s="4" t="s">
        <v>224</v>
      </c>
      <c r="AM746" s="4" t="s">
        <v>36</v>
      </c>
      <c r="AN746" s="4" t="s">
        <v>45</v>
      </c>
      <c r="AO746" s="4" t="s">
        <v>38</v>
      </c>
      <c r="AP746" s="4">
        <v>43580.0</v>
      </c>
      <c r="AQ746" s="4">
        <v>52050.0</v>
      </c>
      <c r="AR746" s="4">
        <v>100200.0</v>
      </c>
      <c r="AS746" s="4">
        <v>48150.0</v>
      </c>
      <c r="AT746" s="4">
        <v>10.0</v>
      </c>
      <c r="AU746" s="4">
        <v>1002000.0</v>
      </c>
      <c r="AV746" s="4">
        <v>0.08</v>
      </c>
      <c r="AW746" s="4">
        <v>80160.0</v>
      </c>
      <c r="AX746" s="4">
        <v>921840.0</v>
      </c>
      <c r="AY746" s="4">
        <v>520500.0</v>
      </c>
      <c r="AZ746" s="4">
        <v>401340.0</v>
      </c>
    </row>
    <row r="747" ht="15.75" customHeight="1">
      <c r="A747" s="3" t="s">
        <v>2302</v>
      </c>
      <c r="B747" s="5">
        <v>43581.0</v>
      </c>
      <c r="C747" s="6">
        <f t="shared" si="1"/>
        <v>2019</v>
      </c>
      <c r="D747" s="7" t="s">
        <v>1611</v>
      </c>
      <c r="E747" s="7" t="s">
        <v>591</v>
      </c>
      <c r="F747" s="7" t="s">
        <v>50</v>
      </c>
      <c r="G747" s="5" t="s">
        <v>32</v>
      </c>
      <c r="H747" s="7" t="s">
        <v>189</v>
      </c>
      <c r="I747" s="7" t="s">
        <v>34</v>
      </c>
      <c r="J747" s="7" t="s">
        <v>282</v>
      </c>
      <c r="K747" s="7" t="s">
        <v>36</v>
      </c>
      <c r="L747" s="7" t="s">
        <v>37</v>
      </c>
      <c r="M747" s="7" t="s">
        <v>38</v>
      </c>
      <c r="N747" s="5">
        <v>43583.0</v>
      </c>
      <c r="O747" s="8">
        <v>204600.0</v>
      </c>
      <c r="P747" s="8">
        <v>314700.0</v>
      </c>
      <c r="Q747" s="8">
        <f t="shared" si="2"/>
        <v>110100</v>
      </c>
      <c r="R747" s="8">
        <v>34.0</v>
      </c>
      <c r="S747" s="8">
        <f t="shared" si="3"/>
        <v>10699800</v>
      </c>
      <c r="T747" s="9">
        <v>0.07</v>
      </c>
      <c r="U747" s="8">
        <f t="shared" si="4"/>
        <v>748986</v>
      </c>
      <c r="V747" s="8">
        <f t="shared" si="5"/>
        <v>9950814</v>
      </c>
      <c r="W747" s="10">
        <f t="shared" si="6"/>
        <v>6956400</v>
      </c>
      <c r="X747" s="10">
        <f t="shared" si="7"/>
        <v>2994414</v>
      </c>
      <c r="Y747" s="10"/>
      <c r="Z747" s="10"/>
      <c r="AA747" s="10"/>
      <c r="AB747" s="4" t="s">
        <v>2303</v>
      </c>
      <c r="AC747" s="4" t="s">
        <v>2302</v>
      </c>
      <c r="AD747" s="4">
        <v>43581.0</v>
      </c>
      <c r="AE747" s="4">
        <v>2019.0</v>
      </c>
      <c r="AF747" s="4" t="s">
        <v>1611</v>
      </c>
      <c r="AG747" s="4" t="s">
        <v>591</v>
      </c>
      <c r="AH747" s="4" t="s">
        <v>50</v>
      </c>
      <c r="AI747" s="4" t="s">
        <v>32</v>
      </c>
      <c r="AJ747" s="4" t="s">
        <v>189</v>
      </c>
      <c r="AK747" s="4" t="s">
        <v>34</v>
      </c>
      <c r="AL747" s="4" t="s">
        <v>282</v>
      </c>
      <c r="AM747" s="4" t="s">
        <v>36</v>
      </c>
      <c r="AN747" s="4" t="s">
        <v>37</v>
      </c>
      <c r="AO747" s="4" t="s">
        <v>38</v>
      </c>
      <c r="AP747" s="4">
        <v>43583.0</v>
      </c>
      <c r="AQ747" s="4">
        <v>204600.0</v>
      </c>
      <c r="AR747" s="4">
        <v>314700.0</v>
      </c>
      <c r="AS747" s="4">
        <v>110100.0</v>
      </c>
      <c r="AT747" s="4">
        <v>34.0</v>
      </c>
      <c r="AU747" s="4">
        <v>1.06998E7</v>
      </c>
      <c r="AV747" s="4">
        <v>0.07</v>
      </c>
      <c r="AW747" s="4">
        <v>748986.0</v>
      </c>
      <c r="AX747" s="4">
        <v>9950814.0</v>
      </c>
      <c r="AY747" s="4">
        <v>6956400.0</v>
      </c>
      <c r="AZ747" s="4">
        <v>2994414.0</v>
      </c>
    </row>
    <row r="748" ht="15.75" customHeight="1">
      <c r="A748" s="2" t="s">
        <v>2304</v>
      </c>
      <c r="B748" s="5">
        <v>43586.0</v>
      </c>
      <c r="C748" s="6">
        <f t="shared" si="1"/>
        <v>2019</v>
      </c>
      <c r="D748" s="7" t="s">
        <v>123</v>
      </c>
      <c r="E748" s="7" t="s">
        <v>124</v>
      </c>
      <c r="F748" s="7" t="s">
        <v>50</v>
      </c>
      <c r="G748" s="5" t="s">
        <v>32</v>
      </c>
      <c r="H748" s="7" t="s">
        <v>125</v>
      </c>
      <c r="I748" s="7" t="s">
        <v>34</v>
      </c>
      <c r="J748" s="7" t="s">
        <v>229</v>
      </c>
      <c r="K748" s="7" t="s">
        <v>61</v>
      </c>
      <c r="L748" s="7" t="s">
        <v>127</v>
      </c>
      <c r="M748" s="7" t="s">
        <v>38</v>
      </c>
      <c r="N748" s="5">
        <v>43587.0</v>
      </c>
      <c r="O748" s="8">
        <v>28050.0</v>
      </c>
      <c r="P748" s="8">
        <v>121799.99999999999</v>
      </c>
      <c r="Q748" s="8">
        <f t="shared" si="2"/>
        <v>93750</v>
      </c>
      <c r="R748" s="8">
        <v>47.0</v>
      </c>
      <c r="S748" s="8">
        <f t="shared" si="3"/>
        <v>5724600</v>
      </c>
      <c r="T748" s="9">
        <v>0.07</v>
      </c>
      <c r="U748" s="8">
        <f t="shared" si="4"/>
        <v>400722</v>
      </c>
      <c r="V748" s="8">
        <f t="shared" si="5"/>
        <v>5323878</v>
      </c>
      <c r="W748" s="10">
        <f t="shared" si="6"/>
        <v>1318350</v>
      </c>
      <c r="X748" s="10">
        <f t="shared" si="7"/>
        <v>4005528</v>
      </c>
      <c r="Y748" s="10"/>
      <c r="Z748" s="10"/>
      <c r="AA748" s="10"/>
      <c r="AB748" s="4" t="s">
        <v>2305</v>
      </c>
      <c r="AC748" s="4" t="s">
        <v>2304</v>
      </c>
      <c r="AD748" s="4">
        <v>43586.0</v>
      </c>
      <c r="AE748" s="4">
        <v>2019.0</v>
      </c>
      <c r="AF748" s="4" t="s">
        <v>123</v>
      </c>
      <c r="AG748" s="4" t="s">
        <v>124</v>
      </c>
      <c r="AH748" s="4" t="s">
        <v>50</v>
      </c>
      <c r="AI748" s="4" t="s">
        <v>32</v>
      </c>
      <c r="AJ748" s="4" t="s">
        <v>125</v>
      </c>
      <c r="AK748" s="4" t="s">
        <v>34</v>
      </c>
      <c r="AL748" s="4" t="s">
        <v>229</v>
      </c>
      <c r="AM748" s="4" t="s">
        <v>61</v>
      </c>
      <c r="AN748" s="4" t="s">
        <v>127</v>
      </c>
      <c r="AO748" s="4" t="s">
        <v>38</v>
      </c>
      <c r="AP748" s="4">
        <v>43587.0</v>
      </c>
      <c r="AQ748" s="4">
        <v>28050.0</v>
      </c>
      <c r="AR748" s="4">
        <v>121800.0</v>
      </c>
      <c r="AS748" s="4">
        <v>93750.0</v>
      </c>
      <c r="AT748" s="4">
        <v>47.0</v>
      </c>
      <c r="AU748" s="4">
        <v>5724600.0</v>
      </c>
      <c r="AV748" s="4">
        <v>0.07</v>
      </c>
      <c r="AW748" s="4">
        <v>400722.0</v>
      </c>
      <c r="AX748" s="4">
        <v>5323878.0</v>
      </c>
      <c r="AY748" s="4">
        <v>1318350.0</v>
      </c>
      <c r="AZ748" s="4">
        <v>4005528.0</v>
      </c>
    </row>
    <row r="749" ht="15.75" customHeight="1">
      <c r="A749" s="3" t="s">
        <v>2306</v>
      </c>
      <c r="B749" s="5">
        <v>43586.0</v>
      </c>
      <c r="C749" s="6">
        <f t="shared" si="1"/>
        <v>2019</v>
      </c>
      <c r="D749" s="7" t="s">
        <v>2143</v>
      </c>
      <c r="E749" s="7" t="s">
        <v>642</v>
      </c>
      <c r="F749" s="7" t="s">
        <v>50</v>
      </c>
      <c r="G749" s="5" t="s">
        <v>68</v>
      </c>
      <c r="H749" s="7" t="s">
        <v>69</v>
      </c>
      <c r="I749" s="7" t="s">
        <v>104</v>
      </c>
      <c r="J749" s="7" t="s">
        <v>229</v>
      </c>
      <c r="K749" s="7" t="s">
        <v>61</v>
      </c>
      <c r="L749" s="7" t="s">
        <v>127</v>
      </c>
      <c r="M749" s="7" t="s">
        <v>38</v>
      </c>
      <c r="N749" s="5">
        <v>43586.0</v>
      </c>
      <c r="O749" s="8">
        <v>28050.0</v>
      </c>
      <c r="P749" s="8">
        <v>121799.99999999999</v>
      </c>
      <c r="Q749" s="8">
        <f t="shared" si="2"/>
        <v>93750</v>
      </c>
      <c r="R749" s="8">
        <v>36.0</v>
      </c>
      <c r="S749" s="8">
        <f t="shared" si="3"/>
        <v>4384800</v>
      </c>
      <c r="T749" s="9">
        <v>0.1</v>
      </c>
      <c r="U749" s="8">
        <f t="shared" si="4"/>
        <v>438480</v>
      </c>
      <c r="V749" s="8">
        <f t="shared" si="5"/>
        <v>3946320</v>
      </c>
      <c r="W749" s="10">
        <f t="shared" si="6"/>
        <v>1009800</v>
      </c>
      <c r="X749" s="10">
        <f t="shared" si="7"/>
        <v>2936520</v>
      </c>
      <c r="Y749" s="10"/>
      <c r="Z749" s="10"/>
      <c r="AA749" s="10"/>
      <c r="AB749" s="4" t="s">
        <v>2307</v>
      </c>
      <c r="AC749" s="4" t="s">
        <v>2306</v>
      </c>
      <c r="AD749" s="4">
        <v>43586.0</v>
      </c>
      <c r="AE749" s="4">
        <v>2019.0</v>
      </c>
      <c r="AF749" s="4" t="s">
        <v>2143</v>
      </c>
      <c r="AG749" s="4" t="s">
        <v>642</v>
      </c>
      <c r="AH749" s="4" t="s">
        <v>50</v>
      </c>
      <c r="AI749" s="4" t="s">
        <v>68</v>
      </c>
      <c r="AJ749" s="4" t="s">
        <v>69</v>
      </c>
      <c r="AK749" s="4" t="s">
        <v>104</v>
      </c>
      <c r="AL749" s="4" t="s">
        <v>229</v>
      </c>
      <c r="AM749" s="4" t="s">
        <v>61</v>
      </c>
      <c r="AN749" s="4" t="s">
        <v>127</v>
      </c>
      <c r="AO749" s="4" t="s">
        <v>38</v>
      </c>
      <c r="AP749" s="4">
        <v>43586.0</v>
      </c>
      <c r="AQ749" s="4">
        <v>28050.0</v>
      </c>
      <c r="AR749" s="4">
        <v>121800.0</v>
      </c>
      <c r="AS749" s="4">
        <v>93750.0</v>
      </c>
      <c r="AT749" s="4">
        <v>36.0</v>
      </c>
      <c r="AU749" s="4">
        <v>4384800.0</v>
      </c>
      <c r="AV749" s="4">
        <v>0.1</v>
      </c>
      <c r="AW749" s="4">
        <v>438480.0</v>
      </c>
      <c r="AX749" s="4">
        <v>3946320.0</v>
      </c>
      <c r="AY749" s="4">
        <v>1009800.0</v>
      </c>
      <c r="AZ749" s="4">
        <v>2936520.0</v>
      </c>
    </row>
    <row r="750" ht="15.75" customHeight="1">
      <c r="A750" s="3" t="s">
        <v>2308</v>
      </c>
      <c r="B750" s="5">
        <v>43586.0</v>
      </c>
      <c r="C750" s="6">
        <f t="shared" si="1"/>
        <v>2019</v>
      </c>
      <c r="D750" s="7" t="s">
        <v>2167</v>
      </c>
      <c r="E750" s="7" t="s">
        <v>139</v>
      </c>
      <c r="F750" s="7" t="s">
        <v>50</v>
      </c>
      <c r="G750" s="5" t="s">
        <v>32</v>
      </c>
      <c r="H750" s="7" t="s">
        <v>140</v>
      </c>
      <c r="I750" s="7" t="s">
        <v>104</v>
      </c>
      <c r="J750" s="7" t="s">
        <v>208</v>
      </c>
      <c r="K750" s="7" t="s">
        <v>36</v>
      </c>
      <c r="L750" s="7" t="s">
        <v>127</v>
      </c>
      <c r="M750" s="7" t="s">
        <v>38</v>
      </c>
      <c r="N750" s="5">
        <v>43588.0</v>
      </c>
      <c r="O750" s="8">
        <v>71850.0</v>
      </c>
      <c r="P750" s="8">
        <v>179550.0</v>
      </c>
      <c r="Q750" s="8">
        <f t="shared" si="2"/>
        <v>107700</v>
      </c>
      <c r="R750" s="8">
        <v>28.0</v>
      </c>
      <c r="S750" s="8">
        <f t="shared" si="3"/>
        <v>5027400</v>
      </c>
      <c r="T750" s="9">
        <v>0.03</v>
      </c>
      <c r="U750" s="8">
        <f t="shared" si="4"/>
        <v>150822</v>
      </c>
      <c r="V750" s="8">
        <f t="shared" si="5"/>
        <v>4876578</v>
      </c>
      <c r="W750" s="10">
        <f t="shared" si="6"/>
        <v>2011800</v>
      </c>
      <c r="X750" s="10">
        <f t="shared" si="7"/>
        <v>2864778</v>
      </c>
      <c r="Y750" s="10"/>
      <c r="Z750" s="10"/>
      <c r="AA750" s="10"/>
      <c r="AB750" s="4" t="s">
        <v>2309</v>
      </c>
      <c r="AC750" s="4" t="s">
        <v>2308</v>
      </c>
      <c r="AD750" s="4">
        <v>43586.0</v>
      </c>
      <c r="AE750" s="4">
        <v>2019.0</v>
      </c>
      <c r="AF750" s="4" t="s">
        <v>2167</v>
      </c>
      <c r="AG750" s="4" t="s">
        <v>139</v>
      </c>
      <c r="AH750" s="4" t="s">
        <v>50</v>
      </c>
      <c r="AI750" s="4" t="s">
        <v>32</v>
      </c>
      <c r="AJ750" s="4" t="s">
        <v>140</v>
      </c>
      <c r="AK750" s="4" t="s">
        <v>104</v>
      </c>
      <c r="AL750" s="4" t="s">
        <v>208</v>
      </c>
      <c r="AM750" s="4" t="s">
        <v>36</v>
      </c>
      <c r="AN750" s="4" t="s">
        <v>127</v>
      </c>
      <c r="AO750" s="4" t="s">
        <v>38</v>
      </c>
      <c r="AP750" s="4">
        <v>43588.0</v>
      </c>
      <c r="AQ750" s="4">
        <v>71850.0</v>
      </c>
      <c r="AR750" s="4">
        <v>179550.0</v>
      </c>
      <c r="AS750" s="4">
        <v>107700.0</v>
      </c>
      <c r="AT750" s="4">
        <v>28.0</v>
      </c>
      <c r="AU750" s="4">
        <v>5027400.0</v>
      </c>
      <c r="AV750" s="4">
        <v>0.03</v>
      </c>
      <c r="AW750" s="4">
        <v>150822.0</v>
      </c>
      <c r="AX750" s="4">
        <v>4876578.0</v>
      </c>
      <c r="AY750" s="4">
        <v>2011800.0</v>
      </c>
      <c r="AZ750" s="4">
        <v>2864778.0</v>
      </c>
    </row>
    <row r="751" ht="15.75" customHeight="1">
      <c r="A751" s="3" t="s">
        <v>2310</v>
      </c>
      <c r="B751" s="5">
        <v>43587.0</v>
      </c>
      <c r="C751" s="6">
        <f t="shared" si="1"/>
        <v>2019</v>
      </c>
      <c r="D751" s="7" t="s">
        <v>1741</v>
      </c>
      <c r="E751" s="7" t="s">
        <v>312</v>
      </c>
      <c r="F751" s="7" t="s">
        <v>50</v>
      </c>
      <c r="G751" s="5" t="s">
        <v>32</v>
      </c>
      <c r="H751" s="7" t="s">
        <v>151</v>
      </c>
      <c r="I751" s="7" t="s">
        <v>92</v>
      </c>
      <c r="J751" s="7" t="s">
        <v>204</v>
      </c>
      <c r="K751" s="7" t="s">
        <v>61</v>
      </c>
      <c r="L751" s="7" t="s">
        <v>37</v>
      </c>
      <c r="M751" s="7" t="s">
        <v>38</v>
      </c>
      <c r="N751" s="5">
        <v>43589.0</v>
      </c>
      <c r="O751" s="8">
        <v>124650.00000000001</v>
      </c>
      <c r="P751" s="8">
        <v>239700.0</v>
      </c>
      <c r="Q751" s="8">
        <f t="shared" si="2"/>
        <v>115050</v>
      </c>
      <c r="R751" s="8">
        <v>4.0</v>
      </c>
      <c r="S751" s="8">
        <f t="shared" si="3"/>
        <v>958800</v>
      </c>
      <c r="T751" s="9">
        <v>0.09</v>
      </c>
      <c r="U751" s="8">
        <f t="shared" si="4"/>
        <v>86292</v>
      </c>
      <c r="V751" s="8">
        <f t="shared" si="5"/>
        <v>872508</v>
      </c>
      <c r="W751" s="10">
        <f t="shared" si="6"/>
        <v>498600</v>
      </c>
      <c r="X751" s="10">
        <f t="shared" si="7"/>
        <v>373908</v>
      </c>
      <c r="Y751" s="10"/>
      <c r="Z751" s="10"/>
      <c r="AA751" s="10"/>
      <c r="AB751" s="4" t="s">
        <v>2311</v>
      </c>
      <c r="AC751" s="4" t="s">
        <v>2310</v>
      </c>
      <c r="AD751" s="4">
        <v>43587.0</v>
      </c>
      <c r="AE751" s="4">
        <v>2019.0</v>
      </c>
      <c r="AF751" s="4" t="s">
        <v>1741</v>
      </c>
      <c r="AG751" s="4" t="s">
        <v>312</v>
      </c>
      <c r="AH751" s="4" t="s">
        <v>50</v>
      </c>
      <c r="AI751" s="4" t="s">
        <v>32</v>
      </c>
      <c r="AJ751" s="4" t="s">
        <v>151</v>
      </c>
      <c r="AK751" s="4" t="s">
        <v>92</v>
      </c>
      <c r="AL751" s="4" t="s">
        <v>204</v>
      </c>
      <c r="AM751" s="4" t="s">
        <v>61</v>
      </c>
      <c r="AN751" s="4" t="s">
        <v>37</v>
      </c>
      <c r="AO751" s="4" t="s">
        <v>38</v>
      </c>
      <c r="AP751" s="4">
        <v>43589.0</v>
      </c>
      <c r="AQ751" s="4">
        <v>124650.0</v>
      </c>
      <c r="AR751" s="4">
        <v>239700.0</v>
      </c>
      <c r="AS751" s="4">
        <v>115050.0</v>
      </c>
      <c r="AT751" s="4">
        <v>4.0</v>
      </c>
      <c r="AU751" s="4">
        <v>958800.0</v>
      </c>
      <c r="AV751" s="4">
        <v>0.09</v>
      </c>
      <c r="AW751" s="4">
        <v>86292.0</v>
      </c>
      <c r="AX751" s="4">
        <v>872508.0</v>
      </c>
      <c r="AY751" s="4">
        <v>498600.0</v>
      </c>
      <c r="AZ751" s="4">
        <v>373908.0</v>
      </c>
    </row>
    <row r="752" ht="15.75" customHeight="1">
      <c r="A752" s="3" t="s">
        <v>2312</v>
      </c>
      <c r="B752" s="5">
        <v>43588.0</v>
      </c>
      <c r="C752" s="6">
        <f t="shared" si="1"/>
        <v>2019</v>
      </c>
      <c r="D752" s="7" t="s">
        <v>729</v>
      </c>
      <c r="E752" s="7" t="s">
        <v>85</v>
      </c>
      <c r="F752" s="7" t="s">
        <v>50</v>
      </c>
      <c r="G752" s="5" t="s">
        <v>51</v>
      </c>
      <c r="H752" s="7" t="s">
        <v>80</v>
      </c>
      <c r="I752" s="7" t="s">
        <v>34</v>
      </c>
      <c r="J752" s="7" t="s">
        <v>502</v>
      </c>
      <c r="K752" s="7" t="s">
        <v>36</v>
      </c>
      <c r="L752" s="7" t="s">
        <v>37</v>
      </c>
      <c r="M752" s="7" t="s">
        <v>38</v>
      </c>
      <c r="N752" s="5">
        <v>43588.0</v>
      </c>
      <c r="O752" s="8">
        <v>66900.0</v>
      </c>
      <c r="P752" s="8">
        <v>163350.0</v>
      </c>
      <c r="Q752" s="8">
        <f t="shared" si="2"/>
        <v>96450</v>
      </c>
      <c r="R752" s="8">
        <v>25.0</v>
      </c>
      <c r="S752" s="8">
        <f t="shared" si="3"/>
        <v>4083750</v>
      </c>
      <c r="T752" s="9">
        <v>0.03</v>
      </c>
      <c r="U752" s="8">
        <f t="shared" si="4"/>
        <v>122512.5</v>
      </c>
      <c r="V752" s="8">
        <f t="shared" si="5"/>
        <v>3961237.5</v>
      </c>
      <c r="W752" s="10">
        <f t="shared" si="6"/>
        <v>1672500</v>
      </c>
      <c r="X752" s="10">
        <f t="shared" si="7"/>
        <v>2288737.5</v>
      </c>
      <c r="Y752" s="10"/>
      <c r="Z752" s="10"/>
      <c r="AA752" s="10"/>
      <c r="AB752" s="4" t="s">
        <v>2313</v>
      </c>
      <c r="AC752" s="4" t="s">
        <v>2312</v>
      </c>
      <c r="AD752" s="4">
        <v>43588.0</v>
      </c>
      <c r="AE752" s="4">
        <v>2019.0</v>
      </c>
      <c r="AF752" s="4" t="s">
        <v>729</v>
      </c>
      <c r="AG752" s="4" t="s">
        <v>85</v>
      </c>
      <c r="AH752" s="4" t="s">
        <v>50</v>
      </c>
      <c r="AI752" s="4" t="s">
        <v>51</v>
      </c>
      <c r="AJ752" s="4" t="s">
        <v>80</v>
      </c>
      <c r="AK752" s="4" t="s">
        <v>34</v>
      </c>
      <c r="AL752" s="4" t="s">
        <v>502</v>
      </c>
      <c r="AM752" s="4" t="s">
        <v>36</v>
      </c>
      <c r="AN752" s="4" t="s">
        <v>37</v>
      </c>
      <c r="AO752" s="4" t="s">
        <v>38</v>
      </c>
      <c r="AP752" s="4">
        <v>43588.0</v>
      </c>
      <c r="AQ752" s="4">
        <v>66900.0</v>
      </c>
      <c r="AR752" s="4">
        <v>163350.0</v>
      </c>
      <c r="AS752" s="4">
        <v>96450.0</v>
      </c>
      <c r="AT752" s="4">
        <v>25.0</v>
      </c>
      <c r="AU752" s="4">
        <v>4083750.0</v>
      </c>
      <c r="AV752" s="4">
        <v>0.03</v>
      </c>
      <c r="AW752" s="4">
        <v>122512.5</v>
      </c>
      <c r="AX752" s="4">
        <v>3961237.5</v>
      </c>
      <c r="AY752" s="4">
        <v>1672500.0</v>
      </c>
      <c r="AZ752" s="4">
        <v>2288737.5</v>
      </c>
    </row>
    <row r="753" ht="15.75" customHeight="1">
      <c r="A753" s="3" t="s">
        <v>2314</v>
      </c>
      <c r="B753" s="5">
        <v>43588.0</v>
      </c>
      <c r="C753" s="6">
        <f t="shared" si="1"/>
        <v>2019</v>
      </c>
      <c r="D753" s="7" t="s">
        <v>2315</v>
      </c>
      <c r="E753" s="7" t="s">
        <v>156</v>
      </c>
      <c r="F753" s="7" t="s">
        <v>50</v>
      </c>
      <c r="G753" s="5" t="s">
        <v>68</v>
      </c>
      <c r="H753" s="7" t="s">
        <v>110</v>
      </c>
      <c r="I753" s="7" t="s">
        <v>53</v>
      </c>
      <c r="J753" s="7" t="s">
        <v>165</v>
      </c>
      <c r="K753" s="7" t="s">
        <v>36</v>
      </c>
      <c r="L753" s="7" t="s">
        <v>127</v>
      </c>
      <c r="M753" s="7" t="s">
        <v>38</v>
      </c>
      <c r="N753" s="5">
        <v>43588.0</v>
      </c>
      <c r="O753" s="8">
        <v>14100.0</v>
      </c>
      <c r="P753" s="8">
        <v>31200.0</v>
      </c>
      <c r="Q753" s="8">
        <f t="shared" si="2"/>
        <v>17100</v>
      </c>
      <c r="R753" s="8">
        <v>33.0</v>
      </c>
      <c r="S753" s="8">
        <f t="shared" si="3"/>
        <v>1029600</v>
      </c>
      <c r="T753" s="9">
        <v>0.05</v>
      </c>
      <c r="U753" s="8">
        <f t="shared" si="4"/>
        <v>51480</v>
      </c>
      <c r="V753" s="8">
        <f t="shared" si="5"/>
        <v>978120</v>
      </c>
      <c r="W753" s="10">
        <f t="shared" si="6"/>
        <v>465300</v>
      </c>
      <c r="X753" s="10">
        <f t="shared" si="7"/>
        <v>512820</v>
      </c>
      <c r="Y753" s="10"/>
      <c r="Z753" s="10"/>
      <c r="AA753" s="10"/>
      <c r="AB753" s="4" t="s">
        <v>2316</v>
      </c>
      <c r="AC753" s="4" t="s">
        <v>2314</v>
      </c>
      <c r="AD753" s="4">
        <v>43588.0</v>
      </c>
      <c r="AE753" s="4">
        <v>2019.0</v>
      </c>
      <c r="AF753" s="4" t="s">
        <v>2315</v>
      </c>
      <c r="AG753" s="4" t="s">
        <v>156</v>
      </c>
      <c r="AH753" s="4" t="s">
        <v>50</v>
      </c>
      <c r="AI753" s="4" t="s">
        <v>68</v>
      </c>
      <c r="AJ753" s="4" t="s">
        <v>110</v>
      </c>
      <c r="AK753" s="4" t="s">
        <v>53</v>
      </c>
      <c r="AL753" s="4" t="s">
        <v>165</v>
      </c>
      <c r="AM753" s="4" t="s">
        <v>36</v>
      </c>
      <c r="AN753" s="4" t="s">
        <v>127</v>
      </c>
      <c r="AO753" s="4" t="s">
        <v>38</v>
      </c>
      <c r="AP753" s="4">
        <v>43588.0</v>
      </c>
      <c r="AQ753" s="4">
        <v>14100.0</v>
      </c>
      <c r="AR753" s="4">
        <v>31200.0</v>
      </c>
      <c r="AS753" s="4">
        <v>17100.0</v>
      </c>
      <c r="AT753" s="4">
        <v>33.0</v>
      </c>
      <c r="AU753" s="4">
        <v>1029600.0</v>
      </c>
      <c r="AV753" s="4">
        <v>0.05</v>
      </c>
      <c r="AW753" s="4">
        <v>51480.0</v>
      </c>
      <c r="AX753" s="4">
        <v>978120.0</v>
      </c>
      <c r="AY753" s="4">
        <v>465300.0</v>
      </c>
      <c r="AZ753" s="4">
        <v>512820.0</v>
      </c>
    </row>
    <row r="754" ht="15.75" customHeight="1">
      <c r="A754" s="3" t="s">
        <v>2317</v>
      </c>
      <c r="B754" s="5">
        <v>43588.0</v>
      </c>
      <c r="C754" s="6">
        <f t="shared" si="1"/>
        <v>2019</v>
      </c>
      <c r="D754" s="7" t="s">
        <v>2318</v>
      </c>
      <c r="E754" s="7" t="s">
        <v>1986</v>
      </c>
      <c r="F754" s="7" t="s">
        <v>50</v>
      </c>
      <c r="G754" s="5" t="s">
        <v>51</v>
      </c>
      <c r="H754" s="7" t="s">
        <v>140</v>
      </c>
      <c r="I754" s="7" t="s">
        <v>53</v>
      </c>
      <c r="J754" s="7" t="s">
        <v>308</v>
      </c>
      <c r="K754" s="7" t="s">
        <v>61</v>
      </c>
      <c r="L754" s="7" t="s">
        <v>37</v>
      </c>
      <c r="M754" s="7" t="s">
        <v>38</v>
      </c>
      <c r="N754" s="5">
        <v>43588.0</v>
      </c>
      <c r="O754" s="8">
        <v>2347500.0</v>
      </c>
      <c r="P754" s="8">
        <v>4514550.0</v>
      </c>
      <c r="Q754" s="8">
        <f t="shared" si="2"/>
        <v>2167050</v>
      </c>
      <c r="R754" s="8">
        <v>43.0</v>
      </c>
      <c r="S754" s="8">
        <f t="shared" si="3"/>
        <v>194125650</v>
      </c>
      <c r="T754" s="9">
        <v>0.08</v>
      </c>
      <c r="U754" s="8">
        <f t="shared" si="4"/>
        <v>15530052</v>
      </c>
      <c r="V754" s="8">
        <f t="shared" si="5"/>
        <v>178595598</v>
      </c>
      <c r="W754" s="10">
        <f t="shared" si="6"/>
        <v>100942500</v>
      </c>
      <c r="X754" s="10">
        <f t="shared" si="7"/>
        <v>77653098</v>
      </c>
      <c r="Y754" s="10"/>
      <c r="Z754" s="10"/>
      <c r="AA754" s="10"/>
      <c r="AB754" s="4" t="s">
        <v>2319</v>
      </c>
      <c r="AC754" s="4" t="s">
        <v>2317</v>
      </c>
      <c r="AD754" s="4">
        <v>43588.0</v>
      </c>
      <c r="AE754" s="4">
        <v>2019.0</v>
      </c>
      <c r="AF754" s="4" t="s">
        <v>2318</v>
      </c>
      <c r="AG754" s="4" t="s">
        <v>1986</v>
      </c>
      <c r="AH754" s="4" t="s">
        <v>50</v>
      </c>
      <c r="AI754" s="4" t="s">
        <v>51</v>
      </c>
      <c r="AJ754" s="4" t="s">
        <v>140</v>
      </c>
      <c r="AK754" s="4" t="s">
        <v>53</v>
      </c>
      <c r="AL754" s="4" t="s">
        <v>308</v>
      </c>
      <c r="AM754" s="4" t="s">
        <v>61</v>
      </c>
      <c r="AN754" s="4" t="s">
        <v>37</v>
      </c>
      <c r="AO754" s="4" t="s">
        <v>38</v>
      </c>
      <c r="AP754" s="4">
        <v>43588.0</v>
      </c>
      <c r="AQ754" s="4">
        <v>2347500.0</v>
      </c>
      <c r="AR754" s="4">
        <v>4514550.0</v>
      </c>
      <c r="AS754" s="4">
        <v>2167050.0</v>
      </c>
      <c r="AT754" s="4">
        <v>43.0</v>
      </c>
      <c r="AU754" s="4">
        <v>1.9412565E8</v>
      </c>
      <c r="AV754" s="4">
        <v>0.08</v>
      </c>
      <c r="AW754" s="4">
        <v>1.5530052E7</v>
      </c>
      <c r="AX754" s="4">
        <v>1.78595598E8</v>
      </c>
      <c r="AY754" s="4">
        <v>1.009425E8</v>
      </c>
      <c r="AZ754" s="4">
        <v>7.7653098E7</v>
      </c>
    </row>
    <row r="755" ht="15.75" customHeight="1">
      <c r="A755" s="3" t="s">
        <v>2320</v>
      </c>
      <c r="B755" s="5">
        <v>43593.0</v>
      </c>
      <c r="C755" s="6">
        <f t="shared" si="1"/>
        <v>2019</v>
      </c>
      <c r="D755" s="7" t="s">
        <v>2321</v>
      </c>
      <c r="E755" s="7" t="s">
        <v>795</v>
      </c>
      <c r="F755" s="7" t="s">
        <v>50</v>
      </c>
      <c r="G755" s="5" t="s">
        <v>32</v>
      </c>
      <c r="H755" s="7" t="s">
        <v>344</v>
      </c>
      <c r="I755" s="7" t="s">
        <v>53</v>
      </c>
      <c r="J755" s="7" t="s">
        <v>595</v>
      </c>
      <c r="K755" s="7" t="s">
        <v>36</v>
      </c>
      <c r="L755" s="7" t="s">
        <v>127</v>
      </c>
      <c r="M755" s="7" t="s">
        <v>38</v>
      </c>
      <c r="N755" s="5">
        <v>43594.0</v>
      </c>
      <c r="O755" s="8">
        <v>77850.0</v>
      </c>
      <c r="P755" s="8">
        <v>194700.0</v>
      </c>
      <c r="Q755" s="8">
        <f t="shared" si="2"/>
        <v>116850</v>
      </c>
      <c r="R755" s="8">
        <v>50.0</v>
      </c>
      <c r="S755" s="8">
        <f t="shared" si="3"/>
        <v>9735000</v>
      </c>
      <c r="T755" s="9">
        <v>0.08</v>
      </c>
      <c r="U755" s="8">
        <f t="shared" si="4"/>
        <v>778800</v>
      </c>
      <c r="V755" s="8">
        <f t="shared" si="5"/>
        <v>8956200</v>
      </c>
      <c r="W755" s="10">
        <f t="shared" si="6"/>
        <v>3892500</v>
      </c>
      <c r="X755" s="10">
        <f t="shared" si="7"/>
        <v>5063700</v>
      </c>
      <c r="Y755" s="10"/>
      <c r="Z755" s="10"/>
      <c r="AA755" s="10"/>
      <c r="AB755" s="4" t="s">
        <v>2322</v>
      </c>
      <c r="AC755" s="4" t="s">
        <v>2320</v>
      </c>
      <c r="AD755" s="4">
        <v>43593.0</v>
      </c>
      <c r="AE755" s="4">
        <v>2019.0</v>
      </c>
      <c r="AF755" s="4" t="s">
        <v>2321</v>
      </c>
      <c r="AG755" s="4" t="s">
        <v>795</v>
      </c>
      <c r="AH755" s="4" t="s">
        <v>50</v>
      </c>
      <c r="AI755" s="4" t="s">
        <v>32</v>
      </c>
      <c r="AJ755" s="4" t="s">
        <v>344</v>
      </c>
      <c r="AK755" s="4" t="s">
        <v>53</v>
      </c>
      <c r="AL755" s="4" t="s">
        <v>595</v>
      </c>
      <c r="AM755" s="4" t="s">
        <v>36</v>
      </c>
      <c r="AN755" s="4" t="s">
        <v>127</v>
      </c>
      <c r="AO755" s="4" t="s">
        <v>38</v>
      </c>
      <c r="AP755" s="4">
        <v>43594.0</v>
      </c>
      <c r="AQ755" s="4">
        <v>77850.0</v>
      </c>
      <c r="AR755" s="4">
        <v>194700.0</v>
      </c>
      <c r="AS755" s="4">
        <v>116850.0</v>
      </c>
      <c r="AT755" s="4">
        <v>50.0</v>
      </c>
      <c r="AU755" s="4">
        <v>9735000.0</v>
      </c>
      <c r="AV755" s="4">
        <v>0.08</v>
      </c>
      <c r="AW755" s="4">
        <v>778800.0</v>
      </c>
      <c r="AX755" s="4">
        <v>8956200.0</v>
      </c>
      <c r="AY755" s="4">
        <v>3892500.0</v>
      </c>
      <c r="AZ755" s="4">
        <v>5063700.0</v>
      </c>
    </row>
    <row r="756" ht="15.75" customHeight="1">
      <c r="A756" s="3" t="s">
        <v>2323</v>
      </c>
      <c r="B756" s="5">
        <v>43595.0</v>
      </c>
      <c r="C756" s="6">
        <f t="shared" si="1"/>
        <v>2019</v>
      </c>
      <c r="D756" s="7" t="s">
        <v>402</v>
      </c>
      <c r="E756" s="7" t="s">
        <v>403</v>
      </c>
      <c r="F756" s="7" t="s">
        <v>289</v>
      </c>
      <c r="G756" s="5" t="s">
        <v>51</v>
      </c>
      <c r="H756" s="7" t="s">
        <v>140</v>
      </c>
      <c r="I756" s="7" t="s">
        <v>34</v>
      </c>
      <c r="J756" s="7" t="s">
        <v>54</v>
      </c>
      <c r="K756" s="7" t="s">
        <v>36</v>
      </c>
      <c r="L756" s="7" t="s">
        <v>45</v>
      </c>
      <c r="M756" s="7" t="s">
        <v>55</v>
      </c>
      <c r="N756" s="5">
        <v>43597.0</v>
      </c>
      <c r="O756" s="8">
        <v>36150.0</v>
      </c>
      <c r="P756" s="8">
        <v>55650.0</v>
      </c>
      <c r="Q756" s="8">
        <f t="shared" si="2"/>
        <v>19500</v>
      </c>
      <c r="R756" s="8">
        <v>16.0</v>
      </c>
      <c r="S756" s="8">
        <f t="shared" si="3"/>
        <v>890400</v>
      </c>
      <c r="T756" s="9">
        <v>0.1</v>
      </c>
      <c r="U756" s="8">
        <f t="shared" si="4"/>
        <v>89040</v>
      </c>
      <c r="V756" s="8">
        <f t="shared" si="5"/>
        <v>801360</v>
      </c>
      <c r="W756" s="10">
        <f t="shared" si="6"/>
        <v>578400</v>
      </c>
      <c r="X756" s="10">
        <f t="shared" si="7"/>
        <v>222960</v>
      </c>
      <c r="Y756" s="10"/>
      <c r="Z756" s="10"/>
      <c r="AA756" s="10"/>
      <c r="AB756" s="4" t="s">
        <v>2324</v>
      </c>
      <c r="AC756" s="4" t="s">
        <v>2323</v>
      </c>
      <c r="AD756" s="4">
        <v>43595.0</v>
      </c>
      <c r="AE756" s="4">
        <v>2019.0</v>
      </c>
      <c r="AF756" s="4" t="s">
        <v>402</v>
      </c>
      <c r="AG756" s="4" t="s">
        <v>403</v>
      </c>
      <c r="AH756" s="4" t="s">
        <v>289</v>
      </c>
      <c r="AI756" s="4" t="s">
        <v>51</v>
      </c>
      <c r="AJ756" s="4" t="s">
        <v>140</v>
      </c>
      <c r="AK756" s="4" t="s">
        <v>34</v>
      </c>
      <c r="AL756" s="4" t="s">
        <v>54</v>
      </c>
      <c r="AM756" s="4" t="s">
        <v>36</v>
      </c>
      <c r="AN756" s="4" t="s">
        <v>45</v>
      </c>
      <c r="AO756" s="4" t="s">
        <v>55</v>
      </c>
      <c r="AP756" s="4">
        <v>43597.0</v>
      </c>
      <c r="AQ756" s="4">
        <v>36150.0</v>
      </c>
      <c r="AR756" s="4">
        <v>55650.0</v>
      </c>
      <c r="AS756" s="4">
        <v>19500.0</v>
      </c>
      <c r="AT756" s="4">
        <v>16.0</v>
      </c>
      <c r="AU756" s="4">
        <v>890400.0</v>
      </c>
      <c r="AV756" s="4">
        <v>0.1</v>
      </c>
      <c r="AW756" s="4">
        <v>89040.0</v>
      </c>
      <c r="AX756" s="4">
        <v>801360.0</v>
      </c>
      <c r="AY756" s="4">
        <v>578400.0</v>
      </c>
      <c r="AZ756" s="4">
        <v>222960.0</v>
      </c>
    </row>
    <row r="757" ht="15.75" customHeight="1">
      <c r="A757" s="3" t="s">
        <v>2325</v>
      </c>
      <c r="B757" s="5">
        <v>43597.0</v>
      </c>
      <c r="C757" s="6">
        <f t="shared" si="1"/>
        <v>2019</v>
      </c>
      <c r="D757" s="7" t="s">
        <v>2326</v>
      </c>
      <c r="E757" s="7" t="s">
        <v>550</v>
      </c>
      <c r="F757" s="7" t="s">
        <v>50</v>
      </c>
      <c r="G757" s="5" t="s">
        <v>32</v>
      </c>
      <c r="H757" s="7" t="s">
        <v>151</v>
      </c>
      <c r="I757" s="7" t="s">
        <v>104</v>
      </c>
      <c r="J757" s="7" t="s">
        <v>195</v>
      </c>
      <c r="K757" s="7" t="s">
        <v>61</v>
      </c>
      <c r="L757" s="7" t="s">
        <v>37</v>
      </c>
      <c r="M757" s="7" t="s">
        <v>38</v>
      </c>
      <c r="N757" s="5">
        <v>43598.0</v>
      </c>
      <c r="O757" s="8">
        <v>594600.0</v>
      </c>
      <c r="P757" s="8">
        <v>2287200.0</v>
      </c>
      <c r="Q757" s="8">
        <f t="shared" si="2"/>
        <v>1692600</v>
      </c>
      <c r="R757" s="8">
        <v>27.0</v>
      </c>
      <c r="S757" s="8">
        <f t="shared" si="3"/>
        <v>61754400</v>
      </c>
      <c r="T757" s="9">
        <v>0.1</v>
      </c>
      <c r="U757" s="8">
        <f t="shared" si="4"/>
        <v>6175440</v>
      </c>
      <c r="V757" s="8">
        <f t="shared" si="5"/>
        <v>55578960</v>
      </c>
      <c r="W757" s="10">
        <f t="shared" si="6"/>
        <v>16054200</v>
      </c>
      <c r="X757" s="10">
        <f t="shared" si="7"/>
        <v>39524760</v>
      </c>
      <c r="Y757" s="10"/>
      <c r="Z757" s="10"/>
      <c r="AA757" s="10"/>
      <c r="AB757" s="4" t="s">
        <v>2327</v>
      </c>
      <c r="AC757" s="4" t="s">
        <v>2325</v>
      </c>
      <c r="AD757" s="4">
        <v>43597.0</v>
      </c>
      <c r="AE757" s="4">
        <v>2019.0</v>
      </c>
      <c r="AF757" s="4" t="s">
        <v>2326</v>
      </c>
      <c r="AG757" s="4" t="s">
        <v>550</v>
      </c>
      <c r="AH757" s="4" t="s">
        <v>50</v>
      </c>
      <c r="AI757" s="4" t="s">
        <v>32</v>
      </c>
      <c r="AJ757" s="4" t="s">
        <v>151</v>
      </c>
      <c r="AK757" s="4" t="s">
        <v>104</v>
      </c>
      <c r="AL757" s="4" t="s">
        <v>195</v>
      </c>
      <c r="AM757" s="4" t="s">
        <v>61</v>
      </c>
      <c r="AN757" s="4" t="s">
        <v>37</v>
      </c>
      <c r="AO757" s="4" t="s">
        <v>38</v>
      </c>
      <c r="AP757" s="4">
        <v>43598.0</v>
      </c>
      <c r="AQ757" s="4">
        <v>594600.0</v>
      </c>
      <c r="AR757" s="4">
        <v>2287200.0</v>
      </c>
      <c r="AS757" s="4">
        <v>1692600.0</v>
      </c>
      <c r="AT757" s="4">
        <v>27.0</v>
      </c>
      <c r="AU757" s="4">
        <v>6.17544E7</v>
      </c>
      <c r="AV757" s="4">
        <v>0.1</v>
      </c>
      <c r="AW757" s="4">
        <v>6175440.0</v>
      </c>
      <c r="AX757" s="4">
        <v>5.557896E7</v>
      </c>
      <c r="AY757" s="4">
        <v>1.60542E7</v>
      </c>
      <c r="AZ757" s="4">
        <v>3.952476E7</v>
      </c>
    </row>
    <row r="758" ht="15.75" customHeight="1">
      <c r="A758" s="3" t="s">
        <v>2328</v>
      </c>
      <c r="B758" s="5">
        <v>43597.0</v>
      </c>
      <c r="C758" s="6">
        <f t="shared" si="1"/>
        <v>2019</v>
      </c>
      <c r="D758" s="7" t="s">
        <v>2329</v>
      </c>
      <c r="E758" s="7" t="s">
        <v>2330</v>
      </c>
      <c r="F758" s="7" t="s">
        <v>289</v>
      </c>
      <c r="G758" s="5" t="s">
        <v>32</v>
      </c>
      <c r="H758" s="7" t="s">
        <v>200</v>
      </c>
      <c r="I758" s="7" t="s">
        <v>53</v>
      </c>
      <c r="J758" s="7" t="s">
        <v>981</v>
      </c>
      <c r="K758" s="7" t="s">
        <v>36</v>
      </c>
      <c r="L758" s="7" t="s">
        <v>45</v>
      </c>
      <c r="M758" s="7" t="s">
        <v>38</v>
      </c>
      <c r="N758" s="5">
        <v>43599.0</v>
      </c>
      <c r="O758" s="8">
        <v>38850.0</v>
      </c>
      <c r="P758" s="8">
        <v>59700.0</v>
      </c>
      <c r="Q758" s="8">
        <f t="shared" si="2"/>
        <v>20850</v>
      </c>
      <c r="R758" s="8">
        <v>41.0</v>
      </c>
      <c r="S758" s="8">
        <f t="shared" si="3"/>
        <v>2447700</v>
      </c>
      <c r="T758" s="9">
        <v>0.1</v>
      </c>
      <c r="U758" s="8">
        <f t="shared" si="4"/>
        <v>244770</v>
      </c>
      <c r="V758" s="8">
        <f t="shared" si="5"/>
        <v>2202930</v>
      </c>
      <c r="W758" s="10">
        <f t="shared" si="6"/>
        <v>1592850</v>
      </c>
      <c r="X758" s="10">
        <f t="shared" si="7"/>
        <v>610080</v>
      </c>
      <c r="Y758" s="10"/>
      <c r="Z758" s="10"/>
      <c r="AA758" s="10"/>
      <c r="AB758" s="4" t="s">
        <v>2331</v>
      </c>
      <c r="AC758" s="4" t="s">
        <v>2328</v>
      </c>
      <c r="AD758" s="4">
        <v>43597.0</v>
      </c>
      <c r="AE758" s="4">
        <v>2019.0</v>
      </c>
      <c r="AF758" s="4" t="s">
        <v>2329</v>
      </c>
      <c r="AG758" s="4" t="s">
        <v>2330</v>
      </c>
      <c r="AH758" s="4" t="s">
        <v>289</v>
      </c>
      <c r="AI758" s="4" t="s">
        <v>32</v>
      </c>
      <c r="AJ758" s="4" t="s">
        <v>200</v>
      </c>
      <c r="AK758" s="4" t="s">
        <v>53</v>
      </c>
      <c r="AL758" s="4" t="s">
        <v>981</v>
      </c>
      <c r="AM758" s="4" t="s">
        <v>36</v>
      </c>
      <c r="AN758" s="4" t="s">
        <v>45</v>
      </c>
      <c r="AO758" s="4" t="s">
        <v>38</v>
      </c>
      <c r="AP758" s="4">
        <v>43599.0</v>
      </c>
      <c r="AQ758" s="4">
        <v>38850.0</v>
      </c>
      <c r="AR758" s="4">
        <v>59700.0</v>
      </c>
      <c r="AS758" s="4">
        <v>20850.0</v>
      </c>
      <c r="AT758" s="4">
        <v>41.0</v>
      </c>
      <c r="AU758" s="4">
        <v>2447700.0</v>
      </c>
      <c r="AV758" s="4">
        <v>0.1</v>
      </c>
      <c r="AW758" s="4">
        <v>244770.0</v>
      </c>
      <c r="AX758" s="4">
        <v>2202930.0</v>
      </c>
      <c r="AY758" s="4">
        <v>1592850.0</v>
      </c>
      <c r="AZ758" s="4">
        <v>610080.0</v>
      </c>
    </row>
    <row r="759" ht="15.75" customHeight="1">
      <c r="A759" s="3" t="s">
        <v>2332</v>
      </c>
      <c r="B759" s="5">
        <v>43598.0</v>
      </c>
      <c r="C759" s="6">
        <f t="shared" si="1"/>
        <v>2019</v>
      </c>
      <c r="D759" s="7" t="s">
        <v>1997</v>
      </c>
      <c r="E759" s="7" t="s">
        <v>939</v>
      </c>
      <c r="F759" s="7" t="s">
        <v>50</v>
      </c>
      <c r="G759" s="5" t="s">
        <v>32</v>
      </c>
      <c r="H759" s="7" t="s">
        <v>189</v>
      </c>
      <c r="I759" s="7" t="s">
        <v>92</v>
      </c>
      <c r="J759" s="7" t="s">
        <v>533</v>
      </c>
      <c r="K759" s="7" t="s">
        <v>36</v>
      </c>
      <c r="L759" s="7" t="s">
        <v>45</v>
      </c>
      <c r="M759" s="7" t="s">
        <v>38</v>
      </c>
      <c r="N759" s="5">
        <v>43600.0</v>
      </c>
      <c r="O759" s="8">
        <v>22950.0</v>
      </c>
      <c r="P759" s="8">
        <v>41700.0</v>
      </c>
      <c r="Q759" s="8">
        <f t="shared" si="2"/>
        <v>18750</v>
      </c>
      <c r="R759" s="8">
        <v>38.0</v>
      </c>
      <c r="S759" s="8">
        <f t="shared" si="3"/>
        <v>1584600</v>
      </c>
      <c r="T759" s="9">
        <v>0.0</v>
      </c>
      <c r="U759" s="8">
        <f t="shared" si="4"/>
        <v>0</v>
      </c>
      <c r="V759" s="8">
        <f t="shared" si="5"/>
        <v>1584600</v>
      </c>
      <c r="W759" s="10">
        <f t="shared" si="6"/>
        <v>872100</v>
      </c>
      <c r="X759" s="10">
        <f t="shared" si="7"/>
        <v>712500</v>
      </c>
      <c r="Y759" s="10"/>
      <c r="Z759" s="10"/>
      <c r="AA759" s="10"/>
      <c r="AB759" s="4" t="s">
        <v>2333</v>
      </c>
      <c r="AC759" s="4" t="s">
        <v>2332</v>
      </c>
      <c r="AD759" s="4">
        <v>43598.0</v>
      </c>
      <c r="AE759" s="4">
        <v>2019.0</v>
      </c>
      <c r="AF759" s="4" t="s">
        <v>1997</v>
      </c>
      <c r="AG759" s="4" t="s">
        <v>939</v>
      </c>
      <c r="AH759" s="4" t="s">
        <v>50</v>
      </c>
      <c r="AI759" s="4" t="s">
        <v>32</v>
      </c>
      <c r="AJ759" s="4" t="s">
        <v>189</v>
      </c>
      <c r="AK759" s="4" t="s">
        <v>92</v>
      </c>
      <c r="AL759" s="4" t="s">
        <v>533</v>
      </c>
      <c r="AM759" s="4" t="s">
        <v>36</v>
      </c>
      <c r="AN759" s="4" t="s">
        <v>45</v>
      </c>
      <c r="AO759" s="4" t="s">
        <v>38</v>
      </c>
      <c r="AP759" s="4">
        <v>43600.0</v>
      </c>
      <c r="AQ759" s="4">
        <v>22950.0</v>
      </c>
      <c r="AR759" s="4">
        <v>41700.0</v>
      </c>
      <c r="AS759" s="4">
        <v>18750.0</v>
      </c>
      <c r="AT759" s="4">
        <v>38.0</v>
      </c>
      <c r="AU759" s="4">
        <v>1584600.0</v>
      </c>
      <c r="AV759" s="4">
        <v>0.0</v>
      </c>
      <c r="AW759" s="4">
        <v>0.0</v>
      </c>
      <c r="AX759" s="4">
        <v>1584600.0</v>
      </c>
      <c r="AY759" s="4">
        <v>872100.0</v>
      </c>
      <c r="AZ759" s="4">
        <v>712500.0</v>
      </c>
    </row>
    <row r="760" ht="15.75" customHeight="1">
      <c r="A760" s="2" t="s">
        <v>2334</v>
      </c>
      <c r="B760" s="5">
        <v>43601.0</v>
      </c>
      <c r="C760" s="6">
        <f t="shared" si="1"/>
        <v>2019</v>
      </c>
      <c r="D760" s="7" t="s">
        <v>2335</v>
      </c>
      <c r="E760" s="7" t="s">
        <v>384</v>
      </c>
      <c r="F760" s="7" t="s">
        <v>31</v>
      </c>
      <c r="G760" s="5" t="s">
        <v>68</v>
      </c>
      <c r="H760" s="7" t="s">
        <v>43</v>
      </c>
      <c r="I760" s="7" t="s">
        <v>34</v>
      </c>
      <c r="J760" s="7" t="s">
        <v>1446</v>
      </c>
      <c r="K760" s="7" t="s">
        <v>36</v>
      </c>
      <c r="L760" s="7" t="s">
        <v>37</v>
      </c>
      <c r="M760" s="7" t="s">
        <v>38</v>
      </c>
      <c r="N760" s="5">
        <v>43602.0</v>
      </c>
      <c r="O760" s="8">
        <v>17850.0</v>
      </c>
      <c r="P760" s="8">
        <v>29700.0</v>
      </c>
      <c r="Q760" s="8">
        <f t="shared" si="2"/>
        <v>11850</v>
      </c>
      <c r="R760" s="8">
        <v>12.0</v>
      </c>
      <c r="S760" s="8">
        <f t="shared" si="3"/>
        <v>356400</v>
      </c>
      <c r="T760" s="9">
        <v>0.07</v>
      </c>
      <c r="U760" s="8">
        <f t="shared" si="4"/>
        <v>24948</v>
      </c>
      <c r="V760" s="8">
        <f t="shared" si="5"/>
        <v>331452</v>
      </c>
      <c r="W760" s="10">
        <f t="shared" si="6"/>
        <v>214200</v>
      </c>
      <c r="X760" s="10">
        <f t="shared" si="7"/>
        <v>117252</v>
      </c>
      <c r="Y760" s="10"/>
      <c r="Z760" s="10"/>
      <c r="AA760" s="10"/>
      <c r="AB760" s="4" t="s">
        <v>2336</v>
      </c>
      <c r="AC760" s="4" t="s">
        <v>2334</v>
      </c>
      <c r="AD760" s="4">
        <v>43601.0</v>
      </c>
      <c r="AE760" s="4">
        <v>2019.0</v>
      </c>
      <c r="AF760" s="4" t="s">
        <v>2335</v>
      </c>
      <c r="AG760" s="4" t="s">
        <v>384</v>
      </c>
      <c r="AH760" s="4" t="s">
        <v>31</v>
      </c>
      <c r="AI760" s="4" t="s">
        <v>68</v>
      </c>
      <c r="AJ760" s="4" t="s">
        <v>43</v>
      </c>
      <c r="AK760" s="4" t="s">
        <v>34</v>
      </c>
      <c r="AL760" s="4" t="s">
        <v>1446</v>
      </c>
      <c r="AM760" s="4" t="s">
        <v>36</v>
      </c>
      <c r="AN760" s="4" t="s">
        <v>37</v>
      </c>
      <c r="AO760" s="4" t="s">
        <v>38</v>
      </c>
      <c r="AP760" s="4">
        <v>43602.0</v>
      </c>
      <c r="AQ760" s="4">
        <v>17850.0</v>
      </c>
      <c r="AR760" s="4">
        <v>29700.0</v>
      </c>
      <c r="AS760" s="4">
        <v>11850.0</v>
      </c>
      <c r="AT760" s="4">
        <v>12.0</v>
      </c>
      <c r="AU760" s="4">
        <v>356400.0</v>
      </c>
      <c r="AV760" s="4">
        <v>0.07</v>
      </c>
      <c r="AW760" s="4">
        <v>24948.0</v>
      </c>
      <c r="AX760" s="4">
        <v>331452.0</v>
      </c>
      <c r="AY760" s="4">
        <v>214200.0</v>
      </c>
      <c r="AZ760" s="4">
        <v>117252.0</v>
      </c>
    </row>
    <row r="761" ht="15.75" customHeight="1">
      <c r="A761" s="2" t="s">
        <v>2337</v>
      </c>
      <c r="B761" s="5">
        <v>43602.0</v>
      </c>
      <c r="C761" s="6">
        <f t="shared" si="1"/>
        <v>2019</v>
      </c>
      <c r="D761" s="7" t="s">
        <v>2338</v>
      </c>
      <c r="E761" s="7" t="s">
        <v>726</v>
      </c>
      <c r="F761" s="7" t="s">
        <v>50</v>
      </c>
      <c r="G761" s="5" t="s">
        <v>51</v>
      </c>
      <c r="H761" s="7" t="s">
        <v>52</v>
      </c>
      <c r="I761" s="7" t="s">
        <v>53</v>
      </c>
      <c r="J761" s="7" t="s">
        <v>484</v>
      </c>
      <c r="K761" s="7" t="s">
        <v>61</v>
      </c>
      <c r="L761" s="7" t="s">
        <v>62</v>
      </c>
      <c r="M761" s="7" t="s">
        <v>63</v>
      </c>
      <c r="N761" s="5">
        <v>43603.0</v>
      </c>
      <c r="O761" s="8">
        <v>4184850.0</v>
      </c>
      <c r="P761" s="8">
        <v>6749850.0</v>
      </c>
      <c r="Q761" s="8">
        <f t="shared" si="2"/>
        <v>2565000</v>
      </c>
      <c r="R761" s="8">
        <v>16.0</v>
      </c>
      <c r="S761" s="8">
        <f t="shared" si="3"/>
        <v>107997600</v>
      </c>
      <c r="T761" s="9">
        <v>0.09</v>
      </c>
      <c r="U761" s="8">
        <f t="shared" si="4"/>
        <v>9719784</v>
      </c>
      <c r="V761" s="8">
        <f t="shared" si="5"/>
        <v>98277816</v>
      </c>
      <c r="W761" s="10">
        <f t="shared" si="6"/>
        <v>66957600</v>
      </c>
      <c r="X761" s="10">
        <f t="shared" si="7"/>
        <v>31320216</v>
      </c>
      <c r="Y761" s="10"/>
      <c r="Z761" s="10"/>
      <c r="AA761" s="10"/>
      <c r="AB761" s="4" t="s">
        <v>2339</v>
      </c>
      <c r="AC761" s="4" t="s">
        <v>2337</v>
      </c>
      <c r="AD761" s="4">
        <v>43602.0</v>
      </c>
      <c r="AE761" s="4">
        <v>2019.0</v>
      </c>
      <c r="AF761" s="4" t="s">
        <v>2338</v>
      </c>
      <c r="AG761" s="4" t="s">
        <v>726</v>
      </c>
      <c r="AH761" s="4" t="s">
        <v>50</v>
      </c>
      <c r="AI761" s="4" t="s">
        <v>51</v>
      </c>
      <c r="AJ761" s="4" t="s">
        <v>52</v>
      </c>
      <c r="AK761" s="4" t="s">
        <v>53</v>
      </c>
      <c r="AL761" s="4" t="s">
        <v>484</v>
      </c>
      <c r="AM761" s="4" t="s">
        <v>61</v>
      </c>
      <c r="AN761" s="4" t="s">
        <v>62</v>
      </c>
      <c r="AO761" s="4" t="s">
        <v>63</v>
      </c>
      <c r="AP761" s="4">
        <v>43603.0</v>
      </c>
      <c r="AQ761" s="4">
        <v>4184850.0</v>
      </c>
      <c r="AR761" s="4">
        <v>6749850.0</v>
      </c>
      <c r="AS761" s="4">
        <v>2565000.0</v>
      </c>
      <c r="AT761" s="4">
        <v>16.0</v>
      </c>
      <c r="AU761" s="4">
        <v>1.079976E8</v>
      </c>
      <c r="AV761" s="4">
        <v>0.09</v>
      </c>
      <c r="AW761" s="4">
        <v>9719784.0</v>
      </c>
      <c r="AX761" s="4">
        <v>9.8277816E7</v>
      </c>
      <c r="AY761" s="4">
        <v>6.69576E7</v>
      </c>
      <c r="AZ761" s="4">
        <v>3.1320216E7</v>
      </c>
    </row>
    <row r="762" ht="15.75" customHeight="1">
      <c r="A762" s="3" t="s">
        <v>2340</v>
      </c>
      <c r="B762" s="5">
        <v>43603.0</v>
      </c>
      <c r="C762" s="6">
        <f t="shared" si="1"/>
        <v>2019</v>
      </c>
      <c r="D762" s="7" t="s">
        <v>626</v>
      </c>
      <c r="E762" s="7" t="s">
        <v>30</v>
      </c>
      <c r="F762" s="7" t="s">
        <v>31</v>
      </c>
      <c r="G762" s="5" t="s">
        <v>91</v>
      </c>
      <c r="H762" s="7" t="s">
        <v>33</v>
      </c>
      <c r="I762" s="7" t="s">
        <v>74</v>
      </c>
      <c r="J762" s="7" t="s">
        <v>2229</v>
      </c>
      <c r="K762" s="7" t="s">
        <v>36</v>
      </c>
      <c r="L762" s="7" t="s">
        <v>45</v>
      </c>
      <c r="M762" s="7" t="s">
        <v>38</v>
      </c>
      <c r="N762" s="5">
        <v>43605.0</v>
      </c>
      <c r="O762" s="8">
        <v>59250.0</v>
      </c>
      <c r="P762" s="8">
        <v>91200.0</v>
      </c>
      <c r="Q762" s="8">
        <f t="shared" si="2"/>
        <v>31950</v>
      </c>
      <c r="R762" s="8">
        <v>42.0</v>
      </c>
      <c r="S762" s="8">
        <f t="shared" si="3"/>
        <v>3830400</v>
      </c>
      <c r="T762" s="9">
        <v>0.09</v>
      </c>
      <c r="U762" s="8">
        <f t="shared" si="4"/>
        <v>344736</v>
      </c>
      <c r="V762" s="8">
        <f t="shared" si="5"/>
        <v>3485664</v>
      </c>
      <c r="W762" s="10">
        <f t="shared" si="6"/>
        <v>2488500</v>
      </c>
      <c r="X762" s="10">
        <f t="shared" si="7"/>
        <v>997164</v>
      </c>
      <c r="Y762" s="10"/>
      <c r="Z762" s="10"/>
      <c r="AA762" s="10"/>
      <c r="AB762" s="4" t="s">
        <v>2341</v>
      </c>
      <c r="AC762" s="4" t="s">
        <v>2340</v>
      </c>
      <c r="AD762" s="4">
        <v>43603.0</v>
      </c>
      <c r="AE762" s="4">
        <v>2019.0</v>
      </c>
      <c r="AF762" s="4" t="s">
        <v>626</v>
      </c>
      <c r="AG762" s="4" t="s">
        <v>30</v>
      </c>
      <c r="AH762" s="4" t="s">
        <v>31</v>
      </c>
      <c r="AI762" s="4" t="s">
        <v>91</v>
      </c>
      <c r="AJ762" s="4" t="s">
        <v>33</v>
      </c>
      <c r="AK762" s="4" t="s">
        <v>74</v>
      </c>
      <c r="AL762" s="4" t="s">
        <v>2229</v>
      </c>
      <c r="AM762" s="4" t="s">
        <v>36</v>
      </c>
      <c r="AN762" s="4" t="s">
        <v>45</v>
      </c>
      <c r="AO762" s="4" t="s">
        <v>38</v>
      </c>
      <c r="AP762" s="4">
        <v>43605.0</v>
      </c>
      <c r="AQ762" s="4">
        <v>59250.0</v>
      </c>
      <c r="AR762" s="4">
        <v>91200.0</v>
      </c>
      <c r="AS762" s="4">
        <v>31950.0</v>
      </c>
      <c r="AT762" s="4">
        <v>42.0</v>
      </c>
      <c r="AU762" s="4">
        <v>3830400.0</v>
      </c>
      <c r="AV762" s="4">
        <v>0.09</v>
      </c>
      <c r="AW762" s="4">
        <v>344736.0</v>
      </c>
      <c r="AX762" s="4">
        <v>3485664.0</v>
      </c>
      <c r="AY762" s="4">
        <v>2488500.0</v>
      </c>
      <c r="AZ762" s="4">
        <v>997164.0</v>
      </c>
    </row>
    <row r="763" ht="15.75" customHeight="1">
      <c r="A763" s="3" t="s">
        <v>2342</v>
      </c>
      <c r="B763" s="5">
        <v>43604.0</v>
      </c>
      <c r="C763" s="6">
        <f t="shared" si="1"/>
        <v>2019</v>
      </c>
      <c r="D763" s="7" t="s">
        <v>2343</v>
      </c>
      <c r="E763" s="7" t="s">
        <v>2344</v>
      </c>
      <c r="F763" s="7" t="s">
        <v>289</v>
      </c>
      <c r="G763" s="5" t="s">
        <v>91</v>
      </c>
      <c r="H763" s="7" t="s">
        <v>80</v>
      </c>
      <c r="I763" s="7" t="s">
        <v>92</v>
      </c>
      <c r="J763" s="7" t="s">
        <v>753</v>
      </c>
      <c r="K763" s="7" t="s">
        <v>36</v>
      </c>
      <c r="L763" s="7" t="s">
        <v>127</v>
      </c>
      <c r="M763" s="7" t="s">
        <v>55</v>
      </c>
      <c r="N763" s="5">
        <v>43605.0</v>
      </c>
      <c r="O763" s="8">
        <v>252000.0</v>
      </c>
      <c r="P763" s="8">
        <v>614550.0</v>
      </c>
      <c r="Q763" s="8">
        <f t="shared" si="2"/>
        <v>362550</v>
      </c>
      <c r="R763" s="8">
        <v>49.0</v>
      </c>
      <c r="S763" s="8">
        <f t="shared" si="3"/>
        <v>30112950</v>
      </c>
      <c r="T763" s="9">
        <v>0.04</v>
      </c>
      <c r="U763" s="8">
        <f t="shared" si="4"/>
        <v>1204518</v>
      </c>
      <c r="V763" s="8">
        <f t="shared" si="5"/>
        <v>28908432</v>
      </c>
      <c r="W763" s="10">
        <f t="shared" si="6"/>
        <v>12348000</v>
      </c>
      <c r="X763" s="10">
        <f t="shared" si="7"/>
        <v>16560432</v>
      </c>
      <c r="Y763" s="10"/>
      <c r="Z763" s="10"/>
      <c r="AA763" s="10"/>
      <c r="AB763" s="4" t="s">
        <v>2345</v>
      </c>
      <c r="AC763" s="4" t="s">
        <v>2342</v>
      </c>
      <c r="AD763" s="4">
        <v>43604.0</v>
      </c>
      <c r="AE763" s="4">
        <v>2019.0</v>
      </c>
      <c r="AF763" s="4" t="s">
        <v>2343</v>
      </c>
      <c r="AG763" s="4" t="s">
        <v>2344</v>
      </c>
      <c r="AH763" s="4" t="s">
        <v>289</v>
      </c>
      <c r="AI763" s="4" t="s">
        <v>91</v>
      </c>
      <c r="AJ763" s="4" t="s">
        <v>80</v>
      </c>
      <c r="AK763" s="4" t="s">
        <v>92</v>
      </c>
      <c r="AL763" s="4" t="s">
        <v>753</v>
      </c>
      <c r="AM763" s="4" t="s">
        <v>36</v>
      </c>
      <c r="AN763" s="4" t="s">
        <v>127</v>
      </c>
      <c r="AO763" s="4" t="s">
        <v>55</v>
      </c>
      <c r="AP763" s="4">
        <v>43605.0</v>
      </c>
      <c r="AQ763" s="4">
        <v>252000.0</v>
      </c>
      <c r="AR763" s="4">
        <v>614550.0</v>
      </c>
      <c r="AS763" s="4">
        <v>362550.0</v>
      </c>
      <c r="AT763" s="4">
        <v>49.0</v>
      </c>
      <c r="AU763" s="4">
        <v>3.011295E7</v>
      </c>
      <c r="AV763" s="4">
        <v>0.04</v>
      </c>
      <c r="AW763" s="4">
        <v>1204518.0</v>
      </c>
      <c r="AX763" s="4">
        <v>2.8908432E7</v>
      </c>
      <c r="AY763" s="4">
        <v>1.2348E7</v>
      </c>
      <c r="AZ763" s="4">
        <v>1.6560432E7</v>
      </c>
    </row>
    <row r="764" ht="15.75" customHeight="1">
      <c r="A764" s="3" t="s">
        <v>2346</v>
      </c>
      <c r="B764" s="5">
        <v>43608.0</v>
      </c>
      <c r="C764" s="6">
        <f t="shared" si="1"/>
        <v>2019</v>
      </c>
      <c r="D764" s="7" t="s">
        <v>1551</v>
      </c>
      <c r="E764" s="7" t="s">
        <v>194</v>
      </c>
      <c r="F764" s="7" t="s">
        <v>31</v>
      </c>
      <c r="G764" s="5" t="s">
        <v>32</v>
      </c>
      <c r="H764" s="7" t="s">
        <v>33</v>
      </c>
      <c r="I764" s="7" t="s">
        <v>104</v>
      </c>
      <c r="J764" s="7" t="s">
        <v>259</v>
      </c>
      <c r="K764" s="7" t="s">
        <v>36</v>
      </c>
      <c r="L764" s="7" t="s">
        <v>45</v>
      </c>
      <c r="M764" s="7" t="s">
        <v>38</v>
      </c>
      <c r="N764" s="5">
        <v>43609.0</v>
      </c>
      <c r="O764" s="8">
        <v>323400.0</v>
      </c>
      <c r="P764" s="8">
        <v>548250.0</v>
      </c>
      <c r="Q764" s="8">
        <f t="shared" si="2"/>
        <v>224850</v>
      </c>
      <c r="R764" s="8">
        <v>6.0</v>
      </c>
      <c r="S764" s="8">
        <f t="shared" si="3"/>
        <v>3289500</v>
      </c>
      <c r="T764" s="9">
        <v>0.01</v>
      </c>
      <c r="U764" s="8">
        <f t="shared" si="4"/>
        <v>32895</v>
      </c>
      <c r="V764" s="8">
        <f t="shared" si="5"/>
        <v>3256605</v>
      </c>
      <c r="W764" s="10">
        <f t="shared" si="6"/>
        <v>1940400</v>
      </c>
      <c r="X764" s="10">
        <f t="shared" si="7"/>
        <v>1316205</v>
      </c>
      <c r="Y764" s="10"/>
      <c r="Z764" s="10"/>
      <c r="AA764" s="10"/>
      <c r="AB764" s="4" t="s">
        <v>2347</v>
      </c>
      <c r="AC764" s="4" t="s">
        <v>2346</v>
      </c>
      <c r="AD764" s="4">
        <v>43608.0</v>
      </c>
      <c r="AE764" s="4">
        <v>2019.0</v>
      </c>
      <c r="AF764" s="4" t="s">
        <v>1551</v>
      </c>
      <c r="AG764" s="4" t="s">
        <v>194</v>
      </c>
      <c r="AH764" s="4" t="s">
        <v>31</v>
      </c>
      <c r="AI764" s="4" t="s">
        <v>32</v>
      </c>
      <c r="AJ764" s="4" t="s">
        <v>33</v>
      </c>
      <c r="AK764" s="4" t="s">
        <v>104</v>
      </c>
      <c r="AL764" s="4" t="s">
        <v>259</v>
      </c>
      <c r="AM764" s="4" t="s">
        <v>36</v>
      </c>
      <c r="AN764" s="4" t="s">
        <v>45</v>
      </c>
      <c r="AO764" s="4" t="s">
        <v>38</v>
      </c>
      <c r="AP764" s="4">
        <v>43609.0</v>
      </c>
      <c r="AQ764" s="4">
        <v>323400.0</v>
      </c>
      <c r="AR764" s="4">
        <v>548250.0</v>
      </c>
      <c r="AS764" s="4">
        <v>224850.0</v>
      </c>
      <c r="AT764" s="4">
        <v>6.0</v>
      </c>
      <c r="AU764" s="4">
        <v>3289500.0</v>
      </c>
      <c r="AV764" s="4">
        <v>0.01</v>
      </c>
      <c r="AW764" s="4">
        <v>32895.0</v>
      </c>
      <c r="AX764" s="4">
        <v>3256605.0</v>
      </c>
      <c r="AY764" s="4">
        <v>1940400.0</v>
      </c>
      <c r="AZ764" s="4">
        <v>1316205.0</v>
      </c>
    </row>
    <row r="765" ht="15.75" customHeight="1">
      <c r="A765" s="3" t="s">
        <v>2348</v>
      </c>
      <c r="B765" s="5">
        <v>43609.0</v>
      </c>
      <c r="C765" s="6">
        <f t="shared" si="1"/>
        <v>2019</v>
      </c>
      <c r="D765" s="7" t="s">
        <v>275</v>
      </c>
      <c r="E765" s="7" t="s">
        <v>276</v>
      </c>
      <c r="F765" s="7" t="s">
        <v>50</v>
      </c>
      <c r="G765" s="5" t="s">
        <v>51</v>
      </c>
      <c r="H765" s="7" t="s">
        <v>110</v>
      </c>
      <c r="I765" s="7" t="s">
        <v>74</v>
      </c>
      <c r="J765" s="7" t="s">
        <v>981</v>
      </c>
      <c r="K765" s="7" t="s">
        <v>36</v>
      </c>
      <c r="L765" s="7" t="s">
        <v>45</v>
      </c>
      <c r="M765" s="7" t="s">
        <v>38</v>
      </c>
      <c r="N765" s="5">
        <v>43614.0</v>
      </c>
      <c r="O765" s="8">
        <v>38850.0</v>
      </c>
      <c r="P765" s="8">
        <v>59700.0</v>
      </c>
      <c r="Q765" s="8">
        <f t="shared" si="2"/>
        <v>20850</v>
      </c>
      <c r="R765" s="8">
        <v>50.0</v>
      </c>
      <c r="S765" s="8">
        <f t="shared" si="3"/>
        <v>2985000</v>
      </c>
      <c r="T765" s="9">
        <v>0.08</v>
      </c>
      <c r="U765" s="8">
        <f t="shared" si="4"/>
        <v>238800</v>
      </c>
      <c r="V765" s="8">
        <f t="shared" si="5"/>
        <v>2746200</v>
      </c>
      <c r="W765" s="10">
        <f t="shared" si="6"/>
        <v>1942500</v>
      </c>
      <c r="X765" s="10">
        <f t="shared" si="7"/>
        <v>803700</v>
      </c>
      <c r="Y765" s="10"/>
      <c r="Z765" s="10"/>
      <c r="AA765" s="10"/>
      <c r="AB765" s="4" t="s">
        <v>2349</v>
      </c>
      <c r="AC765" s="4" t="s">
        <v>2348</v>
      </c>
      <c r="AD765" s="4">
        <v>43609.0</v>
      </c>
      <c r="AE765" s="4">
        <v>2019.0</v>
      </c>
      <c r="AF765" s="4" t="s">
        <v>275</v>
      </c>
      <c r="AG765" s="4" t="s">
        <v>276</v>
      </c>
      <c r="AH765" s="4" t="s">
        <v>50</v>
      </c>
      <c r="AI765" s="4" t="s">
        <v>51</v>
      </c>
      <c r="AJ765" s="4" t="s">
        <v>110</v>
      </c>
      <c r="AK765" s="4" t="s">
        <v>74</v>
      </c>
      <c r="AL765" s="4" t="s">
        <v>981</v>
      </c>
      <c r="AM765" s="4" t="s">
        <v>36</v>
      </c>
      <c r="AN765" s="4" t="s">
        <v>45</v>
      </c>
      <c r="AO765" s="4" t="s">
        <v>38</v>
      </c>
      <c r="AP765" s="4">
        <v>43614.0</v>
      </c>
      <c r="AQ765" s="4">
        <v>38850.0</v>
      </c>
      <c r="AR765" s="4">
        <v>59700.0</v>
      </c>
      <c r="AS765" s="4">
        <v>20850.0</v>
      </c>
      <c r="AT765" s="4">
        <v>50.0</v>
      </c>
      <c r="AU765" s="4">
        <v>2985000.0</v>
      </c>
      <c r="AV765" s="4">
        <v>0.08</v>
      </c>
      <c r="AW765" s="4">
        <v>238800.0</v>
      </c>
      <c r="AX765" s="4">
        <v>2746200.0</v>
      </c>
      <c r="AY765" s="4">
        <v>1942500.0</v>
      </c>
      <c r="AZ765" s="4">
        <v>803700.0</v>
      </c>
    </row>
    <row r="766" ht="15.75" customHeight="1">
      <c r="A766" s="3" t="s">
        <v>2350</v>
      </c>
      <c r="B766" s="5">
        <v>43610.0</v>
      </c>
      <c r="C766" s="6">
        <f t="shared" si="1"/>
        <v>2019</v>
      </c>
      <c r="D766" s="7" t="s">
        <v>275</v>
      </c>
      <c r="E766" s="7" t="s">
        <v>276</v>
      </c>
      <c r="F766" s="7" t="s">
        <v>50</v>
      </c>
      <c r="G766" s="5" t="s">
        <v>51</v>
      </c>
      <c r="H766" s="7" t="s">
        <v>110</v>
      </c>
      <c r="I766" s="7" t="s">
        <v>104</v>
      </c>
      <c r="J766" s="7" t="s">
        <v>404</v>
      </c>
      <c r="K766" s="7" t="s">
        <v>36</v>
      </c>
      <c r="L766" s="7" t="s">
        <v>45</v>
      </c>
      <c r="M766" s="7" t="s">
        <v>38</v>
      </c>
      <c r="N766" s="5">
        <v>43611.0</v>
      </c>
      <c r="O766" s="8">
        <v>166650.0</v>
      </c>
      <c r="P766" s="8">
        <v>297600.0</v>
      </c>
      <c r="Q766" s="8">
        <f t="shared" si="2"/>
        <v>130950</v>
      </c>
      <c r="R766" s="8">
        <v>10.0</v>
      </c>
      <c r="S766" s="8">
        <f t="shared" si="3"/>
        <v>2976000</v>
      </c>
      <c r="T766" s="9">
        <v>0.05</v>
      </c>
      <c r="U766" s="8">
        <f t="shared" si="4"/>
        <v>148800</v>
      </c>
      <c r="V766" s="8">
        <f t="shared" si="5"/>
        <v>2827200</v>
      </c>
      <c r="W766" s="10">
        <f t="shared" si="6"/>
        <v>1666500</v>
      </c>
      <c r="X766" s="10">
        <f t="shared" si="7"/>
        <v>1160700</v>
      </c>
      <c r="Y766" s="10"/>
      <c r="Z766" s="10"/>
      <c r="AA766" s="10"/>
      <c r="AB766" s="4" t="s">
        <v>2351</v>
      </c>
      <c r="AC766" s="4" t="s">
        <v>2350</v>
      </c>
      <c r="AD766" s="4">
        <v>43610.0</v>
      </c>
      <c r="AE766" s="4">
        <v>2019.0</v>
      </c>
      <c r="AF766" s="4" t="s">
        <v>275</v>
      </c>
      <c r="AG766" s="4" t="s">
        <v>276</v>
      </c>
      <c r="AH766" s="4" t="s">
        <v>50</v>
      </c>
      <c r="AI766" s="4" t="s">
        <v>51</v>
      </c>
      <c r="AJ766" s="4" t="s">
        <v>110</v>
      </c>
      <c r="AK766" s="4" t="s">
        <v>104</v>
      </c>
      <c r="AL766" s="4" t="s">
        <v>404</v>
      </c>
      <c r="AM766" s="4" t="s">
        <v>36</v>
      </c>
      <c r="AN766" s="4" t="s">
        <v>45</v>
      </c>
      <c r="AO766" s="4" t="s">
        <v>38</v>
      </c>
      <c r="AP766" s="4">
        <v>43611.0</v>
      </c>
      <c r="AQ766" s="4">
        <v>166650.0</v>
      </c>
      <c r="AR766" s="4">
        <v>297600.0</v>
      </c>
      <c r="AS766" s="4">
        <v>130950.0</v>
      </c>
      <c r="AT766" s="4">
        <v>10.0</v>
      </c>
      <c r="AU766" s="4">
        <v>2976000.0</v>
      </c>
      <c r="AV766" s="4">
        <v>0.05</v>
      </c>
      <c r="AW766" s="4">
        <v>148800.0</v>
      </c>
      <c r="AX766" s="4">
        <v>2827200.0</v>
      </c>
      <c r="AY766" s="4">
        <v>1666500.0</v>
      </c>
      <c r="AZ766" s="4">
        <v>1160700.0</v>
      </c>
    </row>
    <row r="767" ht="15.75" customHeight="1">
      <c r="A767" s="3" t="s">
        <v>2352</v>
      </c>
      <c r="B767" s="5">
        <v>43611.0</v>
      </c>
      <c r="C767" s="6">
        <f t="shared" si="1"/>
        <v>2019</v>
      </c>
      <c r="D767" s="7" t="s">
        <v>1077</v>
      </c>
      <c r="E767" s="7" t="s">
        <v>693</v>
      </c>
      <c r="F767" s="7" t="s">
        <v>50</v>
      </c>
      <c r="G767" s="5" t="s">
        <v>68</v>
      </c>
      <c r="H767" s="7" t="s">
        <v>189</v>
      </c>
      <c r="I767" s="7" t="s">
        <v>104</v>
      </c>
      <c r="J767" s="7" t="s">
        <v>697</v>
      </c>
      <c r="K767" s="7" t="s">
        <v>61</v>
      </c>
      <c r="L767" s="7" t="s">
        <v>37</v>
      </c>
      <c r="M767" s="7" t="s">
        <v>38</v>
      </c>
      <c r="N767" s="5">
        <v>43613.0</v>
      </c>
      <c r="O767" s="8">
        <v>619200.0</v>
      </c>
      <c r="P767" s="8">
        <v>1439850.0</v>
      </c>
      <c r="Q767" s="8">
        <f t="shared" si="2"/>
        <v>820650</v>
      </c>
      <c r="R767" s="8">
        <v>14.0</v>
      </c>
      <c r="S767" s="8">
        <f t="shared" si="3"/>
        <v>20157900</v>
      </c>
      <c r="T767" s="9">
        <v>0.04</v>
      </c>
      <c r="U767" s="8">
        <f t="shared" si="4"/>
        <v>806316</v>
      </c>
      <c r="V767" s="8">
        <f t="shared" si="5"/>
        <v>19351584</v>
      </c>
      <c r="W767" s="10">
        <f t="shared" si="6"/>
        <v>8668800</v>
      </c>
      <c r="X767" s="10">
        <f t="shared" si="7"/>
        <v>10682784</v>
      </c>
      <c r="Y767" s="10"/>
      <c r="Z767" s="10"/>
      <c r="AA767" s="10"/>
      <c r="AB767" s="4" t="s">
        <v>2353</v>
      </c>
      <c r="AC767" s="4" t="s">
        <v>2352</v>
      </c>
      <c r="AD767" s="4">
        <v>43611.0</v>
      </c>
      <c r="AE767" s="4">
        <v>2019.0</v>
      </c>
      <c r="AF767" s="4" t="s">
        <v>1077</v>
      </c>
      <c r="AG767" s="4" t="s">
        <v>693</v>
      </c>
      <c r="AH767" s="4" t="s">
        <v>50</v>
      </c>
      <c r="AI767" s="4" t="s">
        <v>68</v>
      </c>
      <c r="AJ767" s="4" t="s">
        <v>189</v>
      </c>
      <c r="AK767" s="4" t="s">
        <v>104</v>
      </c>
      <c r="AL767" s="4" t="s">
        <v>697</v>
      </c>
      <c r="AM767" s="4" t="s">
        <v>61</v>
      </c>
      <c r="AN767" s="4" t="s">
        <v>37</v>
      </c>
      <c r="AO767" s="4" t="s">
        <v>38</v>
      </c>
      <c r="AP767" s="4">
        <v>43613.0</v>
      </c>
      <c r="AQ767" s="4">
        <v>619200.0</v>
      </c>
      <c r="AR767" s="4">
        <v>1439850.0</v>
      </c>
      <c r="AS767" s="4">
        <v>820650.0</v>
      </c>
      <c r="AT767" s="4">
        <v>14.0</v>
      </c>
      <c r="AU767" s="4">
        <v>2.01579E7</v>
      </c>
      <c r="AV767" s="4">
        <v>0.04</v>
      </c>
      <c r="AW767" s="4">
        <v>806316.0</v>
      </c>
      <c r="AX767" s="4">
        <v>1.9351584E7</v>
      </c>
      <c r="AY767" s="4">
        <v>8668800.0</v>
      </c>
      <c r="AZ767" s="4">
        <v>1.0682784E7</v>
      </c>
    </row>
    <row r="768" ht="15.75" customHeight="1">
      <c r="A768" s="3" t="s">
        <v>2354</v>
      </c>
      <c r="B768" s="5">
        <v>43611.0</v>
      </c>
      <c r="C768" s="6">
        <f t="shared" si="1"/>
        <v>2019</v>
      </c>
      <c r="D768" s="7" t="s">
        <v>2187</v>
      </c>
      <c r="E768" s="7" t="s">
        <v>642</v>
      </c>
      <c r="F768" s="7" t="s">
        <v>50</v>
      </c>
      <c r="G768" s="5" t="s">
        <v>32</v>
      </c>
      <c r="H768" s="7" t="s">
        <v>69</v>
      </c>
      <c r="I768" s="7" t="s">
        <v>74</v>
      </c>
      <c r="J768" s="7" t="s">
        <v>81</v>
      </c>
      <c r="K768" s="7" t="s">
        <v>36</v>
      </c>
      <c r="L768" s="7" t="s">
        <v>37</v>
      </c>
      <c r="M768" s="7" t="s">
        <v>38</v>
      </c>
      <c r="N768" s="5">
        <v>43620.0</v>
      </c>
      <c r="O768" s="8">
        <v>1490850.0</v>
      </c>
      <c r="P768" s="8">
        <v>2443950.0</v>
      </c>
      <c r="Q768" s="8">
        <f t="shared" si="2"/>
        <v>953100</v>
      </c>
      <c r="R768" s="8">
        <v>22.0</v>
      </c>
      <c r="S768" s="8">
        <f t="shared" si="3"/>
        <v>53766900</v>
      </c>
      <c r="T768" s="9">
        <v>0.07</v>
      </c>
      <c r="U768" s="8">
        <f t="shared" si="4"/>
        <v>3763683</v>
      </c>
      <c r="V768" s="8">
        <f t="shared" si="5"/>
        <v>50003217</v>
      </c>
      <c r="W768" s="10">
        <f t="shared" si="6"/>
        <v>32798700</v>
      </c>
      <c r="X768" s="10">
        <f t="shared" si="7"/>
        <v>17204517</v>
      </c>
      <c r="Y768" s="10"/>
      <c r="Z768" s="10"/>
      <c r="AA768" s="10"/>
      <c r="AB768" s="4" t="s">
        <v>2355</v>
      </c>
      <c r="AC768" s="4" t="s">
        <v>2354</v>
      </c>
      <c r="AD768" s="4">
        <v>43611.0</v>
      </c>
      <c r="AE768" s="4">
        <v>2019.0</v>
      </c>
      <c r="AF768" s="4" t="s">
        <v>2187</v>
      </c>
      <c r="AG768" s="4" t="s">
        <v>642</v>
      </c>
      <c r="AH768" s="4" t="s">
        <v>50</v>
      </c>
      <c r="AI768" s="4" t="s">
        <v>32</v>
      </c>
      <c r="AJ768" s="4" t="s">
        <v>69</v>
      </c>
      <c r="AK768" s="4" t="s">
        <v>74</v>
      </c>
      <c r="AL768" s="4" t="s">
        <v>81</v>
      </c>
      <c r="AM768" s="4" t="s">
        <v>36</v>
      </c>
      <c r="AN768" s="4" t="s">
        <v>37</v>
      </c>
      <c r="AO768" s="4" t="s">
        <v>38</v>
      </c>
      <c r="AP768" s="4">
        <v>43620.0</v>
      </c>
      <c r="AQ768" s="4">
        <v>1490850.0</v>
      </c>
      <c r="AR768" s="4">
        <v>2443950.0</v>
      </c>
      <c r="AS768" s="4">
        <v>953100.0</v>
      </c>
      <c r="AT768" s="4">
        <v>22.0</v>
      </c>
      <c r="AU768" s="4">
        <v>5.37669E7</v>
      </c>
      <c r="AV768" s="4">
        <v>0.07</v>
      </c>
      <c r="AW768" s="4">
        <v>3763683.0</v>
      </c>
      <c r="AX768" s="4">
        <v>5.0003217E7</v>
      </c>
      <c r="AY768" s="4">
        <v>3.27987E7</v>
      </c>
      <c r="AZ768" s="4">
        <v>1.7204517E7</v>
      </c>
    </row>
    <row r="769" ht="15.75" customHeight="1">
      <c r="A769" s="3" t="s">
        <v>2356</v>
      </c>
      <c r="B769" s="5">
        <v>43612.0</v>
      </c>
      <c r="C769" s="6">
        <f t="shared" si="1"/>
        <v>2019</v>
      </c>
      <c r="D769" s="7" t="s">
        <v>1249</v>
      </c>
      <c r="E769" s="7" t="s">
        <v>253</v>
      </c>
      <c r="F769" s="7" t="s">
        <v>31</v>
      </c>
      <c r="G769" s="5" t="s">
        <v>91</v>
      </c>
      <c r="H769" s="7" t="s">
        <v>43</v>
      </c>
      <c r="I769" s="7" t="s">
        <v>53</v>
      </c>
      <c r="J769" s="7" t="s">
        <v>776</v>
      </c>
      <c r="K769" s="7" t="s">
        <v>36</v>
      </c>
      <c r="L769" s="7" t="s">
        <v>45</v>
      </c>
      <c r="M769" s="7" t="s">
        <v>38</v>
      </c>
      <c r="N769" s="5">
        <v>43613.0</v>
      </c>
      <c r="O769" s="8">
        <v>78300.0</v>
      </c>
      <c r="P769" s="8">
        <v>147750.0</v>
      </c>
      <c r="Q769" s="8">
        <f t="shared" si="2"/>
        <v>69450</v>
      </c>
      <c r="R769" s="8">
        <v>48.0</v>
      </c>
      <c r="S769" s="8">
        <f t="shared" si="3"/>
        <v>7092000</v>
      </c>
      <c r="T769" s="9">
        <v>0.09</v>
      </c>
      <c r="U769" s="8">
        <f t="shared" si="4"/>
        <v>638280</v>
      </c>
      <c r="V769" s="8">
        <f t="shared" si="5"/>
        <v>6453720</v>
      </c>
      <c r="W769" s="10">
        <f t="shared" si="6"/>
        <v>3758400</v>
      </c>
      <c r="X769" s="10">
        <f t="shared" si="7"/>
        <v>2695320</v>
      </c>
      <c r="Y769" s="10"/>
      <c r="Z769" s="10"/>
      <c r="AA769" s="10"/>
      <c r="AB769" s="4" t="s">
        <v>2357</v>
      </c>
      <c r="AC769" s="4" t="s">
        <v>2356</v>
      </c>
      <c r="AD769" s="4">
        <v>43612.0</v>
      </c>
      <c r="AE769" s="4">
        <v>2019.0</v>
      </c>
      <c r="AF769" s="4" t="s">
        <v>1249</v>
      </c>
      <c r="AG769" s="4" t="s">
        <v>253</v>
      </c>
      <c r="AH769" s="4" t="s">
        <v>31</v>
      </c>
      <c r="AI769" s="4" t="s">
        <v>91</v>
      </c>
      <c r="AJ769" s="4" t="s">
        <v>43</v>
      </c>
      <c r="AK769" s="4" t="s">
        <v>53</v>
      </c>
      <c r="AL769" s="4" t="s">
        <v>776</v>
      </c>
      <c r="AM769" s="4" t="s">
        <v>36</v>
      </c>
      <c r="AN769" s="4" t="s">
        <v>45</v>
      </c>
      <c r="AO769" s="4" t="s">
        <v>38</v>
      </c>
      <c r="AP769" s="4">
        <v>43613.0</v>
      </c>
      <c r="AQ769" s="4">
        <v>78300.0</v>
      </c>
      <c r="AR769" s="4">
        <v>147750.0</v>
      </c>
      <c r="AS769" s="4">
        <v>69450.0</v>
      </c>
      <c r="AT769" s="4">
        <v>48.0</v>
      </c>
      <c r="AU769" s="4">
        <v>7092000.0</v>
      </c>
      <c r="AV769" s="4">
        <v>0.09</v>
      </c>
      <c r="AW769" s="4">
        <v>638280.0</v>
      </c>
      <c r="AX769" s="4">
        <v>6453720.0</v>
      </c>
      <c r="AY769" s="4">
        <v>3758400.0</v>
      </c>
      <c r="AZ769" s="4">
        <v>2695320.0</v>
      </c>
    </row>
    <row r="770" ht="15.75" customHeight="1">
      <c r="A770" s="3" t="s">
        <v>2358</v>
      </c>
      <c r="B770" s="5">
        <v>43612.0</v>
      </c>
      <c r="C770" s="6">
        <f t="shared" si="1"/>
        <v>2019</v>
      </c>
      <c r="D770" s="7" t="s">
        <v>1249</v>
      </c>
      <c r="E770" s="7" t="s">
        <v>253</v>
      </c>
      <c r="F770" s="7" t="s">
        <v>31</v>
      </c>
      <c r="G770" s="5" t="s">
        <v>91</v>
      </c>
      <c r="H770" s="7" t="s">
        <v>43</v>
      </c>
      <c r="I770" s="7" t="s">
        <v>53</v>
      </c>
      <c r="J770" s="7" t="s">
        <v>796</v>
      </c>
      <c r="K770" s="7" t="s">
        <v>36</v>
      </c>
      <c r="L770" s="7" t="s">
        <v>45</v>
      </c>
      <c r="M770" s="7" t="s">
        <v>38</v>
      </c>
      <c r="N770" s="5">
        <v>43613.0</v>
      </c>
      <c r="O770" s="8">
        <v>26400.0</v>
      </c>
      <c r="P770" s="8">
        <v>44100.0</v>
      </c>
      <c r="Q770" s="8">
        <f t="shared" si="2"/>
        <v>17700</v>
      </c>
      <c r="R770" s="8">
        <v>18.0</v>
      </c>
      <c r="S770" s="8">
        <f t="shared" si="3"/>
        <v>793800</v>
      </c>
      <c r="T770" s="9">
        <v>0.01</v>
      </c>
      <c r="U770" s="8">
        <f t="shared" si="4"/>
        <v>7938</v>
      </c>
      <c r="V770" s="8">
        <f t="shared" si="5"/>
        <v>785862</v>
      </c>
      <c r="W770" s="10">
        <f t="shared" si="6"/>
        <v>475200</v>
      </c>
      <c r="X770" s="10">
        <f t="shared" si="7"/>
        <v>310662</v>
      </c>
      <c r="Y770" s="10"/>
      <c r="Z770" s="10"/>
      <c r="AA770" s="10"/>
      <c r="AB770" s="4" t="s">
        <v>2359</v>
      </c>
      <c r="AC770" s="4" t="s">
        <v>2358</v>
      </c>
      <c r="AD770" s="4">
        <v>43612.0</v>
      </c>
      <c r="AE770" s="4">
        <v>2019.0</v>
      </c>
      <c r="AF770" s="4" t="s">
        <v>1249</v>
      </c>
      <c r="AG770" s="4" t="s">
        <v>253</v>
      </c>
      <c r="AH770" s="4" t="s">
        <v>31</v>
      </c>
      <c r="AI770" s="4" t="s">
        <v>91</v>
      </c>
      <c r="AJ770" s="4" t="s">
        <v>43</v>
      </c>
      <c r="AK770" s="4" t="s">
        <v>53</v>
      </c>
      <c r="AL770" s="4" t="s">
        <v>796</v>
      </c>
      <c r="AM770" s="4" t="s">
        <v>36</v>
      </c>
      <c r="AN770" s="4" t="s">
        <v>45</v>
      </c>
      <c r="AO770" s="4" t="s">
        <v>38</v>
      </c>
      <c r="AP770" s="4">
        <v>43613.0</v>
      </c>
      <c r="AQ770" s="4">
        <v>26400.0</v>
      </c>
      <c r="AR770" s="4">
        <v>44100.0</v>
      </c>
      <c r="AS770" s="4">
        <v>17700.0</v>
      </c>
      <c r="AT770" s="4">
        <v>18.0</v>
      </c>
      <c r="AU770" s="4">
        <v>793800.0</v>
      </c>
      <c r="AV770" s="4">
        <v>0.01</v>
      </c>
      <c r="AW770" s="4">
        <v>7938.0</v>
      </c>
      <c r="AX770" s="4">
        <v>785862.0</v>
      </c>
      <c r="AY770" s="4">
        <v>475200.0</v>
      </c>
      <c r="AZ770" s="4">
        <v>310662.0</v>
      </c>
    </row>
    <row r="771" ht="15.75" customHeight="1">
      <c r="A771" s="3" t="s">
        <v>2360</v>
      </c>
      <c r="B771" s="5">
        <v>43613.0</v>
      </c>
      <c r="C771" s="6">
        <f t="shared" si="1"/>
        <v>2019</v>
      </c>
      <c r="D771" s="7" t="s">
        <v>1393</v>
      </c>
      <c r="E771" s="7" t="s">
        <v>90</v>
      </c>
      <c r="F771" s="7" t="s">
        <v>50</v>
      </c>
      <c r="G771" s="5" t="s">
        <v>68</v>
      </c>
      <c r="H771" s="7" t="s">
        <v>52</v>
      </c>
      <c r="I771" s="7" t="s">
        <v>34</v>
      </c>
      <c r="J771" s="7" t="s">
        <v>277</v>
      </c>
      <c r="K771" s="7" t="s">
        <v>278</v>
      </c>
      <c r="L771" s="7" t="s">
        <v>127</v>
      </c>
      <c r="M771" s="7" t="s">
        <v>38</v>
      </c>
      <c r="N771" s="5">
        <v>43614.0</v>
      </c>
      <c r="O771" s="8">
        <v>82500.0</v>
      </c>
      <c r="P771" s="8">
        <v>183300.0</v>
      </c>
      <c r="Q771" s="8">
        <f t="shared" si="2"/>
        <v>100800</v>
      </c>
      <c r="R771" s="8">
        <v>10.0</v>
      </c>
      <c r="S771" s="8">
        <f t="shared" si="3"/>
        <v>1833000</v>
      </c>
      <c r="T771" s="9">
        <v>0.1</v>
      </c>
      <c r="U771" s="8">
        <f t="shared" si="4"/>
        <v>183300</v>
      </c>
      <c r="V771" s="8">
        <f t="shared" si="5"/>
        <v>1649700</v>
      </c>
      <c r="W771" s="10">
        <f t="shared" si="6"/>
        <v>825000</v>
      </c>
      <c r="X771" s="10">
        <f t="shared" si="7"/>
        <v>824700</v>
      </c>
      <c r="Y771" s="10"/>
      <c r="Z771" s="10"/>
      <c r="AA771" s="10"/>
      <c r="AB771" s="4" t="s">
        <v>2361</v>
      </c>
      <c r="AC771" s="4" t="s">
        <v>2360</v>
      </c>
      <c r="AD771" s="4">
        <v>43613.0</v>
      </c>
      <c r="AE771" s="4">
        <v>2019.0</v>
      </c>
      <c r="AF771" s="4" t="s">
        <v>1393</v>
      </c>
      <c r="AG771" s="4" t="s">
        <v>90</v>
      </c>
      <c r="AH771" s="4" t="s">
        <v>50</v>
      </c>
      <c r="AI771" s="4" t="s">
        <v>68</v>
      </c>
      <c r="AJ771" s="4" t="s">
        <v>52</v>
      </c>
      <c r="AK771" s="4" t="s">
        <v>34</v>
      </c>
      <c r="AL771" s="4" t="s">
        <v>277</v>
      </c>
      <c r="AM771" s="4" t="s">
        <v>278</v>
      </c>
      <c r="AN771" s="4" t="s">
        <v>127</v>
      </c>
      <c r="AO771" s="4" t="s">
        <v>38</v>
      </c>
      <c r="AP771" s="4">
        <v>43614.0</v>
      </c>
      <c r="AQ771" s="4">
        <v>82500.0</v>
      </c>
      <c r="AR771" s="4">
        <v>183300.0</v>
      </c>
      <c r="AS771" s="4">
        <v>100800.0</v>
      </c>
      <c r="AT771" s="4">
        <v>10.0</v>
      </c>
      <c r="AU771" s="4">
        <v>1833000.0</v>
      </c>
      <c r="AV771" s="4">
        <v>0.1</v>
      </c>
      <c r="AW771" s="4">
        <v>183300.0</v>
      </c>
      <c r="AX771" s="4">
        <v>1649700.0</v>
      </c>
      <c r="AY771" s="4">
        <v>825000.0</v>
      </c>
      <c r="AZ771" s="4">
        <v>824700.0</v>
      </c>
    </row>
    <row r="772" ht="15.75" customHeight="1">
      <c r="A772" s="3" t="s">
        <v>2362</v>
      </c>
      <c r="B772" s="5">
        <v>43613.0</v>
      </c>
      <c r="C772" s="6">
        <f t="shared" si="1"/>
        <v>2019</v>
      </c>
      <c r="D772" s="7" t="s">
        <v>2363</v>
      </c>
      <c r="E772" s="7" t="s">
        <v>2364</v>
      </c>
      <c r="F772" s="7" t="s">
        <v>50</v>
      </c>
      <c r="G772" s="5" t="s">
        <v>51</v>
      </c>
      <c r="H772" s="7" t="s">
        <v>69</v>
      </c>
      <c r="I772" s="7" t="s">
        <v>34</v>
      </c>
      <c r="J772" s="7" t="s">
        <v>1012</v>
      </c>
      <c r="K772" s="7" t="s">
        <v>36</v>
      </c>
      <c r="L772" s="7" t="s">
        <v>127</v>
      </c>
      <c r="M772" s="7" t="s">
        <v>55</v>
      </c>
      <c r="N772" s="5">
        <v>43616.0</v>
      </c>
      <c r="O772" s="8">
        <v>62850.00000000001</v>
      </c>
      <c r="P772" s="8">
        <v>153450.0</v>
      </c>
      <c r="Q772" s="8">
        <f t="shared" si="2"/>
        <v>90600</v>
      </c>
      <c r="R772" s="8">
        <v>19.0</v>
      </c>
      <c r="S772" s="8">
        <f t="shared" si="3"/>
        <v>2915550</v>
      </c>
      <c r="T772" s="9">
        <v>0.08</v>
      </c>
      <c r="U772" s="8">
        <f t="shared" si="4"/>
        <v>233244</v>
      </c>
      <c r="V772" s="8">
        <f t="shared" si="5"/>
        <v>2682306</v>
      </c>
      <c r="W772" s="10">
        <f t="shared" si="6"/>
        <v>1194150</v>
      </c>
      <c r="X772" s="10">
        <f t="shared" si="7"/>
        <v>1488156</v>
      </c>
      <c r="Y772" s="10"/>
      <c r="Z772" s="10"/>
      <c r="AA772" s="10"/>
      <c r="AB772" s="4" t="s">
        <v>2365</v>
      </c>
      <c r="AC772" s="4" t="s">
        <v>2362</v>
      </c>
      <c r="AD772" s="4">
        <v>43613.0</v>
      </c>
      <c r="AE772" s="4">
        <v>2019.0</v>
      </c>
      <c r="AF772" s="4" t="s">
        <v>2363</v>
      </c>
      <c r="AG772" s="4" t="s">
        <v>2364</v>
      </c>
      <c r="AH772" s="4" t="s">
        <v>50</v>
      </c>
      <c r="AI772" s="4" t="s">
        <v>51</v>
      </c>
      <c r="AJ772" s="4" t="s">
        <v>69</v>
      </c>
      <c r="AK772" s="4" t="s">
        <v>34</v>
      </c>
      <c r="AL772" s="4" t="s">
        <v>1012</v>
      </c>
      <c r="AM772" s="4" t="s">
        <v>36</v>
      </c>
      <c r="AN772" s="4" t="s">
        <v>127</v>
      </c>
      <c r="AO772" s="4" t="s">
        <v>55</v>
      </c>
      <c r="AP772" s="4">
        <v>43616.0</v>
      </c>
      <c r="AQ772" s="4">
        <v>62850.0</v>
      </c>
      <c r="AR772" s="4">
        <v>153450.0</v>
      </c>
      <c r="AS772" s="4">
        <v>90600.0</v>
      </c>
      <c r="AT772" s="4">
        <v>19.0</v>
      </c>
      <c r="AU772" s="4">
        <v>2915550.0</v>
      </c>
      <c r="AV772" s="4">
        <v>0.08</v>
      </c>
      <c r="AW772" s="4">
        <v>233244.0</v>
      </c>
      <c r="AX772" s="4">
        <v>2682306.0</v>
      </c>
      <c r="AY772" s="4">
        <v>1194150.0</v>
      </c>
      <c r="AZ772" s="4">
        <v>1488156.0</v>
      </c>
    </row>
    <row r="773" ht="15.75" customHeight="1">
      <c r="A773" s="3" t="s">
        <v>2366</v>
      </c>
      <c r="B773" s="5">
        <v>43613.0</v>
      </c>
      <c r="C773" s="6">
        <f t="shared" si="1"/>
        <v>2019</v>
      </c>
      <c r="D773" s="7" t="s">
        <v>1500</v>
      </c>
      <c r="E773" s="7" t="s">
        <v>1069</v>
      </c>
      <c r="F773" s="7" t="s">
        <v>31</v>
      </c>
      <c r="G773" s="5" t="s">
        <v>68</v>
      </c>
      <c r="H773" s="7" t="s">
        <v>43</v>
      </c>
      <c r="I773" s="7" t="s">
        <v>34</v>
      </c>
      <c r="J773" s="7" t="s">
        <v>380</v>
      </c>
      <c r="K773" s="7" t="s">
        <v>36</v>
      </c>
      <c r="L773" s="7" t="s">
        <v>45</v>
      </c>
      <c r="M773" s="7" t="s">
        <v>38</v>
      </c>
      <c r="N773" s="5">
        <v>43616.0</v>
      </c>
      <c r="O773" s="8">
        <v>43500.0</v>
      </c>
      <c r="P773" s="8">
        <v>71400.0</v>
      </c>
      <c r="Q773" s="8">
        <f t="shared" si="2"/>
        <v>27900</v>
      </c>
      <c r="R773" s="8">
        <v>33.0</v>
      </c>
      <c r="S773" s="8">
        <f t="shared" si="3"/>
        <v>2356200</v>
      </c>
      <c r="T773" s="9">
        <v>0.06</v>
      </c>
      <c r="U773" s="8">
        <f t="shared" si="4"/>
        <v>141372</v>
      </c>
      <c r="V773" s="8">
        <f t="shared" si="5"/>
        <v>2214828</v>
      </c>
      <c r="W773" s="10">
        <f t="shared" si="6"/>
        <v>1435500</v>
      </c>
      <c r="X773" s="10">
        <f t="shared" si="7"/>
        <v>779328</v>
      </c>
      <c r="Y773" s="10"/>
      <c r="Z773" s="10"/>
      <c r="AA773" s="10"/>
      <c r="AB773" s="4" t="s">
        <v>2367</v>
      </c>
      <c r="AC773" s="4" t="s">
        <v>2366</v>
      </c>
      <c r="AD773" s="4">
        <v>43613.0</v>
      </c>
      <c r="AE773" s="4">
        <v>2019.0</v>
      </c>
      <c r="AF773" s="4" t="s">
        <v>1500</v>
      </c>
      <c r="AG773" s="4" t="s">
        <v>1069</v>
      </c>
      <c r="AH773" s="4" t="s">
        <v>31</v>
      </c>
      <c r="AI773" s="4" t="s">
        <v>68</v>
      </c>
      <c r="AJ773" s="4" t="s">
        <v>43</v>
      </c>
      <c r="AK773" s="4" t="s">
        <v>34</v>
      </c>
      <c r="AL773" s="4" t="s">
        <v>380</v>
      </c>
      <c r="AM773" s="4" t="s">
        <v>36</v>
      </c>
      <c r="AN773" s="4" t="s">
        <v>45</v>
      </c>
      <c r="AO773" s="4" t="s">
        <v>38</v>
      </c>
      <c r="AP773" s="4">
        <v>43616.0</v>
      </c>
      <c r="AQ773" s="4">
        <v>43500.0</v>
      </c>
      <c r="AR773" s="4">
        <v>71400.0</v>
      </c>
      <c r="AS773" s="4">
        <v>27900.0</v>
      </c>
      <c r="AT773" s="4">
        <v>33.0</v>
      </c>
      <c r="AU773" s="4">
        <v>2356200.0</v>
      </c>
      <c r="AV773" s="4">
        <v>0.06</v>
      </c>
      <c r="AW773" s="4">
        <v>141372.0</v>
      </c>
      <c r="AX773" s="4">
        <v>2214828.0</v>
      </c>
      <c r="AY773" s="4">
        <v>1435500.0</v>
      </c>
      <c r="AZ773" s="4">
        <v>779328.0</v>
      </c>
    </row>
    <row r="774" ht="15.75" customHeight="1">
      <c r="A774" s="3" t="s">
        <v>2368</v>
      </c>
      <c r="B774" s="5">
        <v>43616.0</v>
      </c>
      <c r="C774" s="6">
        <f t="shared" si="1"/>
        <v>2019</v>
      </c>
      <c r="D774" s="7" t="s">
        <v>906</v>
      </c>
      <c r="E774" s="7" t="s">
        <v>199</v>
      </c>
      <c r="F774" s="7" t="s">
        <v>50</v>
      </c>
      <c r="G774" s="5" t="s">
        <v>91</v>
      </c>
      <c r="H774" s="7" t="s">
        <v>200</v>
      </c>
      <c r="I774" s="7" t="s">
        <v>92</v>
      </c>
      <c r="J774" s="7" t="s">
        <v>739</v>
      </c>
      <c r="K774" s="7" t="s">
        <v>36</v>
      </c>
      <c r="L774" s="7" t="s">
        <v>37</v>
      </c>
      <c r="M774" s="7" t="s">
        <v>38</v>
      </c>
      <c r="N774" s="5">
        <v>43617.0</v>
      </c>
      <c r="O774" s="8">
        <v>67950.0</v>
      </c>
      <c r="P774" s="8">
        <v>109500.0</v>
      </c>
      <c r="Q774" s="8">
        <f t="shared" si="2"/>
        <v>41550</v>
      </c>
      <c r="R774" s="8">
        <v>36.0</v>
      </c>
      <c r="S774" s="8">
        <f t="shared" si="3"/>
        <v>3942000</v>
      </c>
      <c r="T774" s="9">
        <v>0.1</v>
      </c>
      <c r="U774" s="8">
        <f t="shared" si="4"/>
        <v>394200</v>
      </c>
      <c r="V774" s="8">
        <f t="shared" si="5"/>
        <v>3547800</v>
      </c>
      <c r="W774" s="10">
        <f t="shared" si="6"/>
        <v>2446200</v>
      </c>
      <c r="X774" s="10">
        <f t="shared" si="7"/>
        <v>1101600</v>
      </c>
      <c r="Y774" s="10"/>
      <c r="Z774" s="10"/>
      <c r="AA774" s="10"/>
      <c r="AB774" s="4" t="s">
        <v>2369</v>
      </c>
      <c r="AC774" s="4" t="s">
        <v>2368</v>
      </c>
      <c r="AD774" s="4">
        <v>43616.0</v>
      </c>
      <c r="AE774" s="4">
        <v>2019.0</v>
      </c>
      <c r="AF774" s="4" t="s">
        <v>906</v>
      </c>
      <c r="AG774" s="4" t="s">
        <v>199</v>
      </c>
      <c r="AH774" s="4" t="s">
        <v>50</v>
      </c>
      <c r="AI774" s="4" t="s">
        <v>91</v>
      </c>
      <c r="AJ774" s="4" t="s">
        <v>200</v>
      </c>
      <c r="AK774" s="4" t="s">
        <v>92</v>
      </c>
      <c r="AL774" s="4" t="s">
        <v>739</v>
      </c>
      <c r="AM774" s="4" t="s">
        <v>36</v>
      </c>
      <c r="AN774" s="4" t="s">
        <v>37</v>
      </c>
      <c r="AO774" s="4" t="s">
        <v>38</v>
      </c>
      <c r="AP774" s="4">
        <v>43617.0</v>
      </c>
      <c r="AQ774" s="4">
        <v>67950.0</v>
      </c>
      <c r="AR774" s="4">
        <v>109500.0</v>
      </c>
      <c r="AS774" s="4">
        <v>41550.0</v>
      </c>
      <c r="AT774" s="4">
        <v>36.0</v>
      </c>
      <c r="AU774" s="4">
        <v>3942000.0</v>
      </c>
      <c r="AV774" s="4">
        <v>0.1</v>
      </c>
      <c r="AW774" s="4">
        <v>394200.0</v>
      </c>
      <c r="AX774" s="4">
        <v>3547800.0</v>
      </c>
      <c r="AY774" s="4">
        <v>2446200.0</v>
      </c>
      <c r="AZ774" s="4">
        <v>1101600.0</v>
      </c>
    </row>
    <row r="775" ht="15.75" customHeight="1">
      <c r="A775" s="3" t="s">
        <v>2370</v>
      </c>
      <c r="B775" s="5">
        <v>43616.0</v>
      </c>
      <c r="C775" s="6">
        <f t="shared" si="1"/>
        <v>2019</v>
      </c>
      <c r="D775" s="7" t="s">
        <v>2371</v>
      </c>
      <c r="E775" s="7" t="s">
        <v>631</v>
      </c>
      <c r="F775" s="7" t="s">
        <v>50</v>
      </c>
      <c r="G775" s="5" t="s">
        <v>51</v>
      </c>
      <c r="H775" s="7" t="s">
        <v>69</v>
      </c>
      <c r="I775" s="7" t="s">
        <v>74</v>
      </c>
      <c r="J775" s="7" t="s">
        <v>981</v>
      </c>
      <c r="K775" s="7" t="s">
        <v>36</v>
      </c>
      <c r="L775" s="7" t="s">
        <v>45</v>
      </c>
      <c r="M775" s="7" t="s">
        <v>38</v>
      </c>
      <c r="N775" s="5">
        <v>43621.0</v>
      </c>
      <c r="O775" s="8">
        <v>38850.0</v>
      </c>
      <c r="P775" s="8">
        <v>59700.0</v>
      </c>
      <c r="Q775" s="8">
        <f t="shared" si="2"/>
        <v>20850</v>
      </c>
      <c r="R775" s="8">
        <v>11.0</v>
      </c>
      <c r="S775" s="8">
        <f t="shared" si="3"/>
        <v>656700</v>
      </c>
      <c r="T775" s="9">
        <v>0.01</v>
      </c>
      <c r="U775" s="8">
        <f t="shared" si="4"/>
        <v>6567</v>
      </c>
      <c r="V775" s="8">
        <f t="shared" si="5"/>
        <v>650133</v>
      </c>
      <c r="W775" s="10">
        <f t="shared" si="6"/>
        <v>427350</v>
      </c>
      <c r="X775" s="10">
        <f t="shared" si="7"/>
        <v>222783</v>
      </c>
      <c r="Y775" s="10"/>
      <c r="Z775" s="10"/>
      <c r="AA775" s="10"/>
      <c r="AB775" s="4" t="s">
        <v>2372</v>
      </c>
      <c r="AC775" s="4" t="s">
        <v>2370</v>
      </c>
      <c r="AD775" s="4">
        <v>43616.0</v>
      </c>
      <c r="AE775" s="4">
        <v>2019.0</v>
      </c>
      <c r="AF775" s="4" t="s">
        <v>2371</v>
      </c>
      <c r="AG775" s="4" t="s">
        <v>631</v>
      </c>
      <c r="AH775" s="4" t="s">
        <v>50</v>
      </c>
      <c r="AI775" s="4" t="s">
        <v>51</v>
      </c>
      <c r="AJ775" s="4" t="s">
        <v>69</v>
      </c>
      <c r="AK775" s="4" t="s">
        <v>74</v>
      </c>
      <c r="AL775" s="4" t="s">
        <v>981</v>
      </c>
      <c r="AM775" s="4" t="s">
        <v>36</v>
      </c>
      <c r="AN775" s="4" t="s">
        <v>45</v>
      </c>
      <c r="AO775" s="4" t="s">
        <v>38</v>
      </c>
      <c r="AP775" s="4">
        <v>43621.0</v>
      </c>
      <c r="AQ775" s="4">
        <v>38850.0</v>
      </c>
      <c r="AR775" s="4">
        <v>59700.0</v>
      </c>
      <c r="AS775" s="4">
        <v>20850.0</v>
      </c>
      <c r="AT775" s="4">
        <v>11.0</v>
      </c>
      <c r="AU775" s="4">
        <v>656700.0</v>
      </c>
      <c r="AV775" s="4">
        <v>0.01</v>
      </c>
      <c r="AW775" s="4">
        <v>6567.0</v>
      </c>
      <c r="AX775" s="4">
        <v>650133.0</v>
      </c>
      <c r="AY775" s="4">
        <v>427350.0</v>
      </c>
      <c r="AZ775" s="4">
        <v>222783.0</v>
      </c>
    </row>
    <row r="776" ht="15.75" customHeight="1">
      <c r="A776" s="3" t="s">
        <v>2373</v>
      </c>
      <c r="B776" s="5">
        <v>43617.0</v>
      </c>
      <c r="C776" s="6">
        <f t="shared" si="1"/>
        <v>2019</v>
      </c>
      <c r="D776" s="7" t="s">
        <v>554</v>
      </c>
      <c r="E776" s="7" t="s">
        <v>194</v>
      </c>
      <c r="F776" s="7" t="s">
        <v>31</v>
      </c>
      <c r="G776" s="5" t="s">
        <v>32</v>
      </c>
      <c r="H776" s="7" t="s">
        <v>33</v>
      </c>
      <c r="I776" s="7" t="s">
        <v>92</v>
      </c>
      <c r="J776" s="7" t="s">
        <v>394</v>
      </c>
      <c r="K776" s="7" t="s">
        <v>36</v>
      </c>
      <c r="L776" s="7" t="s">
        <v>45</v>
      </c>
      <c r="M776" s="7" t="s">
        <v>38</v>
      </c>
      <c r="N776" s="5">
        <v>43618.0</v>
      </c>
      <c r="O776" s="8">
        <v>24000.0</v>
      </c>
      <c r="P776" s="8">
        <v>39300.0</v>
      </c>
      <c r="Q776" s="8">
        <f t="shared" si="2"/>
        <v>15300</v>
      </c>
      <c r="R776" s="8">
        <v>48.0</v>
      </c>
      <c r="S776" s="8">
        <f t="shared" si="3"/>
        <v>1886400</v>
      </c>
      <c r="T776" s="9">
        <v>0.1</v>
      </c>
      <c r="U776" s="8">
        <f t="shared" si="4"/>
        <v>188640</v>
      </c>
      <c r="V776" s="8">
        <f t="shared" si="5"/>
        <v>1697760</v>
      </c>
      <c r="W776" s="10">
        <f t="shared" si="6"/>
        <v>1152000</v>
      </c>
      <c r="X776" s="10">
        <f t="shared" si="7"/>
        <v>545760</v>
      </c>
      <c r="Y776" s="10"/>
      <c r="Z776" s="10"/>
      <c r="AA776" s="10"/>
      <c r="AB776" s="4" t="s">
        <v>2374</v>
      </c>
      <c r="AC776" s="4" t="s">
        <v>2373</v>
      </c>
      <c r="AD776" s="4">
        <v>43617.0</v>
      </c>
      <c r="AE776" s="4">
        <v>2019.0</v>
      </c>
      <c r="AF776" s="4" t="s">
        <v>554</v>
      </c>
      <c r="AG776" s="4" t="s">
        <v>194</v>
      </c>
      <c r="AH776" s="4" t="s">
        <v>31</v>
      </c>
      <c r="AI776" s="4" t="s">
        <v>32</v>
      </c>
      <c r="AJ776" s="4" t="s">
        <v>33</v>
      </c>
      <c r="AK776" s="4" t="s">
        <v>92</v>
      </c>
      <c r="AL776" s="4" t="s">
        <v>394</v>
      </c>
      <c r="AM776" s="4" t="s">
        <v>36</v>
      </c>
      <c r="AN776" s="4" t="s">
        <v>45</v>
      </c>
      <c r="AO776" s="4" t="s">
        <v>38</v>
      </c>
      <c r="AP776" s="4">
        <v>43618.0</v>
      </c>
      <c r="AQ776" s="4">
        <v>24000.0</v>
      </c>
      <c r="AR776" s="4">
        <v>39300.0</v>
      </c>
      <c r="AS776" s="4">
        <v>15300.0</v>
      </c>
      <c r="AT776" s="4">
        <v>48.0</v>
      </c>
      <c r="AU776" s="4">
        <v>1886400.0</v>
      </c>
      <c r="AV776" s="4">
        <v>0.1</v>
      </c>
      <c r="AW776" s="4">
        <v>188640.0</v>
      </c>
      <c r="AX776" s="4">
        <v>1697760.0</v>
      </c>
      <c r="AY776" s="4">
        <v>1152000.0</v>
      </c>
      <c r="AZ776" s="4">
        <v>545760.0</v>
      </c>
    </row>
    <row r="777" ht="15.75" customHeight="1">
      <c r="A777" s="3" t="s">
        <v>2375</v>
      </c>
      <c r="B777" s="5">
        <v>43620.0</v>
      </c>
      <c r="C777" s="6">
        <f t="shared" si="1"/>
        <v>2019</v>
      </c>
      <c r="D777" s="7" t="s">
        <v>292</v>
      </c>
      <c r="E777" s="7" t="s">
        <v>2376</v>
      </c>
      <c r="F777" s="7" t="s">
        <v>31</v>
      </c>
      <c r="G777" s="5" t="s">
        <v>51</v>
      </c>
      <c r="H777" s="7" t="s">
        <v>33</v>
      </c>
      <c r="I777" s="7" t="s">
        <v>53</v>
      </c>
      <c r="J777" s="7" t="s">
        <v>1261</v>
      </c>
      <c r="K777" s="7" t="s">
        <v>61</v>
      </c>
      <c r="L777" s="7" t="s">
        <v>37</v>
      </c>
      <c r="M777" s="7" t="s">
        <v>38</v>
      </c>
      <c r="N777" s="5">
        <v>43622.0</v>
      </c>
      <c r="O777" s="8">
        <v>220500.0</v>
      </c>
      <c r="P777" s="8">
        <v>449850.0</v>
      </c>
      <c r="Q777" s="8">
        <f t="shared" si="2"/>
        <v>229350</v>
      </c>
      <c r="R777" s="8">
        <v>11.0</v>
      </c>
      <c r="S777" s="8">
        <f t="shared" si="3"/>
        <v>4948350</v>
      </c>
      <c r="T777" s="9">
        <v>0.08</v>
      </c>
      <c r="U777" s="8">
        <f t="shared" si="4"/>
        <v>395868</v>
      </c>
      <c r="V777" s="8">
        <f t="shared" si="5"/>
        <v>4552482</v>
      </c>
      <c r="W777" s="10">
        <f t="shared" si="6"/>
        <v>2425500</v>
      </c>
      <c r="X777" s="10">
        <f t="shared" si="7"/>
        <v>2126982</v>
      </c>
      <c r="Y777" s="10"/>
      <c r="Z777" s="10"/>
      <c r="AA777" s="10"/>
      <c r="AB777" s="4" t="s">
        <v>2377</v>
      </c>
      <c r="AC777" s="4" t="s">
        <v>2375</v>
      </c>
      <c r="AD777" s="4">
        <v>43620.0</v>
      </c>
      <c r="AE777" s="4">
        <v>2019.0</v>
      </c>
      <c r="AF777" s="4" t="s">
        <v>292</v>
      </c>
      <c r="AG777" s="4" t="s">
        <v>2376</v>
      </c>
      <c r="AH777" s="4" t="s">
        <v>31</v>
      </c>
      <c r="AI777" s="4" t="s">
        <v>51</v>
      </c>
      <c r="AJ777" s="4" t="s">
        <v>33</v>
      </c>
      <c r="AK777" s="4" t="s">
        <v>53</v>
      </c>
      <c r="AL777" s="4" t="s">
        <v>1261</v>
      </c>
      <c r="AM777" s="4" t="s">
        <v>61</v>
      </c>
      <c r="AN777" s="4" t="s">
        <v>37</v>
      </c>
      <c r="AO777" s="4" t="s">
        <v>38</v>
      </c>
      <c r="AP777" s="4">
        <v>43622.0</v>
      </c>
      <c r="AQ777" s="4">
        <v>220500.0</v>
      </c>
      <c r="AR777" s="4">
        <v>449850.0</v>
      </c>
      <c r="AS777" s="4">
        <v>229350.0</v>
      </c>
      <c r="AT777" s="4">
        <v>11.0</v>
      </c>
      <c r="AU777" s="4">
        <v>4948350.0</v>
      </c>
      <c r="AV777" s="4">
        <v>0.08</v>
      </c>
      <c r="AW777" s="4">
        <v>395868.0</v>
      </c>
      <c r="AX777" s="4">
        <v>4552482.0</v>
      </c>
      <c r="AY777" s="4">
        <v>2425500.0</v>
      </c>
      <c r="AZ777" s="4">
        <v>2126982.0</v>
      </c>
    </row>
    <row r="778" ht="15.75" customHeight="1">
      <c r="A778" s="3" t="s">
        <v>2378</v>
      </c>
      <c r="B778" s="5">
        <v>43622.0</v>
      </c>
      <c r="C778" s="6">
        <f t="shared" si="1"/>
        <v>2019</v>
      </c>
      <c r="D778" s="7" t="s">
        <v>2379</v>
      </c>
      <c r="E778" s="7" t="s">
        <v>164</v>
      </c>
      <c r="F778" s="7" t="s">
        <v>50</v>
      </c>
      <c r="G778" s="5" t="s">
        <v>91</v>
      </c>
      <c r="H778" s="7" t="s">
        <v>69</v>
      </c>
      <c r="I778" s="7" t="s">
        <v>92</v>
      </c>
      <c r="J778" s="7" t="s">
        <v>484</v>
      </c>
      <c r="K778" s="7" t="s">
        <v>61</v>
      </c>
      <c r="L778" s="7" t="s">
        <v>62</v>
      </c>
      <c r="M778" s="7" t="s">
        <v>63</v>
      </c>
      <c r="N778" s="5">
        <v>43623.0</v>
      </c>
      <c r="O778" s="8">
        <v>4184850.0</v>
      </c>
      <c r="P778" s="8">
        <v>6749850.0</v>
      </c>
      <c r="Q778" s="8">
        <f t="shared" si="2"/>
        <v>2565000</v>
      </c>
      <c r="R778" s="8">
        <v>38.0</v>
      </c>
      <c r="S778" s="8">
        <f t="shared" si="3"/>
        <v>256494300</v>
      </c>
      <c r="T778" s="9">
        <v>0.01</v>
      </c>
      <c r="U778" s="8">
        <f t="shared" si="4"/>
        <v>2564943</v>
      </c>
      <c r="V778" s="8">
        <f t="shared" si="5"/>
        <v>253929357</v>
      </c>
      <c r="W778" s="10">
        <f t="shared" si="6"/>
        <v>159024300</v>
      </c>
      <c r="X778" s="10">
        <f t="shared" si="7"/>
        <v>94905057</v>
      </c>
      <c r="Y778" s="10"/>
      <c r="Z778" s="10"/>
      <c r="AA778" s="10"/>
      <c r="AB778" s="4" t="s">
        <v>2380</v>
      </c>
      <c r="AC778" s="4" t="s">
        <v>2378</v>
      </c>
      <c r="AD778" s="4">
        <v>43622.0</v>
      </c>
      <c r="AE778" s="4">
        <v>2019.0</v>
      </c>
      <c r="AF778" s="4" t="s">
        <v>2379</v>
      </c>
      <c r="AG778" s="4" t="s">
        <v>164</v>
      </c>
      <c r="AH778" s="4" t="s">
        <v>50</v>
      </c>
      <c r="AI778" s="4" t="s">
        <v>91</v>
      </c>
      <c r="AJ778" s="4" t="s">
        <v>69</v>
      </c>
      <c r="AK778" s="4" t="s">
        <v>92</v>
      </c>
      <c r="AL778" s="4" t="s">
        <v>484</v>
      </c>
      <c r="AM778" s="4" t="s">
        <v>61</v>
      </c>
      <c r="AN778" s="4" t="s">
        <v>62</v>
      </c>
      <c r="AO778" s="4" t="s">
        <v>63</v>
      </c>
      <c r="AP778" s="4">
        <v>43623.0</v>
      </c>
      <c r="AQ778" s="4">
        <v>4184850.0</v>
      </c>
      <c r="AR778" s="4">
        <v>6749850.0</v>
      </c>
      <c r="AS778" s="4">
        <v>2565000.0</v>
      </c>
      <c r="AT778" s="4">
        <v>38.0</v>
      </c>
      <c r="AU778" s="4">
        <v>2.564943E8</v>
      </c>
      <c r="AV778" s="4">
        <v>0.01</v>
      </c>
      <c r="AW778" s="4">
        <v>2564943.0</v>
      </c>
      <c r="AX778" s="4">
        <v>2.53929357E8</v>
      </c>
      <c r="AY778" s="4">
        <v>1.590243E8</v>
      </c>
      <c r="AZ778" s="4">
        <v>9.4905057E7</v>
      </c>
    </row>
    <row r="779" ht="15.75" customHeight="1">
      <c r="A779" s="3" t="s">
        <v>2381</v>
      </c>
      <c r="B779" s="5">
        <v>43623.0</v>
      </c>
      <c r="C779" s="6">
        <f t="shared" si="1"/>
        <v>2019</v>
      </c>
      <c r="D779" s="7" t="s">
        <v>2382</v>
      </c>
      <c r="E779" s="7" t="s">
        <v>1933</v>
      </c>
      <c r="F779" s="7" t="s">
        <v>50</v>
      </c>
      <c r="G779" s="5" t="s">
        <v>91</v>
      </c>
      <c r="H779" s="7" t="s">
        <v>110</v>
      </c>
      <c r="I779" s="7" t="s">
        <v>104</v>
      </c>
      <c r="J779" s="7" t="s">
        <v>1065</v>
      </c>
      <c r="K779" s="7" t="s">
        <v>36</v>
      </c>
      <c r="L779" s="7" t="s">
        <v>37</v>
      </c>
      <c r="M779" s="7" t="s">
        <v>38</v>
      </c>
      <c r="N779" s="5">
        <v>43624.0</v>
      </c>
      <c r="O779" s="8">
        <v>329550.0</v>
      </c>
      <c r="P779" s="8">
        <v>531600.0</v>
      </c>
      <c r="Q779" s="8">
        <f t="shared" si="2"/>
        <v>202050</v>
      </c>
      <c r="R779" s="8">
        <v>48.0</v>
      </c>
      <c r="S779" s="8">
        <f t="shared" si="3"/>
        <v>25516800</v>
      </c>
      <c r="T779" s="9">
        <v>0.08</v>
      </c>
      <c r="U779" s="8">
        <f t="shared" si="4"/>
        <v>2041344</v>
      </c>
      <c r="V779" s="8">
        <f t="shared" si="5"/>
        <v>23475456</v>
      </c>
      <c r="W779" s="10">
        <f t="shared" si="6"/>
        <v>15818400</v>
      </c>
      <c r="X779" s="10">
        <f t="shared" si="7"/>
        <v>7657056</v>
      </c>
      <c r="Y779" s="10"/>
      <c r="Z779" s="10"/>
      <c r="AA779" s="10"/>
      <c r="AB779" s="4" t="s">
        <v>2383</v>
      </c>
      <c r="AC779" s="4" t="s">
        <v>2381</v>
      </c>
      <c r="AD779" s="4">
        <v>43623.0</v>
      </c>
      <c r="AE779" s="4">
        <v>2019.0</v>
      </c>
      <c r="AF779" s="4" t="s">
        <v>2382</v>
      </c>
      <c r="AG779" s="4" t="s">
        <v>1933</v>
      </c>
      <c r="AH779" s="4" t="s">
        <v>50</v>
      </c>
      <c r="AI779" s="4" t="s">
        <v>91</v>
      </c>
      <c r="AJ779" s="4" t="s">
        <v>110</v>
      </c>
      <c r="AK779" s="4" t="s">
        <v>104</v>
      </c>
      <c r="AL779" s="4" t="s">
        <v>1065</v>
      </c>
      <c r="AM779" s="4" t="s">
        <v>36</v>
      </c>
      <c r="AN779" s="4" t="s">
        <v>37</v>
      </c>
      <c r="AO779" s="4" t="s">
        <v>38</v>
      </c>
      <c r="AP779" s="4">
        <v>43624.0</v>
      </c>
      <c r="AQ779" s="4">
        <v>329550.0</v>
      </c>
      <c r="AR779" s="4">
        <v>531600.0</v>
      </c>
      <c r="AS779" s="4">
        <v>202050.0</v>
      </c>
      <c r="AT779" s="4">
        <v>48.0</v>
      </c>
      <c r="AU779" s="4">
        <v>2.55168E7</v>
      </c>
      <c r="AV779" s="4">
        <v>0.08</v>
      </c>
      <c r="AW779" s="4">
        <v>2041344.0</v>
      </c>
      <c r="AX779" s="4">
        <v>2.3475456E7</v>
      </c>
      <c r="AY779" s="4">
        <v>1.58184E7</v>
      </c>
      <c r="AZ779" s="4">
        <v>7657056.0</v>
      </c>
    </row>
    <row r="780" ht="15.75" customHeight="1">
      <c r="A780" s="3" t="s">
        <v>2384</v>
      </c>
      <c r="B780" s="5">
        <v>43626.0</v>
      </c>
      <c r="C780" s="6">
        <f t="shared" si="1"/>
        <v>2019</v>
      </c>
      <c r="D780" s="7" t="s">
        <v>1562</v>
      </c>
      <c r="E780" s="7" t="s">
        <v>424</v>
      </c>
      <c r="F780" s="7" t="s">
        <v>50</v>
      </c>
      <c r="G780" s="5" t="s">
        <v>68</v>
      </c>
      <c r="H780" s="7" t="s">
        <v>80</v>
      </c>
      <c r="I780" s="7" t="s">
        <v>74</v>
      </c>
      <c r="J780" s="7" t="s">
        <v>493</v>
      </c>
      <c r="K780" s="7" t="s">
        <v>36</v>
      </c>
      <c r="L780" s="7" t="s">
        <v>45</v>
      </c>
      <c r="M780" s="7" t="s">
        <v>38</v>
      </c>
      <c r="N780" s="5">
        <v>43633.0</v>
      </c>
      <c r="O780" s="8">
        <v>44700.0</v>
      </c>
      <c r="P780" s="8">
        <v>87600.0</v>
      </c>
      <c r="Q780" s="8">
        <f t="shared" si="2"/>
        <v>42900</v>
      </c>
      <c r="R780" s="8">
        <v>19.0</v>
      </c>
      <c r="S780" s="8">
        <f t="shared" si="3"/>
        <v>1664400</v>
      </c>
      <c r="T780" s="9">
        <v>0.01</v>
      </c>
      <c r="U780" s="8">
        <f t="shared" si="4"/>
        <v>16644</v>
      </c>
      <c r="V780" s="8">
        <f t="shared" si="5"/>
        <v>1647756</v>
      </c>
      <c r="W780" s="10">
        <f t="shared" si="6"/>
        <v>849300</v>
      </c>
      <c r="X780" s="10">
        <f t="shared" si="7"/>
        <v>798456</v>
      </c>
      <c r="Y780" s="10"/>
      <c r="Z780" s="10"/>
      <c r="AA780" s="10"/>
      <c r="AB780" s="4" t="s">
        <v>2385</v>
      </c>
      <c r="AC780" s="4" t="s">
        <v>2384</v>
      </c>
      <c r="AD780" s="4">
        <v>43626.0</v>
      </c>
      <c r="AE780" s="4">
        <v>2019.0</v>
      </c>
      <c r="AF780" s="4" t="s">
        <v>1562</v>
      </c>
      <c r="AG780" s="4" t="s">
        <v>424</v>
      </c>
      <c r="AH780" s="4" t="s">
        <v>50</v>
      </c>
      <c r="AI780" s="4" t="s">
        <v>68</v>
      </c>
      <c r="AJ780" s="4" t="s">
        <v>80</v>
      </c>
      <c r="AK780" s="4" t="s">
        <v>74</v>
      </c>
      <c r="AL780" s="4" t="s">
        <v>493</v>
      </c>
      <c r="AM780" s="4" t="s">
        <v>36</v>
      </c>
      <c r="AN780" s="4" t="s">
        <v>45</v>
      </c>
      <c r="AO780" s="4" t="s">
        <v>38</v>
      </c>
      <c r="AP780" s="4">
        <v>43633.0</v>
      </c>
      <c r="AQ780" s="4">
        <v>44700.0</v>
      </c>
      <c r="AR780" s="4">
        <v>87600.0</v>
      </c>
      <c r="AS780" s="4">
        <v>42900.0</v>
      </c>
      <c r="AT780" s="4">
        <v>19.0</v>
      </c>
      <c r="AU780" s="4">
        <v>1664400.0</v>
      </c>
      <c r="AV780" s="4">
        <v>0.01</v>
      </c>
      <c r="AW780" s="4">
        <v>16644.0</v>
      </c>
      <c r="AX780" s="4">
        <v>1647756.0</v>
      </c>
      <c r="AY780" s="4">
        <v>849300.0</v>
      </c>
      <c r="AZ780" s="4">
        <v>798456.0</v>
      </c>
    </row>
    <row r="781" ht="15.75" customHeight="1">
      <c r="A781" s="3" t="s">
        <v>2386</v>
      </c>
      <c r="B781" s="5">
        <v>43629.0</v>
      </c>
      <c r="C781" s="6">
        <f t="shared" si="1"/>
        <v>2019</v>
      </c>
      <c r="D781" s="7" t="s">
        <v>1220</v>
      </c>
      <c r="E781" s="7" t="s">
        <v>1221</v>
      </c>
      <c r="F781" s="7" t="s">
        <v>289</v>
      </c>
      <c r="G781" s="5" t="s">
        <v>91</v>
      </c>
      <c r="H781" s="7" t="s">
        <v>80</v>
      </c>
      <c r="I781" s="7" t="s">
        <v>104</v>
      </c>
      <c r="J781" s="7" t="s">
        <v>93</v>
      </c>
      <c r="K781" s="7" t="s">
        <v>36</v>
      </c>
      <c r="L781" s="7" t="s">
        <v>37</v>
      </c>
      <c r="M781" s="7" t="s">
        <v>38</v>
      </c>
      <c r="N781" s="5">
        <v>43629.0</v>
      </c>
      <c r="O781" s="8">
        <v>814350.0</v>
      </c>
      <c r="P781" s="8">
        <v>1357200.0</v>
      </c>
      <c r="Q781" s="8">
        <f t="shared" si="2"/>
        <v>542850</v>
      </c>
      <c r="R781" s="8">
        <v>16.0</v>
      </c>
      <c r="S781" s="8">
        <f t="shared" si="3"/>
        <v>21715200</v>
      </c>
      <c r="T781" s="9">
        <v>0.0</v>
      </c>
      <c r="U781" s="8">
        <f t="shared" si="4"/>
        <v>0</v>
      </c>
      <c r="V781" s="8">
        <f t="shared" si="5"/>
        <v>21715200</v>
      </c>
      <c r="W781" s="10">
        <f t="shared" si="6"/>
        <v>13029600</v>
      </c>
      <c r="X781" s="10">
        <f t="shared" si="7"/>
        <v>8685600</v>
      </c>
      <c r="Y781" s="10"/>
      <c r="Z781" s="10"/>
      <c r="AA781" s="10"/>
      <c r="AB781" s="4" t="s">
        <v>2387</v>
      </c>
      <c r="AC781" s="4" t="s">
        <v>2386</v>
      </c>
      <c r="AD781" s="4">
        <v>43629.0</v>
      </c>
      <c r="AE781" s="4">
        <v>2019.0</v>
      </c>
      <c r="AF781" s="4" t="s">
        <v>1220</v>
      </c>
      <c r="AG781" s="4" t="s">
        <v>1221</v>
      </c>
      <c r="AH781" s="4" t="s">
        <v>289</v>
      </c>
      <c r="AI781" s="4" t="s">
        <v>91</v>
      </c>
      <c r="AJ781" s="4" t="s">
        <v>80</v>
      </c>
      <c r="AK781" s="4" t="s">
        <v>104</v>
      </c>
      <c r="AL781" s="4" t="s">
        <v>93</v>
      </c>
      <c r="AM781" s="4" t="s">
        <v>36</v>
      </c>
      <c r="AN781" s="4" t="s">
        <v>37</v>
      </c>
      <c r="AO781" s="4" t="s">
        <v>38</v>
      </c>
      <c r="AP781" s="4">
        <v>43629.0</v>
      </c>
      <c r="AQ781" s="4">
        <v>814350.0</v>
      </c>
      <c r="AR781" s="4">
        <v>1357200.0</v>
      </c>
      <c r="AS781" s="4">
        <v>542850.0</v>
      </c>
      <c r="AT781" s="4">
        <v>16.0</v>
      </c>
      <c r="AU781" s="4">
        <v>2.17152E7</v>
      </c>
      <c r="AV781" s="4">
        <v>0.0</v>
      </c>
      <c r="AW781" s="4">
        <v>0.0</v>
      </c>
      <c r="AX781" s="4">
        <v>2.17152E7</v>
      </c>
      <c r="AY781" s="4">
        <v>1.30296E7</v>
      </c>
      <c r="AZ781" s="4">
        <v>8685600.0</v>
      </c>
    </row>
    <row r="782" ht="15.75" customHeight="1">
      <c r="A782" s="3" t="s">
        <v>2388</v>
      </c>
      <c r="B782" s="5">
        <v>43634.0</v>
      </c>
      <c r="C782" s="6">
        <f t="shared" si="1"/>
        <v>2019</v>
      </c>
      <c r="D782" s="7" t="s">
        <v>2389</v>
      </c>
      <c r="E782" s="7" t="s">
        <v>150</v>
      </c>
      <c r="F782" s="7" t="s">
        <v>50</v>
      </c>
      <c r="G782" s="5" t="s">
        <v>32</v>
      </c>
      <c r="H782" s="7" t="s">
        <v>151</v>
      </c>
      <c r="I782" s="7" t="s">
        <v>74</v>
      </c>
      <c r="J782" s="7" t="s">
        <v>843</v>
      </c>
      <c r="K782" s="7" t="s">
        <v>36</v>
      </c>
      <c r="L782" s="7" t="s">
        <v>45</v>
      </c>
      <c r="M782" s="7" t="s">
        <v>38</v>
      </c>
      <c r="N782" s="5">
        <v>43638.0</v>
      </c>
      <c r="O782" s="8">
        <v>13950.0</v>
      </c>
      <c r="P782" s="8">
        <v>24000.0</v>
      </c>
      <c r="Q782" s="8">
        <f t="shared" si="2"/>
        <v>10050</v>
      </c>
      <c r="R782" s="8">
        <v>43.0</v>
      </c>
      <c r="S782" s="8">
        <f t="shared" si="3"/>
        <v>1032000</v>
      </c>
      <c r="T782" s="9">
        <v>0.01</v>
      </c>
      <c r="U782" s="8">
        <f t="shared" si="4"/>
        <v>10320</v>
      </c>
      <c r="V782" s="8">
        <f t="shared" si="5"/>
        <v>1021680</v>
      </c>
      <c r="W782" s="10">
        <f t="shared" si="6"/>
        <v>599850</v>
      </c>
      <c r="X782" s="10">
        <f t="shared" si="7"/>
        <v>421830</v>
      </c>
      <c r="Y782" s="10"/>
      <c r="Z782" s="10"/>
      <c r="AA782" s="10"/>
      <c r="AB782" s="4" t="s">
        <v>2390</v>
      </c>
      <c r="AC782" s="4" t="s">
        <v>2388</v>
      </c>
      <c r="AD782" s="4">
        <v>43634.0</v>
      </c>
      <c r="AE782" s="4">
        <v>2019.0</v>
      </c>
      <c r="AF782" s="4" t="s">
        <v>2389</v>
      </c>
      <c r="AG782" s="4" t="s">
        <v>150</v>
      </c>
      <c r="AH782" s="4" t="s">
        <v>50</v>
      </c>
      <c r="AI782" s="4" t="s">
        <v>32</v>
      </c>
      <c r="AJ782" s="4" t="s">
        <v>151</v>
      </c>
      <c r="AK782" s="4" t="s">
        <v>74</v>
      </c>
      <c r="AL782" s="4" t="s">
        <v>843</v>
      </c>
      <c r="AM782" s="4" t="s">
        <v>36</v>
      </c>
      <c r="AN782" s="4" t="s">
        <v>45</v>
      </c>
      <c r="AO782" s="4" t="s">
        <v>38</v>
      </c>
      <c r="AP782" s="4">
        <v>43638.0</v>
      </c>
      <c r="AQ782" s="4">
        <v>13950.0</v>
      </c>
      <c r="AR782" s="4">
        <v>24000.0</v>
      </c>
      <c r="AS782" s="4">
        <v>10050.0</v>
      </c>
      <c r="AT782" s="4">
        <v>43.0</v>
      </c>
      <c r="AU782" s="4">
        <v>1032000.0</v>
      </c>
      <c r="AV782" s="4">
        <v>0.01</v>
      </c>
      <c r="AW782" s="4">
        <v>10320.0</v>
      </c>
      <c r="AX782" s="4">
        <v>1021680.0</v>
      </c>
      <c r="AY782" s="4">
        <v>599850.0</v>
      </c>
      <c r="AZ782" s="4">
        <v>421830.0</v>
      </c>
    </row>
    <row r="783" ht="15.75" customHeight="1">
      <c r="A783" s="3" t="s">
        <v>2391</v>
      </c>
      <c r="B783" s="5">
        <v>43635.0</v>
      </c>
      <c r="C783" s="6">
        <f t="shared" si="1"/>
        <v>2019</v>
      </c>
      <c r="D783" s="7" t="s">
        <v>159</v>
      </c>
      <c r="E783" s="7" t="s">
        <v>139</v>
      </c>
      <c r="F783" s="7" t="s">
        <v>50</v>
      </c>
      <c r="G783" s="5" t="s">
        <v>91</v>
      </c>
      <c r="H783" s="7" t="s">
        <v>140</v>
      </c>
      <c r="I783" s="7" t="s">
        <v>74</v>
      </c>
      <c r="J783" s="7" t="s">
        <v>697</v>
      </c>
      <c r="K783" s="7" t="s">
        <v>61</v>
      </c>
      <c r="L783" s="7" t="s">
        <v>37</v>
      </c>
      <c r="M783" s="7" t="s">
        <v>38</v>
      </c>
      <c r="N783" s="5">
        <v>43640.0</v>
      </c>
      <c r="O783" s="8">
        <v>619200.0</v>
      </c>
      <c r="P783" s="8">
        <v>1439850.0</v>
      </c>
      <c r="Q783" s="8">
        <f t="shared" si="2"/>
        <v>820650</v>
      </c>
      <c r="R783" s="8">
        <v>40.0</v>
      </c>
      <c r="S783" s="8">
        <f t="shared" si="3"/>
        <v>57594000</v>
      </c>
      <c r="T783" s="9">
        <v>0.05</v>
      </c>
      <c r="U783" s="8">
        <f t="shared" si="4"/>
        <v>2879700</v>
      </c>
      <c r="V783" s="8">
        <f t="shared" si="5"/>
        <v>54714300</v>
      </c>
      <c r="W783" s="10">
        <f t="shared" si="6"/>
        <v>24768000</v>
      </c>
      <c r="X783" s="10">
        <f t="shared" si="7"/>
        <v>29946300</v>
      </c>
      <c r="Y783" s="10"/>
      <c r="Z783" s="10"/>
      <c r="AA783" s="10"/>
      <c r="AB783" s="4" t="s">
        <v>2392</v>
      </c>
      <c r="AC783" s="4" t="s">
        <v>2391</v>
      </c>
      <c r="AD783" s="4">
        <v>43635.0</v>
      </c>
      <c r="AE783" s="4">
        <v>2019.0</v>
      </c>
      <c r="AF783" s="4" t="s">
        <v>159</v>
      </c>
      <c r="AG783" s="4" t="s">
        <v>139</v>
      </c>
      <c r="AH783" s="4" t="s">
        <v>50</v>
      </c>
      <c r="AI783" s="4" t="s">
        <v>91</v>
      </c>
      <c r="AJ783" s="4" t="s">
        <v>140</v>
      </c>
      <c r="AK783" s="4" t="s">
        <v>74</v>
      </c>
      <c r="AL783" s="4" t="s">
        <v>697</v>
      </c>
      <c r="AM783" s="4" t="s">
        <v>61</v>
      </c>
      <c r="AN783" s="4" t="s">
        <v>37</v>
      </c>
      <c r="AO783" s="4" t="s">
        <v>38</v>
      </c>
      <c r="AP783" s="4">
        <v>43640.0</v>
      </c>
      <c r="AQ783" s="4">
        <v>619200.0</v>
      </c>
      <c r="AR783" s="4">
        <v>1439850.0</v>
      </c>
      <c r="AS783" s="4">
        <v>820650.0</v>
      </c>
      <c r="AT783" s="4">
        <v>40.0</v>
      </c>
      <c r="AU783" s="4">
        <v>5.7594E7</v>
      </c>
      <c r="AV783" s="4">
        <v>0.05</v>
      </c>
      <c r="AW783" s="4">
        <v>2879700.0</v>
      </c>
      <c r="AX783" s="4">
        <v>5.47143E7</v>
      </c>
      <c r="AY783" s="4">
        <v>2.4768E7</v>
      </c>
      <c r="AZ783" s="4">
        <v>2.99463E7</v>
      </c>
    </row>
    <row r="784" ht="15.75" customHeight="1">
      <c r="A784" s="3" t="s">
        <v>2393</v>
      </c>
      <c r="B784" s="5">
        <v>43635.0</v>
      </c>
      <c r="C784" s="6">
        <f t="shared" si="1"/>
        <v>2019</v>
      </c>
      <c r="D784" s="7" t="s">
        <v>2394</v>
      </c>
      <c r="E784" s="7" t="s">
        <v>343</v>
      </c>
      <c r="F784" s="7" t="s">
        <v>50</v>
      </c>
      <c r="G784" s="5" t="s">
        <v>51</v>
      </c>
      <c r="H784" s="7" t="s">
        <v>344</v>
      </c>
      <c r="I784" s="7" t="s">
        <v>92</v>
      </c>
      <c r="J784" s="7" t="s">
        <v>1735</v>
      </c>
      <c r="K784" s="7" t="s">
        <v>36</v>
      </c>
      <c r="L784" s="7" t="s">
        <v>37</v>
      </c>
      <c r="M784" s="7" t="s">
        <v>55</v>
      </c>
      <c r="N784" s="5">
        <v>43636.0</v>
      </c>
      <c r="O784" s="8">
        <v>59850.0</v>
      </c>
      <c r="P784" s="8">
        <v>93450.0</v>
      </c>
      <c r="Q784" s="8">
        <f t="shared" si="2"/>
        <v>33600</v>
      </c>
      <c r="R784" s="8">
        <v>33.0</v>
      </c>
      <c r="S784" s="8">
        <f t="shared" si="3"/>
        <v>3083850</v>
      </c>
      <c r="T784" s="9">
        <v>0.08</v>
      </c>
      <c r="U784" s="8">
        <f t="shared" si="4"/>
        <v>246708</v>
      </c>
      <c r="V784" s="8">
        <f t="shared" si="5"/>
        <v>2837142</v>
      </c>
      <c r="W784" s="10">
        <f t="shared" si="6"/>
        <v>1975050</v>
      </c>
      <c r="X784" s="10">
        <f t="shared" si="7"/>
        <v>862092</v>
      </c>
      <c r="Y784" s="10"/>
      <c r="Z784" s="10"/>
      <c r="AA784" s="10"/>
      <c r="AB784" s="4" t="s">
        <v>2395</v>
      </c>
      <c r="AC784" s="4" t="s">
        <v>2393</v>
      </c>
      <c r="AD784" s="4">
        <v>43635.0</v>
      </c>
      <c r="AE784" s="4">
        <v>2019.0</v>
      </c>
      <c r="AF784" s="4" t="s">
        <v>2394</v>
      </c>
      <c r="AG784" s="4" t="s">
        <v>343</v>
      </c>
      <c r="AH784" s="4" t="s">
        <v>50</v>
      </c>
      <c r="AI784" s="4" t="s">
        <v>51</v>
      </c>
      <c r="AJ784" s="4" t="s">
        <v>344</v>
      </c>
      <c r="AK784" s="4" t="s">
        <v>92</v>
      </c>
      <c r="AL784" s="4" t="s">
        <v>1735</v>
      </c>
      <c r="AM784" s="4" t="s">
        <v>36</v>
      </c>
      <c r="AN784" s="4" t="s">
        <v>37</v>
      </c>
      <c r="AO784" s="4" t="s">
        <v>55</v>
      </c>
      <c r="AP784" s="4">
        <v>43636.0</v>
      </c>
      <c r="AQ784" s="4">
        <v>59850.0</v>
      </c>
      <c r="AR784" s="4">
        <v>93450.0</v>
      </c>
      <c r="AS784" s="4">
        <v>33600.0</v>
      </c>
      <c r="AT784" s="4">
        <v>33.0</v>
      </c>
      <c r="AU784" s="4">
        <v>3083850.0</v>
      </c>
      <c r="AV784" s="4">
        <v>0.08</v>
      </c>
      <c r="AW784" s="4">
        <v>246708.0</v>
      </c>
      <c r="AX784" s="4">
        <v>2837142.0</v>
      </c>
      <c r="AY784" s="4">
        <v>1975050.0</v>
      </c>
      <c r="AZ784" s="4">
        <v>862092.0</v>
      </c>
    </row>
    <row r="785" ht="15.75" customHeight="1">
      <c r="A785" s="3" t="s">
        <v>2396</v>
      </c>
      <c r="B785" s="5">
        <v>43636.0</v>
      </c>
      <c r="C785" s="6">
        <f t="shared" si="1"/>
        <v>2019</v>
      </c>
      <c r="D785" s="7" t="s">
        <v>487</v>
      </c>
      <c r="E785" s="7" t="s">
        <v>164</v>
      </c>
      <c r="F785" s="7" t="s">
        <v>50</v>
      </c>
      <c r="G785" s="5" t="s">
        <v>32</v>
      </c>
      <c r="H785" s="7" t="s">
        <v>69</v>
      </c>
      <c r="I785" s="7" t="s">
        <v>104</v>
      </c>
      <c r="J785" s="7" t="s">
        <v>753</v>
      </c>
      <c r="K785" s="7" t="s">
        <v>36</v>
      </c>
      <c r="L785" s="7" t="s">
        <v>127</v>
      </c>
      <c r="M785" s="7" t="s">
        <v>38</v>
      </c>
      <c r="N785" s="5">
        <v>43637.0</v>
      </c>
      <c r="O785" s="8">
        <v>252000.0</v>
      </c>
      <c r="P785" s="8">
        <v>614550.0</v>
      </c>
      <c r="Q785" s="8">
        <f t="shared" si="2"/>
        <v>362550</v>
      </c>
      <c r="R785" s="8">
        <v>14.0</v>
      </c>
      <c r="S785" s="8">
        <f t="shared" si="3"/>
        <v>8603700</v>
      </c>
      <c r="T785" s="9">
        <v>0.0</v>
      </c>
      <c r="U785" s="8">
        <f t="shared" si="4"/>
        <v>0</v>
      </c>
      <c r="V785" s="8">
        <f t="shared" si="5"/>
        <v>8603700</v>
      </c>
      <c r="W785" s="10">
        <f t="shared" si="6"/>
        <v>3528000</v>
      </c>
      <c r="X785" s="10">
        <f t="shared" si="7"/>
        <v>5075700</v>
      </c>
      <c r="Y785" s="10"/>
      <c r="Z785" s="10"/>
      <c r="AA785" s="10"/>
      <c r="AB785" s="4" t="s">
        <v>2397</v>
      </c>
      <c r="AC785" s="4" t="s">
        <v>2396</v>
      </c>
      <c r="AD785" s="4">
        <v>43636.0</v>
      </c>
      <c r="AE785" s="4">
        <v>2019.0</v>
      </c>
      <c r="AF785" s="4" t="s">
        <v>487</v>
      </c>
      <c r="AG785" s="4" t="s">
        <v>164</v>
      </c>
      <c r="AH785" s="4" t="s">
        <v>50</v>
      </c>
      <c r="AI785" s="4" t="s">
        <v>32</v>
      </c>
      <c r="AJ785" s="4" t="s">
        <v>69</v>
      </c>
      <c r="AK785" s="4" t="s">
        <v>104</v>
      </c>
      <c r="AL785" s="4" t="s">
        <v>753</v>
      </c>
      <c r="AM785" s="4" t="s">
        <v>36</v>
      </c>
      <c r="AN785" s="4" t="s">
        <v>127</v>
      </c>
      <c r="AO785" s="4" t="s">
        <v>38</v>
      </c>
      <c r="AP785" s="4">
        <v>43637.0</v>
      </c>
      <c r="AQ785" s="4">
        <v>252000.0</v>
      </c>
      <c r="AR785" s="4">
        <v>614550.0</v>
      </c>
      <c r="AS785" s="4">
        <v>362550.0</v>
      </c>
      <c r="AT785" s="4">
        <v>14.0</v>
      </c>
      <c r="AU785" s="4">
        <v>8603700.0</v>
      </c>
      <c r="AV785" s="4">
        <v>0.0</v>
      </c>
      <c r="AW785" s="4">
        <v>0.0</v>
      </c>
      <c r="AX785" s="4">
        <v>8603700.0</v>
      </c>
      <c r="AY785" s="4">
        <v>3528000.0</v>
      </c>
      <c r="AZ785" s="4">
        <v>5075700.0</v>
      </c>
    </row>
    <row r="786" ht="15.75" customHeight="1">
      <c r="A786" s="3" t="s">
        <v>2398</v>
      </c>
      <c r="B786" s="5">
        <v>43638.0</v>
      </c>
      <c r="C786" s="6">
        <f t="shared" si="1"/>
        <v>2019</v>
      </c>
      <c r="D786" s="7" t="s">
        <v>2399</v>
      </c>
      <c r="E786" s="7" t="s">
        <v>509</v>
      </c>
      <c r="F786" s="7" t="s">
        <v>31</v>
      </c>
      <c r="G786" s="5" t="s">
        <v>51</v>
      </c>
      <c r="H786" s="7" t="s">
        <v>33</v>
      </c>
      <c r="I786" s="7" t="s">
        <v>104</v>
      </c>
      <c r="J786" s="7" t="s">
        <v>190</v>
      </c>
      <c r="K786" s="7" t="s">
        <v>61</v>
      </c>
      <c r="L786" s="7" t="s">
        <v>37</v>
      </c>
      <c r="M786" s="7" t="s">
        <v>38</v>
      </c>
      <c r="N786" s="5">
        <v>43639.0</v>
      </c>
      <c r="O786" s="8">
        <v>95850.0</v>
      </c>
      <c r="P786" s="8">
        <v>299700.0</v>
      </c>
      <c r="Q786" s="8">
        <f t="shared" si="2"/>
        <v>203850</v>
      </c>
      <c r="R786" s="8">
        <v>39.0</v>
      </c>
      <c r="S786" s="8">
        <f t="shared" si="3"/>
        <v>11688300</v>
      </c>
      <c r="T786" s="9">
        <v>0.05</v>
      </c>
      <c r="U786" s="8">
        <f t="shared" si="4"/>
        <v>584415</v>
      </c>
      <c r="V786" s="8">
        <f t="shared" si="5"/>
        <v>11103885</v>
      </c>
      <c r="W786" s="10">
        <f t="shared" si="6"/>
        <v>3738150</v>
      </c>
      <c r="X786" s="10">
        <f t="shared" si="7"/>
        <v>7365735</v>
      </c>
      <c r="Y786" s="10"/>
      <c r="Z786" s="10"/>
      <c r="AA786" s="10"/>
      <c r="AB786" s="4" t="s">
        <v>2400</v>
      </c>
      <c r="AC786" s="4" t="s">
        <v>2398</v>
      </c>
      <c r="AD786" s="4">
        <v>43638.0</v>
      </c>
      <c r="AE786" s="4">
        <v>2019.0</v>
      </c>
      <c r="AF786" s="4" t="s">
        <v>2399</v>
      </c>
      <c r="AG786" s="4" t="s">
        <v>509</v>
      </c>
      <c r="AH786" s="4" t="s">
        <v>31</v>
      </c>
      <c r="AI786" s="4" t="s">
        <v>51</v>
      </c>
      <c r="AJ786" s="4" t="s">
        <v>33</v>
      </c>
      <c r="AK786" s="4" t="s">
        <v>104</v>
      </c>
      <c r="AL786" s="4" t="s">
        <v>190</v>
      </c>
      <c r="AM786" s="4" t="s">
        <v>61</v>
      </c>
      <c r="AN786" s="4" t="s">
        <v>37</v>
      </c>
      <c r="AO786" s="4" t="s">
        <v>38</v>
      </c>
      <c r="AP786" s="4">
        <v>43639.0</v>
      </c>
      <c r="AQ786" s="4">
        <v>95850.0</v>
      </c>
      <c r="AR786" s="4">
        <v>299700.0</v>
      </c>
      <c r="AS786" s="4">
        <v>203850.0</v>
      </c>
      <c r="AT786" s="4">
        <v>39.0</v>
      </c>
      <c r="AU786" s="4">
        <v>1.16883E7</v>
      </c>
      <c r="AV786" s="4">
        <v>0.05</v>
      </c>
      <c r="AW786" s="4">
        <v>584415.0</v>
      </c>
      <c r="AX786" s="4">
        <v>1.1103885E7</v>
      </c>
      <c r="AY786" s="4">
        <v>3738150.0</v>
      </c>
      <c r="AZ786" s="4">
        <v>7365735.0</v>
      </c>
    </row>
    <row r="787" ht="15.75" customHeight="1">
      <c r="A787" s="3" t="s">
        <v>2401</v>
      </c>
      <c r="B787" s="5">
        <v>43640.0</v>
      </c>
      <c r="C787" s="6">
        <f t="shared" si="1"/>
        <v>2019</v>
      </c>
      <c r="D787" s="7" t="s">
        <v>965</v>
      </c>
      <c r="E787" s="7" t="s">
        <v>550</v>
      </c>
      <c r="F787" s="7" t="s">
        <v>50</v>
      </c>
      <c r="G787" s="5" t="s">
        <v>91</v>
      </c>
      <c r="H787" s="7" t="s">
        <v>151</v>
      </c>
      <c r="I787" s="7" t="s">
        <v>104</v>
      </c>
      <c r="J787" s="7" t="s">
        <v>677</v>
      </c>
      <c r="K787" s="7" t="s">
        <v>36</v>
      </c>
      <c r="L787" s="7" t="s">
        <v>37</v>
      </c>
      <c r="M787" s="7" t="s">
        <v>38</v>
      </c>
      <c r="N787" s="5">
        <v>43642.0</v>
      </c>
      <c r="O787" s="8">
        <v>224250.0</v>
      </c>
      <c r="P787" s="8">
        <v>521399.99999999994</v>
      </c>
      <c r="Q787" s="8">
        <f t="shared" si="2"/>
        <v>297150</v>
      </c>
      <c r="R787" s="8">
        <v>27.0</v>
      </c>
      <c r="S787" s="8">
        <f t="shared" si="3"/>
        <v>14077800</v>
      </c>
      <c r="T787" s="9">
        <v>0.1</v>
      </c>
      <c r="U787" s="8">
        <f t="shared" si="4"/>
        <v>1407780</v>
      </c>
      <c r="V787" s="8">
        <f t="shared" si="5"/>
        <v>12670020</v>
      </c>
      <c r="W787" s="10">
        <f t="shared" si="6"/>
        <v>6054750</v>
      </c>
      <c r="X787" s="10">
        <f t="shared" si="7"/>
        <v>6615270</v>
      </c>
      <c r="Y787" s="10"/>
      <c r="Z787" s="10"/>
      <c r="AA787" s="10"/>
      <c r="AB787" s="4" t="s">
        <v>2402</v>
      </c>
      <c r="AC787" s="4" t="s">
        <v>2401</v>
      </c>
      <c r="AD787" s="4">
        <v>43640.0</v>
      </c>
      <c r="AE787" s="4">
        <v>2019.0</v>
      </c>
      <c r="AF787" s="4" t="s">
        <v>965</v>
      </c>
      <c r="AG787" s="4" t="s">
        <v>550</v>
      </c>
      <c r="AH787" s="4" t="s">
        <v>50</v>
      </c>
      <c r="AI787" s="4" t="s">
        <v>91</v>
      </c>
      <c r="AJ787" s="4" t="s">
        <v>151</v>
      </c>
      <c r="AK787" s="4" t="s">
        <v>104</v>
      </c>
      <c r="AL787" s="4" t="s">
        <v>677</v>
      </c>
      <c r="AM787" s="4" t="s">
        <v>36</v>
      </c>
      <c r="AN787" s="4" t="s">
        <v>37</v>
      </c>
      <c r="AO787" s="4" t="s">
        <v>38</v>
      </c>
      <c r="AP787" s="4">
        <v>43642.0</v>
      </c>
      <c r="AQ787" s="4">
        <v>224250.0</v>
      </c>
      <c r="AR787" s="4">
        <v>521400.0</v>
      </c>
      <c r="AS787" s="4">
        <v>297150.0</v>
      </c>
      <c r="AT787" s="4">
        <v>27.0</v>
      </c>
      <c r="AU787" s="4">
        <v>1.40778E7</v>
      </c>
      <c r="AV787" s="4">
        <v>0.1</v>
      </c>
      <c r="AW787" s="4">
        <v>1407780.0</v>
      </c>
      <c r="AX787" s="4">
        <v>1.267002E7</v>
      </c>
      <c r="AY787" s="4">
        <v>6054750.0</v>
      </c>
      <c r="AZ787" s="4">
        <v>6615270.0</v>
      </c>
    </row>
    <row r="788" ht="15.75" customHeight="1">
      <c r="A788" s="3" t="s">
        <v>2403</v>
      </c>
      <c r="B788" s="5">
        <v>43641.0</v>
      </c>
      <c r="C788" s="6">
        <f t="shared" si="1"/>
        <v>2019</v>
      </c>
      <c r="D788" s="7" t="s">
        <v>2018</v>
      </c>
      <c r="E788" s="7" t="s">
        <v>985</v>
      </c>
      <c r="F788" s="7" t="s">
        <v>50</v>
      </c>
      <c r="G788" s="5" t="s">
        <v>32</v>
      </c>
      <c r="H788" s="7" t="s">
        <v>140</v>
      </c>
      <c r="I788" s="7" t="s">
        <v>104</v>
      </c>
      <c r="J788" s="7" t="s">
        <v>1513</v>
      </c>
      <c r="K788" s="7" t="s">
        <v>36</v>
      </c>
      <c r="L788" s="7" t="s">
        <v>45</v>
      </c>
      <c r="M788" s="7" t="s">
        <v>38</v>
      </c>
      <c r="N788" s="5">
        <v>43641.0</v>
      </c>
      <c r="O788" s="8">
        <v>14100.0</v>
      </c>
      <c r="P788" s="8">
        <v>28200.0</v>
      </c>
      <c r="Q788" s="8">
        <f t="shared" si="2"/>
        <v>14100</v>
      </c>
      <c r="R788" s="8">
        <v>36.0</v>
      </c>
      <c r="S788" s="8">
        <f t="shared" si="3"/>
        <v>1015200</v>
      </c>
      <c r="T788" s="9">
        <v>0.04</v>
      </c>
      <c r="U788" s="8">
        <f t="shared" si="4"/>
        <v>40608</v>
      </c>
      <c r="V788" s="8">
        <f t="shared" si="5"/>
        <v>974592</v>
      </c>
      <c r="W788" s="10">
        <f t="shared" si="6"/>
        <v>507600</v>
      </c>
      <c r="X788" s="10">
        <f t="shared" si="7"/>
        <v>466992</v>
      </c>
      <c r="Y788" s="10"/>
      <c r="Z788" s="10"/>
      <c r="AA788" s="10"/>
      <c r="AB788" s="4" t="s">
        <v>2404</v>
      </c>
      <c r="AC788" s="4" t="s">
        <v>2403</v>
      </c>
      <c r="AD788" s="4">
        <v>43641.0</v>
      </c>
      <c r="AE788" s="4">
        <v>2019.0</v>
      </c>
      <c r="AF788" s="4" t="s">
        <v>2018</v>
      </c>
      <c r="AG788" s="4" t="s">
        <v>985</v>
      </c>
      <c r="AH788" s="4" t="s">
        <v>50</v>
      </c>
      <c r="AI788" s="4" t="s">
        <v>32</v>
      </c>
      <c r="AJ788" s="4" t="s">
        <v>140</v>
      </c>
      <c r="AK788" s="4" t="s">
        <v>104</v>
      </c>
      <c r="AL788" s="4" t="s">
        <v>1513</v>
      </c>
      <c r="AM788" s="4" t="s">
        <v>36</v>
      </c>
      <c r="AN788" s="4" t="s">
        <v>45</v>
      </c>
      <c r="AO788" s="4" t="s">
        <v>38</v>
      </c>
      <c r="AP788" s="4">
        <v>43641.0</v>
      </c>
      <c r="AQ788" s="4">
        <v>14100.0</v>
      </c>
      <c r="AR788" s="4">
        <v>28200.0</v>
      </c>
      <c r="AS788" s="4">
        <v>14100.0</v>
      </c>
      <c r="AT788" s="4">
        <v>36.0</v>
      </c>
      <c r="AU788" s="4">
        <v>1015200.0</v>
      </c>
      <c r="AV788" s="4">
        <v>0.04</v>
      </c>
      <c r="AW788" s="4">
        <v>40608.0</v>
      </c>
      <c r="AX788" s="4">
        <v>974592.0</v>
      </c>
      <c r="AY788" s="4">
        <v>507600.0</v>
      </c>
      <c r="AZ788" s="4">
        <v>466992.0</v>
      </c>
    </row>
    <row r="789" ht="15.75" customHeight="1">
      <c r="A789" s="3" t="s">
        <v>2405</v>
      </c>
      <c r="B789" s="5">
        <v>43641.0</v>
      </c>
      <c r="C789" s="6">
        <f t="shared" si="1"/>
        <v>2019</v>
      </c>
      <c r="D789" s="7" t="s">
        <v>620</v>
      </c>
      <c r="E789" s="7" t="s">
        <v>621</v>
      </c>
      <c r="F789" s="7" t="s">
        <v>50</v>
      </c>
      <c r="G789" s="5" t="s">
        <v>51</v>
      </c>
      <c r="H789" s="7" t="s">
        <v>80</v>
      </c>
      <c r="I789" s="7" t="s">
        <v>74</v>
      </c>
      <c r="J789" s="7" t="s">
        <v>843</v>
      </c>
      <c r="K789" s="7" t="s">
        <v>36</v>
      </c>
      <c r="L789" s="7" t="s">
        <v>45</v>
      </c>
      <c r="M789" s="7" t="s">
        <v>38</v>
      </c>
      <c r="N789" s="5">
        <v>43646.0</v>
      </c>
      <c r="O789" s="8">
        <v>13950.0</v>
      </c>
      <c r="P789" s="8">
        <v>24000.0</v>
      </c>
      <c r="Q789" s="8">
        <f t="shared" si="2"/>
        <v>10050</v>
      </c>
      <c r="R789" s="8">
        <v>40.0</v>
      </c>
      <c r="S789" s="8">
        <f t="shared" si="3"/>
        <v>960000</v>
      </c>
      <c r="T789" s="9">
        <v>0.01</v>
      </c>
      <c r="U789" s="8">
        <f t="shared" si="4"/>
        <v>9600</v>
      </c>
      <c r="V789" s="8">
        <f t="shared" si="5"/>
        <v>950400</v>
      </c>
      <c r="W789" s="10">
        <f t="shared" si="6"/>
        <v>558000</v>
      </c>
      <c r="X789" s="10">
        <f t="shared" si="7"/>
        <v>392400</v>
      </c>
      <c r="Y789" s="10"/>
      <c r="Z789" s="10"/>
      <c r="AA789" s="10"/>
      <c r="AB789" s="4" t="s">
        <v>2406</v>
      </c>
      <c r="AC789" s="4" t="s">
        <v>2405</v>
      </c>
      <c r="AD789" s="4">
        <v>43641.0</v>
      </c>
      <c r="AE789" s="4">
        <v>2019.0</v>
      </c>
      <c r="AF789" s="4" t="s">
        <v>620</v>
      </c>
      <c r="AG789" s="4" t="s">
        <v>621</v>
      </c>
      <c r="AH789" s="4" t="s">
        <v>50</v>
      </c>
      <c r="AI789" s="4" t="s">
        <v>51</v>
      </c>
      <c r="AJ789" s="4" t="s">
        <v>80</v>
      </c>
      <c r="AK789" s="4" t="s">
        <v>74</v>
      </c>
      <c r="AL789" s="4" t="s">
        <v>843</v>
      </c>
      <c r="AM789" s="4" t="s">
        <v>36</v>
      </c>
      <c r="AN789" s="4" t="s">
        <v>45</v>
      </c>
      <c r="AO789" s="4" t="s">
        <v>38</v>
      </c>
      <c r="AP789" s="4">
        <v>43646.0</v>
      </c>
      <c r="AQ789" s="4">
        <v>13950.0</v>
      </c>
      <c r="AR789" s="4">
        <v>24000.0</v>
      </c>
      <c r="AS789" s="4">
        <v>10050.0</v>
      </c>
      <c r="AT789" s="4">
        <v>40.0</v>
      </c>
      <c r="AU789" s="4">
        <v>960000.0</v>
      </c>
      <c r="AV789" s="4">
        <v>0.01</v>
      </c>
      <c r="AW789" s="4">
        <v>9600.0</v>
      </c>
      <c r="AX789" s="4">
        <v>950400.0</v>
      </c>
      <c r="AY789" s="4">
        <v>558000.0</v>
      </c>
      <c r="AZ789" s="4">
        <v>392400.0</v>
      </c>
    </row>
    <row r="790" ht="15.75" customHeight="1">
      <c r="A790" s="3" t="s">
        <v>2407</v>
      </c>
      <c r="B790" s="5">
        <v>43643.0</v>
      </c>
      <c r="C790" s="6">
        <f t="shared" si="1"/>
        <v>2019</v>
      </c>
      <c r="D790" s="7" t="s">
        <v>2408</v>
      </c>
      <c r="E790" s="7" t="s">
        <v>424</v>
      </c>
      <c r="F790" s="7" t="s">
        <v>50</v>
      </c>
      <c r="G790" s="5" t="s">
        <v>32</v>
      </c>
      <c r="H790" s="7" t="s">
        <v>80</v>
      </c>
      <c r="I790" s="7" t="s">
        <v>74</v>
      </c>
      <c r="J790" s="7" t="s">
        <v>322</v>
      </c>
      <c r="K790" s="7" t="s">
        <v>36</v>
      </c>
      <c r="L790" s="7" t="s">
        <v>37</v>
      </c>
      <c r="M790" s="7" t="s">
        <v>38</v>
      </c>
      <c r="N790" s="5">
        <v>43647.0</v>
      </c>
      <c r="O790" s="8">
        <v>185850.0</v>
      </c>
      <c r="P790" s="8">
        <v>299700.0</v>
      </c>
      <c r="Q790" s="8">
        <f t="shared" si="2"/>
        <v>113850</v>
      </c>
      <c r="R790" s="8">
        <v>47.0</v>
      </c>
      <c r="S790" s="8">
        <f t="shared" si="3"/>
        <v>14085900</v>
      </c>
      <c r="T790" s="9">
        <v>0.0</v>
      </c>
      <c r="U790" s="8">
        <f t="shared" si="4"/>
        <v>0</v>
      </c>
      <c r="V790" s="8">
        <f t="shared" si="5"/>
        <v>14085900</v>
      </c>
      <c r="W790" s="10">
        <f t="shared" si="6"/>
        <v>8734950</v>
      </c>
      <c r="X790" s="10">
        <f t="shared" si="7"/>
        <v>5350950</v>
      </c>
      <c r="Y790" s="10"/>
      <c r="Z790" s="10"/>
      <c r="AA790" s="10"/>
      <c r="AB790" s="4" t="s">
        <v>2409</v>
      </c>
      <c r="AC790" s="4" t="s">
        <v>2407</v>
      </c>
      <c r="AD790" s="4">
        <v>43643.0</v>
      </c>
      <c r="AE790" s="4">
        <v>2019.0</v>
      </c>
      <c r="AF790" s="4" t="s">
        <v>2408</v>
      </c>
      <c r="AG790" s="4" t="s">
        <v>424</v>
      </c>
      <c r="AH790" s="4" t="s">
        <v>50</v>
      </c>
      <c r="AI790" s="4" t="s">
        <v>32</v>
      </c>
      <c r="AJ790" s="4" t="s">
        <v>80</v>
      </c>
      <c r="AK790" s="4" t="s">
        <v>74</v>
      </c>
      <c r="AL790" s="4" t="s">
        <v>322</v>
      </c>
      <c r="AM790" s="4" t="s">
        <v>36</v>
      </c>
      <c r="AN790" s="4" t="s">
        <v>37</v>
      </c>
      <c r="AO790" s="4" t="s">
        <v>38</v>
      </c>
      <c r="AP790" s="4">
        <v>43647.0</v>
      </c>
      <c r="AQ790" s="4">
        <v>185850.0</v>
      </c>
      <c r="AR790" s="4">
        <v>299700.0</v>
      </c>
      <c r="AS790" s="4">
        <v>113850.0</v>
      </c>
      <c r="AT790" s="4">
        <v>47.0</v>
      </c>
      <c r="AU790" s="4">
        <v>1.40859E7</v>
      </c>
      <c r="AV790" s="4">
        <v>0.0</v>
      </c>
      <c r="AW790" s="4">
        <v>0.0</v>
      </c>
      <c r="AX790" s="4">
        <v>1.40859E7</v>
      </c>
      <c r="AY790" s="4">
        <v>8734950.0</v>
      </c>
      <c r="AZ790" s="4">
        <v>5350950.0</v>
      </c>
    </row>
    <row r="791" ht="15.75" customHeight="1">
      <c r="A791" s="3" t="s">
        <v>2410</v>
      </c>
      <c r="B791" s="5">
        <v>43646.0</v>
      </c>
      <c r="C791" s="6">
        <f t="shared" si="1"/>
        <v>2019</v>
      </c>
      <c r="D791" s="7" t="s">
        <v>1264</v>
      </c>
      <c r="E791" s="7" t="s">
        <v>1265</v>
      </c>
      <c r="F791" s="7" t="s">
        <v>50</v>
      </c>
      <c r="G791" s="5" t="s">
        <v>51</v>
      </c>
      <c r="H791" s="7" t="s">
        <v>189</v>
      </c>
      <c r="I791" s="7" t="s">
        <v>53</v>
      </c>
      <c r="J791" s="7" t="s">
        <v>467</v>
      </c>
      <c r="K791" s="7" t="s">
        <v>36</v>
      </c>
      <c r="L791" s="7" t="s">
        <v>45</v>
      </c>
      <c r="M791" s="7" t="s">
        <v>38</v>
      </c>
      <c r="N791" s="5">
        <v>43649.0</v>
      </c>
      <c r="O791" s="8">
        <v>3600.0</v>
      </c>
      <c r="P791" s="8">
        <v>18900.0</v>
      </c>
      <c r="Q791" s="8">
        <f t="shared" si="2"/>
        <v>15300</v>
      </c>
      <c r="R791" s="8">
        <v>47.0</v>
      </c>
      <c r="S791" s="8">
        <f t="shared" si="3"/>
        <v>888300</v>
      </c>
      <c r="T791" s="9">
        <v>0.07</v>
      </c>
      <c r="U791" s="8">
        <f t="shared" si="4"/>
        <v>62181</v>
      </c>
      <c r="V791" s="8">
        <f t="shared" si="5"/>
        <v>826119</v>
      </c>
      <c r="W791" s="10">
        <f t="shared" si="6"/>
        <v>169200</v>
      </c>
      <c r="X791" s="10">
        <f t="shared" si="7"/>
        <v>656919</v>
      </c>
      <c r="Y791" s="10"/>
      <c r="Z791" s="10"/>
      <c r="AA791" s="10"/>
      <c r="AB791" s="4" t="s">
        <v>2411</v>
      </c>
      <c r="AC791" s="4" t="s">
        <v>2410</v>
      </c>
      <c r="AD791" s="4">
        <v>43646.0</v>
      </c>
      <c r="AE791" s="4">
        <v>2019.0</v>
      </c>
      <c r="AF791" s="4" t="s">
        <v>1264</v>
      </c>
      <c r="AG791" s="4" t="s">
        <v>1265</v>
      </c>
      <c r="AH791" s="4" t="s">
        <v>50</v>
      </c>
      <c r="AI791" s="4" t="s">
        <v>51</v>
      </c>
      <c r="AJ791" s="4" t="s">
        <v>189</v>
      </c>
      <c r="AK791" s="4" t="s">
        <v>53</v>
      </c>
      <c r="AL791" s="4" t="s">
        <v>467</v>
      </c>
      <c r="AM791" s="4" t="s">
        <v>36</v>
      </c>
      <c r="AN791" s="4" t="s">
        <v>45</v>
      </c>
      <c r="AO791" s="4" t="s">
        <v>38</v>
      </c>
      <c r="AP791" s="4">
        <v>43649.0</v>
      </c>
      <c r="AQ791" s="4">
        <v>3600.0</v>
      </c>
      <c r="AR791" s="4">
        <v>18900.0</v>
      </c>
      <c r="AS791" s="4">
        <v>15300.0</v>
      </c>
      <c r="AT791" s="4">
        <v>47.0</v>
      </c>
      <c r="AU791" s="4">
        <v>888300.0</v>
      </c>
      <c r="AV791" s="4">
        <v>0.07</v>
      </c>
      <c r="AW791" s="4">
        <v>62181.0</v>
      </c>
      <c r="AX791" s="4">
        <v>826119.0</v>
      </c>
      <c r="AY791" s="4">
        <v>169200.0</v>
      </c>
      <c r="AZ791" s="4">
        <v>656919.0</v>
      </c>
    </row>
    <row r="792" ht="15.75" customHeight="1">
      <c r="A792" s="2" t="s">
        <v>2410</v>
      </c>
      <c r="B792" s="5">
        <v>43646.0</v>
      </c>
      <c r="C792" s="6">
        <f t="shared" si="1"/>
        <v>2019</v>
      </c>
      <c r="D792" s="7" t="s">
        <v>113</v>
      </c>
      <c r="E792" s="7" t="s">
        <v>114</v>
      </c>
      <c r="F792" s="7" t="s">
        <v>50</v>
      </c>
      <c r="G792" s="5" t="s">
        <v>68</v>
      </c>
      <c r="H792" s="7" t="s">
        <v>80</v>
      </c>
      <c r="I792" s="7" t="s">
        <v>53</v>
      </c>
      <c r="J792" s="7" t="s">
        <v>259</v>
      </c>
      <c r="K792" s="7" t="s">
        <v>36</v>
      </c>
      <c r="L792" s="7" t="s">
        <v>45</v>
      </c>
      <c r="M792" s="7" t="s">
        <v>38</v>
      </c>
      <c r="N792" s="5">
        <v>43648.0</v>
      </c>
      <c r="O792" s="8">
        <v>323400.0</v>
      </c>
      <c r="P792" s="8">
        <v>548250.0</v>
      </c>
      <c r="Q792" s="8">
        <f t="shared" si="2"/>
        <v>224850</v>
      </c>
      <c r="R792" s="8">
        <v>2.0</v>
      </c>
      <c r="S792" s="8">
        <f t="shared" si="3"/>
        <v>1096500</v>
      </c>
      <c r="T792" s="9">
        <v>0.03</v>
      </c>
      <c r="U792" s="8">
        <f t="shared" si="4"/>
        <v>32895</v>
      </c>
      <c r="V792" s="8">
        <f t="shared" si="5"/>
        <v>1063605</v>
      </c>
      <c r="W792" s="10">
        <f t="shared" si="6"/>
        <v>646800</v>
      </c>
      <c r="X792" s="10">
        <f t="shared" si="7"/>
        <v>416805</v>
      </c>
      <c r="Y792" s="10"/>
      <c r="Z792" s="10"/>
      <c r="AA792" s="10"/>
      <c r="AB792" s="4" t="s">
        <v>2412</v>
      </c>
      <c r="AC792" s="4" t="s">
        <v>2410</v>
      </c>
      <c r="AD792" s="4">
        <v>43646.0</v>
      </c>
      <c r="AE792" s="4">
        <v>2019.0</v>
      </c>
      <c r="AF792" s="4" t="s">
        <v>113</v>
      </c>
      <c r="AG792" s="4" t="s">
        <v>114</v>
      </c>
      <c r="AH792" s="4" t="s">
        <v>50</v>
      </c>
      <c r="AI792" s="4" t="s">
        <v>68</v>
      </c>
      <c r="AJ792" s="4" t="s">
        <v>80</v>
      </c>
      <c r="AK792" s="4" t="s">
        <v>53</v>
      </c>
      <c r="AL792" s="4" t="s">
        <v>259</v>
      </c>
      <c r="AM792" s="4" t="s">
        <v>36</v>
      </c>
      <c r="AN792" s="4" t="s">
        <v>45</v>
      </c>
      <c r="AO792" s="4" t="s">
        <v>38</v>
      </c>
      <c r="AP792" s="4">
        <v>43648.0</v>
      </c>
      <c r="AQ792" s="4">
        <v>323400.0</v>
      </c>
      <c r="AR792" s="4">
        <v>548250.0</v>
      </c>
      <c r="AS792" s="4">
        <v>224850.0</v>
      </c>
      <c r="AT792" s="4">
        <v>2.0</v>
      </c>
      <c r="AU792" s="4">
        <v>1096500.0</v>
      </c>
      <c r="AV792" s="4">
        <v>0.03</v>
      </c>
      <c r="AW792" s="4">
        <v>32895.0</v>
      </c>
      <c r="AX792" s="4">
        <v>1063605.0</v>
      </c>
      <c r="AY792" s="4">
        <v>646800.0</v>
      </c>
      <c r="AZ792" s="4">
        <v>416805.0</v>
      </c>
    </row>
    <row r="793" ht="15.75" customHeight="1">
      <c r="A793" s="3" t="s">
        <v>2413</v>
      </c>
      <c r="B793" s="5">
        <v>43646.0</v>
      </c>
      <c r="C793" s="6">
        <f t="shared" si="1"/>
        <v>2019</v>
      </c>
      <c r="D793" s="7" t="s">
        <v>2414</v>
      </c>
      <c r="E793" s="7" t="s">
        <v>542</v>
      </c>
      <c r="F793" s="7" t="s">
        <v>31</v>
      </c>
      <c r="G793" s="5" t="s">
        <v>91</v>
      </c>
      <c r="H793" s="7" t="s">
        <v>33</v>
      </c>
      <c r="I793" s="7" t="s">
        <v>104</v>
      </c>
      <c r="J793" s="7" t="s">
        <v>229</v>
      </c>
      <c r="K793" s="7" t="s">
        <v>61</v>
      </c>
      <c r="L793" s="7" t="s">
        <v>127</v>
      </c>
      <c r="M793" s="7" t="s">
        <v>55</v>
      </c>
      <c r="N793" s="5">
        <v>43647.0</v>
      </c>
      <c r="O793" s="8">
        <v>28050.0</v>
      </c>
      <c r="P793" s="8">
        <v>121799.99999999999</v>
      </c>
      <c r="Q793" s="8">
        <f t="shared" si="2"/>
        <v>93750</v>
      </c>
      <c r="R793" s="8">
        <v>37.0</v>
      </c>
      <c r="S793" s="8">
        <f t="shared" si="3"/>
        <v>4506600</v>
      </c>
      <c r="T793" s="9">
        <v>0.01</v>
      </c>
      <c r="U793" s="8">
        <f t="shared" si="4"/>
        <v>45066</v>
      </c>
      <c r="V793" s="8">
        <f t="shared" si="5"/>
        <v>4461534</v>
      </c>
      <c r="W793" s="10">
        <f t="shared" si="6"/>
        <v>1037850</v>
      </c>
      <c r="X793" s="10">
        <f t="shared" si="7"/>
        <v>3423684</v>
      </c>
      <c r="Y793" s="10"/>
      <c r="Z793" s="10"/>
      <c r="AA793" s="10"/>
      <c r="AB793" s="4" t="s">
        <v>2415</v>
      </c>
      <c r="AC793" s="4" t="s">
        <v>2413</v>
      </c>
      <c r="AD793" s="4">
        <v>43646.0</v>
      </c>
      <c r="AE793" s="4">
        <v>2019.0</v>
      </c>
      <c r="AF793" s="4" t="s">
        <v>2414</v>
      </c>
      <c r="AG793" s="4" t="s">
        <v>542</v>
      </c>
      <c r="AH793" s="4" t="s">
        <v>31</v>
      </c>
      <c r="AI793" s="4" t="s">
        <v>91</v>
      </c>
      <c r="AJ793" s="4" t="s">
        <v>33</v>
      </c>
      <c r="AK793" s="4" t="s">
        <v>104</v>
      </c>
      <c r="AL793" s="4" t="s">
        <v>229</v>
      </c>
      <c r="AM793" s="4" t="s">
        <v>61</v>
      </c>
      <c r="AN793" s="4" t="s">
        <v>127</v>
      </c>
      <c r="AO793" s="4" t="s">
        <v>55</v>
      </c>
      <c r="AP793" s="4">
        <v>43647.0</v>
      </c>
      <c r="AQ793" s="4">
        <v>28050.0</v>
      </c>
      <c r="AR793" s="4">
        <v>121800.0</v>
      </c>
      <c r="AS793" s="4">
        <v>93750.0</v>
      </c>
      <c r="AT793" s="4">
        <v>37.0</v>
      </c>
      <c r="AU793" s="4">
        <v>4506600.0</v>
      </c>
      <c r="AV793" s="4">
        <v>0.01</v>
      </c>
      <c r="AW793" s="4">
        <v>45066.0</v>
      </c>
      <c r="AX793" s="4">
        <v>4461534.0</v>
      </c>
      <c r="AY793" s="4">
        <v>1037850.0</v>
      </c>
      <c r="AZ793" s="4">
        <v>3423684.0</v>
      </c>
    </row>
    <row r="794" ht="15.75" customHeight="1">
      <c r="A794" s="3" t="s">
        <v>2416</v>
      </c>
      <c r="B794" s="5">
        <v>43647.0</v>
      </c>
      <c r="C794" s="6">
        <f t="shared" si="1"/>
        <v>2019</v>
      </c>
      <c r="D794" s="7" t="s">
        <v>2394</v>
      </c>
      <c r="E794" s="7" t="s">
        <v>343</v>
      </c>
      <c r="F794" s="7" t="s">
        <v>50</v>
      </c>
      <c r="G794" s="5" t="s">
        <v>51</v>
      </c>
      <c r="H794" s="7" t="s">
        <v>344</v>
      </c>
      <c r="I794" s="7" t="s">
        <v>74</v>
      </c>
      <c r="J794" s="7" t="s">
        <v>1272</v>
      </c>
      <c r="K794" s="7" t="s">
        <v>36</v>
      </c>
      <c r="L794" s="7" t="s">
        <v>37</v>
      </c>
      <c r="M794" s="7" t="s">
        <v>38</v>
      </c>
      <c r="N794" s="5">
        <v>43652.0</v>
      </c>
      <c r="O794" s="8">
        <v>27600.0</v>
      </c>
      <c r="P794" s="8">
        <v>43200.0</v>
      </c>
      <c r="Q794" s="8">
        <f t="shared" si="2"/>
        <v>15600</v>
      </c>
      <c r="R794" s="8">
        <v>18.0</v>
      </c>
      <c r="S794" s="8">
        <f t="shared" si="3"/>
        <v>777600</v>
      </c>
      <c r="T794" s="9">
        <v>0.02</v>
      </c>
      <c r="U794" s="8">
        <f t="shared" si="4"/>
        <v>15552</v>
      </c>
      <c r="V794" s="8">
        <f t="shared" si="5"/>
        <v>762048</v>
      </c>
      <c r="W794" s="10">
        <f t="shared" si="6"/>
        <v>496800</v>
      </c>
      <c r="X794" s="10">
        <f t="shared" si="7"/>
        <v>265248</v>
      </c>
      <c r="Y794" s="10"/>
      <c r="Z794" s="10"/>
      <c r="AA794" s="10"/>
      <c r="AB794" s="4" t="s">
        <v>2417</v>
      </c>
      <c r="AC794" s="4" t="s">
        <v>2416</v>
      </c>
      <c r="AD794" s="4">
        <v>43647.0</v>
      </c>
      <c r="AE794" s="4">
        <v>2019.0</v>
      </c>
      <c r="AF794" s="4" t="s">
        <v>2394</v>
      </c>
      <c r="AG794" s="4" t="s">
        <v>343</v>
      </c>
      <c r="AH794" s="4" t="s">
        <v>50</v>
      </c>
      <c r="AI794" s="4" t="s">
        <v>51</v>
      </c>
      <c r="AJ794" s="4" t="s">
        <v>344</v>
      </c>
      <c r="AK794" s="4" t="s">
        <v>74</v>
      </c>
      <c r="AL794" s="4" t="s">
        <v>1272</v>
      </c>
      <c r="AM794" s="4" t="s">
        <v>36</v>
      </c>
      <c r="AN794" s="4" t="s">
        <v>37</v>
      </c>
      <c r="AO794" s="4" t="s">
        <v>38</v>
      </c>
      <c r="AP794" s="4">
        <v>43652.0</v>
      </c>
      <c r="AQ794" s="4">
        <v>27600.0</v>
      </c>
      <c r="AR794" s="4">
        <v>43200.0</v>
      </c>
      <c r="AS794" s="4">
        <v>15600.0</v>
      </c>
      <c r="AT794" s="4">
        <v>18.0</v>
      </c>
      <c r="AU794" s="4">
        <v>777600.0</v>
      </c>
      <c r="AV794" s="4">
        <v>0.02</v>
      </c>
      <c r="AW794" s="4">
        <v>15552.0</v>
      </c>
      <c r="AX794" s="4">
        <v>762048.0</v>
      </c>
      <c r="AY794" s="4">
        <v>496800.0</v>
      </c>
      <c r="AZ794" s="4">
        <v>265248.0</v>
      </c>
    </row>
    <row r="795" ht="15.75" customHeight="1">
      <c r="A795" s="3" t="s">
        <v>2418</v>
      </c>
      <c r="B795" s="5">
        <v>43647.0</v>
      </c>
      <c r="C795" s="6">
        <f t="shared" si="1"/>
        <v>2019</v>
      </c>
      <c r="D795" s="7" t="s">
        <v>2419</v>
      </c>
      <c r="E795" s="7" t="s">
        <v>194</v>
      </c>
      <c r="F795" s="7" t="s">
        <v>31</v>
      </c>
      <c r="G795" s="5" t="s">
        <v>32</v>
      </c>
      <c r="H795" s="7" t="s">
        <v>33</v>
      </c>
      <c r="I795" s="7" t="s">
        <v>34</v>
      </c>
      <c r="J795" s="7" t="s">
        <v>272</v>
      </c>
      <c r="K795" s="7" t="s">
        <v>36</v>
      </c>
      <c r="L795" s="7" t="s">
        <v>45</v>
      </c>
      <c r="M795" s="7" t="s">
        <v>38</v>
      </c>
      <c r="N795" s="5">
        <v>43647.0</v>
      </c>
      <c r="O795" s="8">
        <v>56250.0</v>
      </c>
      <c r="P795" s="8">
        <v>106200.0</v>
      </c>
      <c r="Q795" s="8">
        <f t="shared" si="2"/>
        <v>49950</v>
      </c>
      <c r="R795" s="8">
        <v>16.0</v>
      </c>
      <c r="S795" s="8">
        <f t="shared" si="3"/>
        <v>1699200</v>
      </c>
      <c r="T795" s="9">
        <v>0.02</v>
      </c>
      <c r="U795" s="8">
        <f t="shared" si="4"/>
        <v>33984</v>
      </c>
      <c r="V795" s="8">
        <f t="shared" si="5"/>
        <v>1665216</v>
      </c>
      <c r="W795" s="10">
        <f t="shared" si="6"/>
        <v>900000</v>
      </c>
      <c r="X795" s="10">
        <f t="shared" si="7"/>
        <v>765216</v>
      </c>
      <c r="Y795" s="10"/>
      <c r="Z795" s="10"/>
      <c r="AA795" s="10"/>
      <c r="AB795" s="4" t="s">
        <v>2420</v>
      </c>
      <c r="AC795" s="4" t="s">
        <v>2418</v>
      </c>
      <c r="AD795" s="4">
        <v>43647.0</v>
      </c>
      <c r="AE795" s="4">
        <v>2019.0</v>
      </c>
      <c r="AF795" s="4" t="s">
        <v>2419</v>
      </c>
      <c r="AG795" s="4" t="s">
        <v>194</v>
      </c>
      <c r="AH795" s="4" t="s">
        <v>31</v>
      </c>
      <c r="AI795" s="4" t="s">
        <v>32</v>
      </c>
      <c r="AJ795" s="4" t="s">
        <v>33</v>
      </c>
      <c r="AK795" s="4" t="s">
        <v>34</v>
      </c>
      <c r="AL795" s="4" t="s">
        <v>272</v>
      </c>
      <c r="AM795" s="4" t="s">
        <v>36</v>
      </c>
      <c r="AN795" s="4" t="s">
        <v>45</v>
      </c>
      <c r="AO795" s="4" t="s">
        <v>38</v>
      </c>
      <c r="AP795" s="4">
        <v>43647.0</v>
      </c>
      <c r="AQ795" s="4">
        <v>56250.0</v>
      </c>
      <c r="AR795" s="4">
        <v>106200.0</v>
      </c>
      <c r="AS795" s="4">
        <v>49950.0</v>
      </c>
      <c r="AT795" s="4">
        <v>16.0</v>
      </c>
      <c r="AU795" s="4">
        <v>1699200.0</v>
      </c>
      <c r="AV795" s="4">
        <v>0.02</v>
      </c>
      <c r="AW795" s="4">
        <v>33984.0</v>
      </c>
      <c r="AX795" s="4">
        <v>1665216.0</v>
      </c>
      <c r="AY795" s="4">
        <v>900000.0</v>
      </c>
      <c r="AZ795" s="4">
        <v>765216.0</v>
      </c>
    </row>
    <row r="796" ht="15.75" customHeight="1">
      <c r="A796" s="3" t="s">
        <v>2421</v>
      </c>
      <c r="B796" s="5">
        <v>43649.0</v>
      </c>
      <c r="C796" s="6">
        <f t="shared" si="1"/>
        <v>2019</v>
      </c>
      <c r="D796" s="7" t="s">
        <v>2422</v>
      </c>
      <c r="E796" s="7" t="s">
        <v>2113</v>
      </c>
      <c r="F796" s="7" t="s">
        <v>50</v>
      </c>
      <c r="G796" s="5" t="s">
        <v>51</v>
      </c>
      <c r="H796" s="7" t="s">
        <v>52</v>
      </c>
      <c r="I796" s="7" t="s">
        <v>92</v>
      </c>
      <c r="J796" s="7" t="s">
        <v>380</v>
      </c>
      <c r="K796" s="7" t="s">
        <v>36</v>
      </c>
      <c r="L796" s="7" t="s">
        <v>45</v>
      </c>
      <c r="M796" s="7" t="s">
        <v>38</v>
      </c>
      <c r="N796" s="5">
        <v>43651.0</v>
      </c>
      <c r="O796" s="8">
        <v>43500.0</v>
      </c>
      <c r="P796" s="8">
        <v>71400.0</v>
      </c>
      <c r="Q796" s="8">
        <f t="shared" si="2"/>
        <v>27900</v>
      </c>
      <c r="R796" s="8">
        <v>23.0</v>
      </c>
      <c r="S796" s="8">
        <f t="shared" si="3"/>
        <v>1642200</v>
      </c>
      <c r="T796" s="9">
        <v>0.05</v>
      </c>
      <c r="U796" s="8">
        <f t="shared" si="4"/>
        <v>82110</v>
      </c>
      <c r="V796" s="8">
        <f t="shared" si="5"/>
        <v>1560090</v>
      </c>
      <c r="W796" s="10">
        <f t="shared" si="6"/>
        <v>1000500</v>
      </c>
      <c r="X796" s="10">
        <f t="shared" si="7"/>
        <v>559590</v>
      </c>
      <c r="Y796" s="10"/>
      <c r="Z796" s="10"/>
      <c r="AA796" s="10"/>
      <c r="AB796" s="4" t="s">
        <v>2423</v>
      </c>
      <c r="AC796" s="4" t="s">
        <v>2421</v>
      </c>
      <c r="AD796" s="4">
        <v>43649.0</v>
      </c>
      <c r="AE796" s="4">
        <v>2019.0</v>
      </c>
      <c r="AF796" s="4" t="s">
        <v>2422</v>
      </c>
      <c r="AG796" s="4" t="s">
        <v>2113</v>
      </c>
      <c r="AH796" s="4" t="s">
        <v>50</v>
      </c>
      <c r="AI796" s="4" t="s">
        <v>51</v>
      </c>
      <c r="AJ796" s="4" t="s">
        <v>52</v>
      </c>
      <c r="AK796" s="4" t="s">
        <v>92</v>
      </c>
      <c r="AL796" s="4" t="s">
        <v>380</v>
      </c>
      <c r="AM796" s="4" t="s">
        <v>36</v>
      </c>
      <c r="AN796" s="4" t="s">
        <v>45</v>
      </c>
      <c r="AO796" s="4" t="s">
        <v>38</v>
      </c>
      <c r="AP796" s="4">
        <v>43651.0</v>
      </c>
      <c r="AQ796" s="4">
        <v>43500.0</v>
      </c>
      <c r="AR796" s="4">
        <v>71400.0</v>
      </c>
      <c r="AS796" s="4">
        <v>27900.0</v>
      </c>
      <c r="AT796" s="4">
        <v>23.0</v>
      </c>
      <c r="AU796" s="4">
        <v>1642200.0</v>
      </c>
      <c r="AV796" s="4">
        <v>0.05</v>
      </c>
      <c r="AW796" s="4">
        <v>82110.0</v>
      </c>
      <c r="AX796" s="4">
        <v>1560090.0</v>
      </c>
      <c r="AY796" s="4">
        <v>1000500.0</v>
      </c>
      <c r="AZ796" s="4">
        <v>559590.0</v>
      </c>
    </row>
    <row r="797" ht="15.75" customHeight="1">
      <c r="A797" s="3" t="s">
        <v>2424</v>
      </c>
      <c r="B797" s="5">
        <v>43650.0</v>
      </c>
      <c r="C797" s="6">
        <f t="shared" si="1"/>
        <v>2019</v>
      </c>
      <c r="D797" s="7" t="s">
        <v>2425</v>
      </c>
      <c r="E797" s="7" t="s">
        <v>253</v>
      </c>
      <c r="F797" s="7" t="s">
        <v>31</v>
      </c>
      <c r="G797" s="5" t="s">
        <v>51</v>
      </c>
      <c r="H797" s="7" t="s">
        <v>43</v>
      </c>
      <c r="I797" s="7" t="s">
        <v>104</v>
      </c>
      <c r="J797" s="7" t="s">
        <v>243</v>
      </c>
      <c r="K797" s="7" t="s">
        <v>61</v>
      </c>
      <c r="L797" s="7" t="s">
        <v>244</v>
      </c>
      <c r="M797" s="7" t="s">
        <v>38</v>
      </c>
      <c r="N797" s="5">
        <v>43651.0</v>
      </c>
      <c r="O797" s="8">
        <v>132300.0</v>
      </c>
      <c r="P797" s="8">
        <v>314850.0</v>
      </c>
      <c r="Q797" s="8">
        <f t="shared" si="2"/>
        <v>182550</v>
      </c>
      <c r="R797" s="8">
        <v>2.0</v>
      </c>
      <c r="S797" s="8">
        <f t="shared" si="3"/>
        <v>629700</v>
      </c>
      <c r="T797" s="9">
        <v>0.07</v>
      </c>
      <c r="U797" s="8">
        <f t="shared" si="4"/>
        <v>44079</v>
      </c>
      <c r="V797" s="8">
        <f t="shared" si="5"/>
        <v>585621</v>
      </c>
      <c r="W797" s="10">
        <f t="shared" si="6"/>
        <v>264600</v>
      </c>
      <c r="X797" s="10">
        <f t="shared" si="7"/>
        <v>321021</v>
      </c>
      <c r="Y797" s="10"/>
      <c r="Z797" s="10"/>
      <c r="AA797" s="10"/>
      <c r="AB797" s="4" t="s">
        <v>2426</v>
      </c>
      <c r="AC797" s="4" t="s">
        <v>2424</v>
      </c>
      <c r="AD797" s="4">
        <v>43650.0</v>
      </c>
      <c r="AE797" s="4">
        <v>2019.0</v>
      </c>
      <c r="AF797" s="4" t="s">
        <v>2425</v>
      </c>
      <c r="AG797" s="4" t="s">
        <v>253</v>
      </c>
      <c r="AH797" s="4" t="s">
        <v>31</v>
      </c>
      <c r="AI797" s="4" t="s">
        <v>51</v>
      </c>
      <c r="AJ797" s="4" t="s">
        <v>43</v>
      </c>
      <c r="AK797" s="4" t="s">
        <v>104</v>
      </c>
      <c r="AL797" s="4" t="s">
        <v>243</v>
      </c>
      <c r="AM797" s="4" t="s">
        <v>61</v>
      </c>
      <c r="AN797" s="4" t="s">
        <v>244</v>
      </c>
      <c r="AO797" s="4" t="s">
        <v>38</v>
      </c>
      <c r="AP797" s="4">
        <v>43651.0</v>
      </c>
      <c r="AQ797" s="4">
        <v>132300.0</v>
      </c>
      <c r="AR797" s="4">
        <v>314850.0</v>
      </c>
      <c r="AS797" s="4">
        <v>182550.0</v>
      </c>
      <c r="AT797" s="4">
        <v>2.0</v>
      </c>
      <c r="AU797" s="4">
        <v>629700.0</v>
      </c>
      <c r="AV797" s="4">
        <v>0.07</v>
      </c>
      <c r="AW797" s="4">
        <v>44079.0</v>
      </c>
      <c r="AX797" s="4">
        <v>585621.0</v>
      </c>
      <c r="AY797" s="4">
        <v>264600.0</v>
      </c>
      <c r="AZ797" s="4">
        <v>321021.0</v>
      </c>
    </row>
    <row r="798" ht="15.75" customHeight="1">
      <c r="A798" s="3" t="s">
        <v>2427</v>
      </c>
      <c r="B798" s="5">
        <v>43654.0</v>
      </c>
      <c r="C798" s="6">
        <f t="shared" si="1"/>
        <v>2019</v>
      </c>
      <c r="D798" s="7" t="s">
        <v>750</v>
      </c>
      <c r="E798" s="7" t="s">
        <v>542</v>
      </c>
      <c r="F798" s="7" t="s">
        <v>31</v>
      </c>
      <c r="G798" s="5" t="s">
        <v>51</v>
      </c>
      <c r="H798" s="7" t="s">
        <v>43</v>
      </c>
      <c r="I798" s="7" t="s">
        <v>92</v>
      </c>
      <c r="J798" s="7" t="s">
        <v>903</v>
      </c>
      <c r="K798" s="7" t="s">
        <v>36</v>
      </c>
      <c r="L798" s="7" t="s">
        <v>45</v>
      </c>
      <c r="M798" s="7" t="s">
        <v>38</v>
      </c>
      <c r="N798" s="5">
        <v>43654.0</v>
      </c>
      <c r="O798" s="8">
        <v>34650.0</v>
      </c>
      <c r="P798" s="8">
        <v>56700.0</v>
      </c>
      <c r="Q798" s="8">
        <f t="shared" si="2"/>
        <v>22050</v>
      </c>
      <c r="R798" s="8">
        <v>28.0</v>
      </c>
      <c r="S798" s="8">
        <f t="shared" si="3"/>
        <v>1587600</v>
      </c>
      <c r="T798" s="9">
        <v>0.0</v>
      </c>
      <c r="U798" s="8">
        <f t="shared" si="4"/>
        <v>0</v>
      </c>
      <c r="V798" s="8">
        <f t="shared" si="5"/>
        <v>1587600</v>
      </c>
      <c r="W798" s="10">
        <f t="shared" si="6"/>
        <v>970200</v>
      </c>
      <c r="X798" s="10">
        <f t="shared" si="7"/>
        <v>617400</v>
      </c>
      <c r="Y798" s="10"/>
      <c r="Z798" s="10"/>
      <c r="AA798" s="10"/>
      <c r="AB798" s="4" t="s">
        <v>2428</v>
      </c>
      <c r="AC798" s="4" t="s">
        <v>2427</v>
      </c>
      <c r="AD798" s="4">
        <v>43654.0</v>
      </c>
      <c r="AE798" s="4">
        <v>2019.0</v>
      </c>
      <c r="AF798" s="4" t="s">
        <v>750</v>
      </c>
      <c r="AG798" s="4" t="s">
        <v>542</v>
      </c>
      <c r="AH798" s="4" t="s">
        <v>31</v>
      </c>
      <c r="AI798" s="4" t="s">
        <v>51</v>
      </c>
      <c r="AJ798" s="4" t="s">
        <v>43</v>
      </c>
      <c r="AK798" s="4" t="s">
        <v>92</v>
      </c>
      <c r="AL798" s="4" t="s">
        <v>903</v>
      </c>
      <c r="AM798" s="4" t="s">
        <v>36</v>
      </c>
      <c r="AN798" s="4" t="s">
        <v>45</v>
      </c>
      <c r="AO798" s="4" t="s">
        <v>38</v>
      </c>
      <c r="AP798" s="4">
        <v>43654.0</v>
      </c>
      <c r="AQ798" s="4">
        <v>34650.0</v>
      </c>
      <c r="AR798" s="4">
        <v>56700.0</v>
      </c>
      <c r="AS798" s="4">
        <v>22050.0</v>
      </c>
      <c r="AT798" s="4">
        <v>28.0</v>
      </c>
      <c r="AU798" s="4">
        <v>1587600.0</v>
      </c>
      <c r="AV798" s="4">
        <v>0.0</v>
      </c>
      <c r="AW798" s="4">
        <v>0.0</v>
      </c>
      <c r="AX798" s="4">
        <v>1587600.0</v>
      </c>
      <c r="AY798" s="4">
        <v>970200.0</v>
      </c>
      <c r="AZ798" s="4">
        <v>617400.0</v>
      </c>
    </row>
    <row r="799" ht="15.75" customHeight="1">
      <c r="A799" s="3" t="s">
        <v>2429</v>
      </c>
      <c r="B799" s="5">
        <v>43655.0</v>
      </c>
      <c r="C799" s="6">
        <f t="shared" si="1"/>
        <v>2019</v>
      </c>
      <c r="D799" s="7" t="s">
        <v>2430</v>
      </c>
      <c r="E799" s="7" t="s">
        <v>962</v>
      </c>
      <c r="F799" s="7" t="s">
        <v>50</v>
      </c>
      <c r="G799" s="5" t="s">
        <v>51</v>
      </c>
      <c r="H799" s="7" t="s">
        <v>80</v>
      </c>
      <c r="I799" s="7" t="s">
        <v>74</v>
      </c>
      <c r="J799" s="7" t="s">
        <v>654</v>
      </c>
      <c r="K799" s="7" t="s">
        <v>36</v>
      </c>
      <c r="L799" s="7" t="s">
        <v>127</v>
      </c>
      <c r="M799" s="7" t="s">
        <v>38</v>
      </c>
      <c r="N799" s="5">
        <v>43657.0</v>
      </c>
      <c r="O799" s="8">
        <v>37500.0</v>
      </c>
      <c r="P799" s="8">
        <v>85200.0</v>
      </c>
      <c r="Q799" s="8">
        <f t="shared" si="2"/>
        <v>47700</v>
      </c>
      <c r="R799" s="8">
        <v>45.0</v>
      </c>
      <c r="S799" s="8">
        <f t="shared" si="3"/>
        <v>3834000</v>
      </c>
      <c r="T799" s="9">
        <v>0.01</v>
      </c>
      <c r="U799" s="8">
        <f t="shared" si="4"/>
        <v>38340</v>
      </c>
      <c r="V799" s="8">
        <f t="shared" si="5"/>
        <v>3795660</v>
      </c>
      <c r="W799" s="10">
        <f t="shared" si="6"/>
        <v>1687500</v>
      </c>
      <c r="X799" s="10">
        <f t="shared" si="7"/>
        <v>2108160</v>
      </c>
      <c r="Y799" s="10"/>
      <c r="Z799" s="10"/>
      <c r="AA799" s="10"/>
      <c r="AB799" s="4" t="s">
        <v>2431</v>
      </c>
      <c r="AC799" s="4" t="s">
        <v>2429</v>
      </c>
      <c r="AD799" s="4">
        <v>43655.0</v>
      </c>
      <c r="AE799" s="4">
        <v>2019.0</v>
      </c>
      <c r="AF799" s="4" t="s">
        <v>2430</v>
      </c>
      <c r="AG799" s="4" t="s">
        <v>962</v>
      </c>
      <c r="AH799" s="4" t="s">
        <v>50</v>
      </c>
      <c r="AI799" s="4" t="s">
        <v>51</v>
      </c>
      <c r="AJ799" s="4" t="s">
        <v>80</v>
      </c>
      <c r="AK799" s="4" t="s">
        <v>74</v>
      </c>
      <c r="AL799" s="4" t="s">
        <v>654</v>
      </c>
      <c r="AM799" s="4" t="s">
        <v>36</v>
      </c>
      <c r="AN799" s="4" t="s">
        <v>127</v>
      </c>
      <c r="AO799" s="4" t="s">
        <v>38</v>
      </c>
      <c r="AP799" s="4">
        <v>43657.0</v>
      </c>
      <c r="AQ799" s="4">
        <v>37500.0</v>
      </c>
      <c r="AR799" s="4">
        <v>85200.0</v>
      </c>
      <c r="AS799" s="4">
        <v>47700.0</v>
      </c>
      <c r="AT799" s="4">
        <v>45.0</v>
      </c>
      <c r="AU799" s="4">
        <v>3834000.0</v>
      </c>
      <c r="AV799" s="4">
        <v>0.01</v>
      </c>
      <c r="AW799" s="4">
        <v>38340.0</v>
      </c>
      <c r="AX799" s="4">
        <v>3795660.0</v>
      </c>
      <c r="AY799" s="4">
        <v>1687500.0</v>
      </c>
      <c r="AZ799" s="4">
        <v>2108160.0</v>
      </c>
    </row>
    <row r="800" ht="15.75" customHeight="1">
      <c r="A800" s="3" t="s">
        <v>2432</v>
      </c>
      <c r="B800" s="5">
        <v>43655.0</v>
      </c>
      <c r="C800" s="6">
        <f t="shared" si="1"/>
        <v>2019</v>
      </c>
      <c r="D800" s="7" t="s">
        <v>2343</v>
      </c>
      <c r="E800" s="7" t="s">
        <v>2344</v>
      </c>
      <c r="F800" s="7" t="s">
        <v>289</v>
      </c>
      <c r="G800" s="5" t="s">
        <v>91</v>
      </c>
      <c r="H800" s="7" t="s">
        <v>80</v>
      </c>
      <c r="I800" s="7" t="s">
        <v>53</v>
      </c>
      <c r="J800" s="7" t="s">
        <v>184</v>
      </c>
      <c r="K800" s="7" t="s">
        <v>36</v>
      </c>
      <c r="L800" s="7" t="s">
        <v>37</v>
      </c>
      <c r="M800" s="7" t="s">
        <v>38</v>
      </c>
      <c r="N800" s="5">
        <v>43657.0</v>
      </c>
      <c r="O800" s="8">
        <v>23850.0</v>
      </c>
      <c r="P800" s="8">
        <v>39150.0</v>
      </c>
      <c r="Q800" s="8">
        <f t="shared" si="2"/>
        <v>15300</v>
      </c>
      <c r="R800" s="8">
        <v>8.0</v>
      </c>
      <c r="S800" s="8">
        <f t="shared" si="3"/>
        <v>313200</v>
      </c>
      <c r="T800" s="9">
        <v>0.02</v>
      </c>
      <c r="U800" s="8">
        <f t="shared" si="4"/>
        <v>6264</v>
      </c>
      <c r="V800" s="8">
        <f t="shared" si="5"/>
        <v>306936</v>
      </c>
      <c r="W800" s="10">
        <f t="shared" si="6"/>
        <v>190800</v>
      </c>
      <c r="X800" s="10">
        <f t="shared" si="7"/>
        <v>116136</v>
      </c>
      <c r="Y800" s="10"/>
      <c r="Z800" s="10"/>
      <c r="AA800" s="10"/>
      <c r="AB800" s="4" t="s">
        <v>2433</v>
      </c>
      <c r="AC800" s="4" t="s">
        <v>2432</v>
      </c>
      <c r="AD800" s="4">
        <v>43655.0</v>
      </c>
      <c r="AE800" s="4">
        <v>2019.0</v>
      </c>
      <c r="AF800" s="4" t="s">
        <v>2343</v>
      </c>
      <c r="AG800" s="4" t="s">
        <v>2344</v>
      </c>
      <c r="AH800" s="4" t="s">
        <v>289</v>
      </c>
      <c r="AI800" s="4" t="s">
        <v>91</v>
      </c>
      <c r="AJ800" s="4" t="s">
        <v>80</v>
      </c>
      <c r="AK800" s="4" t="s">
        <v>53</v>
      </c>
      <c r="AL800" s="4" t="s">
        <v>184</v>
      </c>
      <c r="AM800" s="4" t="s">
        <v>36</v>
      </c>
      <c r="AN800" s="4" t="s">
        <v>37</v>
      </c>
      <c r="AO800" s="4" t="s">
        <v>38</v>
      </c>
      <c r="AP800" s="4">
        <v>43657.0</v>
      </c>
      <c r="AQ800" s="4">
        <v>23850.0</v>
      </c>
      <c r="AR800" s="4">
        <v>39150.0</v>
      </c>
      <c r="AS800" s="4">
        <v>15300.0</v>
      </c>
      <c r="AT800" s="4">
        <v>8.0</v>
      </c>
      <c r="AU800" s="4">
        <v>313200.0</v>
      </c>
      <c r="AV800" s="4">
        <v>0.02</v>
      </c>
      <c r="AW800" s="4">
        <v>6264.0</v>
      </c>
      <c r="AX800" s="4">
        <v>306936.0</v>
      </c>
      <c r="AY800" s="4">
        <v>190800.0</v>
      </c>
      <c r="AZ800" s="4">
        <v>116136.0</v>
      </c>
    </row>
    <row r="801" ht="15.75" customHeight="1">
      <c r="A801" s="3" t="s">
        <v>2434</v>
      </c>
      <c r="B801" s="5">
        <v>43656.0</v>
      </c>
      <c r="C801" s="6">
        <f t="shared" si="1"/>
        <v>2019</v>
      </c>
      <c r="D801" s="7" t="s">
        <v>1238</v>
      </c>
      <c r="E801" s="7" t="s">
        <v>1239</v>
      </c>
      <c r="F801" s="7" t="s">
        <v>31</v>
      </c>
      <c r="G801" s="5" t="s">
        <v>68</v>
      </c>
      <c r="H801" s="7" t="s">
        <v>43</v>
      </c>
      <c r="I801" s="7" t="s">
        <v>34</v>
      </c>
      <c r="J801" s="7" t="s">
        <v>484</v>
      </c>
      <c r="K801" s="7" t="s">
        <v>61</v>
      </c>
      <c r="L801" s="7" t="s">
        <v>555</v>
      </c>
      <c r="M801" s="7" t="s">
        <v>38</v>
      </c>
      <c r="N801" s="5">
        <v>43657.0</v>
      </c>
      <c r="O801" s="8">
        <v>3240000.0</v>
      </c>
      <c r="P801" s="8">
        <v>6749850.0</v>
      </c>
      <c r="Q801" s="8">
        <f t="shared" si="2"/>
        <v>3509850</v>
      </c>
      <c r="R801" s="8">
        <v>49.0</v>
      </c>
      <c r="S801" s="8">
        <f t="shared" si="3"/>
        <v>330742650</v>
      </c>
      <c r="T801" s="9">
        <v>0.06</v>
      </c>
      <c r="U801" s="8">
        <f t="shared" si="4"/>
        <v>19844559</v>
      </c>
      <c r="V801" s="8">
        <f t="shared" si="5"/>
        <v>310898091</v>
      </c>
      <c r="W801" s="10">
        <f t="shared" si="6"/>
        <v>158760000</v>
      </c>
      <c r="X801" s="10">
        <f t="shared" si="7"/>
        <v>152138091</v>
      </c>
      <c r="Y801" s="10"/>
      <c r="Z801" s="10"/>
      <c r="AA801" s="10"/>
      <c r="AB801" s="4" t="s">
        <v>2435</v>
      </c>
      <c r="AC801" s="4" t="s">
        <v>2434</v>
      </c>
      <c r="AD801" s="4">
        <v>43656.0</v>
      </c>
      <c r="AE801" s="4">
        <v>2019.0</v>
      </c>
      <c r="AF801" s="4" t="s">
        <v>1238</v>
      </c>
      <c r="AG801" s="4" t="s">
        <v>1239</v>
      </c>
      <c r="AH801" s="4" t="s">
        <v>31</v>
      </c>
      <c r="AI801" s="4" t="s">
        <v>68</v>
      </c>
      <c r="AJ801" s="4" t="s">
        <v>43</v>
      </c>
      <c r="AK801" s="4" t="s">
        <v>34</v>
      </c>
      <c r="AL801" s="4" t="s">
        <v>484</v>
      </c>
      <c r="AM801" s="4" t="s">
        <v>61</v>
      </c>
      <c r="AN801" s="4" t="s">
        <v>555</v>
      </c>
      <c r="AO801" s="4" t="s">
        <v>38</v>
      </c>
      <c r="AP801" s="4">
        <v>43657.0</v>
      </c>
      <c r="AQ801" s="4">
        <v>3240000.0</v>
      </c>
      <c r="AR801" s="4">
        <v>6749850.0</v>
      </c>
      <c r="AS801" s="4">
        <v>3509850.0</v>
      </c>
      <c r="AT801" s="4">
        <v>49.0</v>
      </c>
      <c r="AU801" s="4">
        <v>3.3074265E8</v>
      </c>
      <c r="AV801" s="4">
        <v>0.06</v>
      </c>
      <c r="AW801" s="4">
        <v>1.9844559E7</v>
      </c>
      <c r="AX801" s="4">
        <v>3.10898091E8</v>
      </c>
      <c r="AY801" s="4">
        <v>1.5876E8</v>
      </c>
      <c r="AZ801" s="4">
        <v>1.52138091E8</v>
      </c>
    </row>
    <row r="802" ht="15.75" customHeight="1">
      <c r="A802" s="3" t="s">
        <v>2436</v>
      </c>
      <c r="B802" s="5">
        <v>43656.0</v>
      </c>
      <c r="C802" s="6">
        <f t="shared" si="1"/>
        <v>2019</v>
      </c>
      <c r="D802" s="7" t="s">
        <v>2437</v>
      </c>
      <c r="E802" s="7" t="s">
        <v>780</v>
      </c>
      <c r="F802" s="7" t="s">
        <v>50</v>
      </c>
      <c r="G802" s="5" t="s">
        <v>32</v>
      </c>
      <c r="H802" s="7" t="s">
        <v>98</v>
      </c>
      <c r="I802" s="7" t="s">
        <v>74</v>
      </c>
      <c r="J802" s="7" t="s">
        <v>60</v>
      </c>
      <c r="K802" s="7" t="s">
        <v>61</v>
      </c>
      <c r="L802" s="7" t="s">
        <v>62</v>
      </c>
      <c r="M802" s="7" t="s">
        <v>63</v>
      </c>
      <c r="N802" s="5">
        <v>43663.0</v>
      </c>
      <c r="O802" s="8">
        <v>1125000.0</v>
      </c>
      <c r="P802" s="8">
        <v>1814550.0</v>
      </c>
      <c r="Q802" s="8">
        <f t="shared" si="2"/>
        <v>689550</v>
      </c>
      <c r="R802" s="8">
        <v>42.0</v>
      </c>
      <c r="S802" s="8">
        <f t="shared" si="3"/>
        <v>76211100</v>
      </c>
      <c r="T802" s="9">
        <v>0.0</v>
      </c>
      <c r="U802" s="8">
        <f t="shared" si="4"/>
        <v>0</v>
      </c>
      <c r="V802" s="8">
        <f t="shared" si="5"/>
        <v>76211100</v>
      </c>
      <c r="W802" s="10">
        <f t="shared" si="6"/>
        <v>47250000</v>
      </c>
      <c r="X802" s="10">
        <f t="shared" si="7"/>
        <v>28961100</v>
      </c>
      <c r="Y802" s="10"/>
      <c r="Z802" s="10"/>
      <c r="AA802" s="10"/>
      <c r="AB802" s="4" t="s">
        <v>2438</v>
      </c>
      <c r="AC802" s="4" t="s">
        <v>2436</v>
      </c>
      <c r="AD802" s="4">
        <v>43656.0</v>
      </c>
      <c r="AE802" s="4">
        <v>2019.0</v>
      </c>
      <c r="AF802" s="4" t="s">
        <v>2437</v>
      </c>
      <c r="AG802" s="4" t="s">
        <v>780</v>
      </c>
      <c r="AH802" s="4" t="s">
        <v>50</v>
      </c>
      <c r="AI802" s="4" t="s">
        <v>32</v>
      </c>
      <c r="AJ802" s="4" t="s">
        <v>98</v>
      </c>
      <c r="AK802" s="4" t="s">
        <v>74</v>
      </c>
      <c r="AL802" s="4" t="s">
        <v>60</v>
      </c>
      <c r="AM802" s="4" t="s">
        <v>61</v>
      </c>
      <c r="AN802" s="4" t="s">
        <v>62</v>
      </c>
      <c r="AO802" s="4" t="s">
        <v>63</v>
      </c>
      <c r="AP802" s="4">
        <v>43663.0</v>
      </c>
      <c r="AQ802" s="4">
        <v>1125000.0</v>
      </c>
      <c r="AR802" s="4">
        <v>1814550.0</v>
      </c>
      <c r="AS802" s="4">
        <v>689550.0</v>
      </c>
      <c r="AT802" s="4">
        <v>42.0</v>
      </c>
      <c r="AU802" s="4">
        <v>7.62111E7</v>
      </c>
      <c r="AV802" s="4">
        <v>0.0</v>
      </c>
      <c r="AW802" s="4">
        <v>0.0</v>
      </c>
      <c r="AX802" s="4">
        <v>7.62111E7</v>
      </c>
      <c r="AY802" s="4">
        <v>4.725E7</v>
      </c>
      <c r="AZ802" s="4">
        <v>2.89611E7</v>
      </c>
    </row>
    <row r="803" ht="15.75" customHeight="1">
      <c r="A803" s="3" t="s">
        <v>2439</v>
      </c>
      <c r="B803" s="5">
        <v>43658.0</v>
      </c>
      <c r="C803" s="6">
        <f t="shared" si="1"/>
        <v>2019</v>
      </c>
      <c r="D803" s="7" t="s">
        <v>2192</v>
      </c>
      <c r="E803" s="7" t="s">
        <v>1509</v>
      </c>
      <c r="F803" s="7" t="s">
        <v>50</v>
      </c>
      <c r="G803" s="5" t="s">
        <v>51</v>
      </c>
      <c r="H803" s="7" t="s">
        <v>52</v>
      </c>
      <c r="I803" s="7" t="s">
        <v>53</v>
      </c>
      <c r="J803" s="7" t="s">
        <v>595</v>
      </c>
      <c r="K803" s="7" t="s">
        <v>36</v>
      </c>
      <c r="L803" s="7" t="s">
        <v>127</v>
      </c>
      <c r="M803" s="7" t="s">
        <v>38</v>
      </c>
      <c r="N803" s="5">
        <v>43659.0</v>
      </c>
      <c r="O803" s="8">
        <v>77850.0</v>
      </c>
      <c r="P803" s="8">
        <v>194700.0</v>
      </c>
      <c r="Q803" s="8">
        <f t="shared" si="2"/>
        <v>116850</v>
      </c>
      <c r="R803" s="8">
        <v>45.0</v>
      </c>
      <c r="S803" s="8">
        <f t="shared" si="3"/>
        <v>8761500</v>
      </c>
      <c r="T803" s="9">
        <v>0.05</v>
      </c>
      <c r="U803" s="8">
        <f t="shared" si="4"/>
        <v>438075</v>
      </c>
      <c r="V803" s="8">
        <f t="shared" si="5"/>
        <v>8323425</v>
      </c>
      <c r="W803" s="10">
        <f t="shared" si="6"/>
        <v>3503250</v>
      </c>
      <c r="X803" s="10">
        <f t="shared" si="7"/>
        <v>4820175</v>
      </c>
      <c r="Y803" s="10"/>
      <c r="Z803" s="10"/>
      <c r="AA803" s="10"/>
      <c r="AB803" s="4" t="s">
        <v>2440</v>
      </c>
      <c r="AC803" s="4" t="s">
        <v>2439</v>
      </c>
      <c r="AD803" s="4">
        <v>43658.0</v>
      </c>
      <c r="AE803" s="4">
        <v>2019.0</v>
      </c>
      <c r="AF803" s="4" t="s">
        <v>2192</v>
      </c>
      <c r="AG803" s="4" t="s">
        <v>1509</v>
      </c>
      <c r="AH803" s="4" t="s">
        <v>50</v>
      </c>
      <c r="AI803" s="4" t="s">
        <v>51</v>
      </c>
      <c r="AJ803" s="4" t="s">
        <v>52</v>
      </c>
      <c r="AK803" s="4" t="s">
        <v>53</v>
      </c>
      <c r="AL803" s="4" t="s">
        <v>595</v>
      </c>
      <c r="AM803" s="4" t="s">
        <v>36</v>
      </c>
      <c r="AN803" s="4" t="s">
        <v>127</v>
      </c>
      <c r="AO803" s="4" t="s">
        <v>38</v>
      </c>
      <c r="AP803" s="4">
        <v>43659.0</v>
      </c>
      <c r="AQ803" s="4">
        <v>77850.0</v>
      </c>
      <c r="AR803" s="4">
        <v>194700.0</v>
      </c>
      <c r="AS803" s="4">
        <v>116850.0</v>
      </c>
      <c r="AT803" s="4">
        <v>45.0</v>
      </c>
      <c r="AU803" s="4">
        <v>8761500.0</v>
      </c>
      <c r="AV803" s="4">
        <v>0.05</v>
      </c>
      <c r="AW803" s="4">
        <v>438075.0</v>
      </c>
      <c r="AX803" s="4">
        <v>8323425.0</v>
      </c>
      <c r="AY803" s="4">
        <v>3503250.0</v>
      </c>
      <c r="AZ803" s="4">
        <v>4820175.0</v>
      </c>
    </row>
    <row r="804" ht="15.75" customHeight="1">
      <c r="A804" s="3" t="s">
        <v>2441</v>
      </c>
      <c r="B804" s="5">
        <v>43658.0</v>
      </c>
      <c r="C804" s="6">
        <f t="shared" si="1"/>
        <v>2019</v>
      </c>
      <c r="D804" s="7" t="s">
        <v>2442</v>
      </c>
      <c r="E804" s="7" t="s">
        <v>509</v>
      </c>
      <c r="F804" s="7" t="s">
        <v>31</v>
      </c>
      <c r="G804" s="5" t="s">
        <v>51</v>
      </c>
      <c r="H804" s="7" t="s">
        <v>33</v>
      </c>
      <c r="I804" s="7" t="s">
        <v>74</v>
      </c>
      <c r="J804" s="7" t="s">
        <v>516</v>
      </c>
      <c r="K804" s="7" t="s">
        <v>36</v>
      </c>
      <c r="L804" s="7" t="s">
        <v>37</v>
      </c>
      <c r="M804" s="7" t="s">
        <v>38</v>
      </c>
      <c r="N804" s="5">
        <v>43660.0</v>
      </c>
      <c r="O804" s="8">
        <v>29100.0</v>
      </c>
      <c r="P804" s="8">
        <v>46200.0</v>
      </c>
      <c r="Q804" s="8">
        <f t="shared" si="2"/>
        <v>17100</v>
      </c>
      <c r="R804" s="8">
        <v>42.0</v>
      </c>
      <c r="S804" s="8">
        <f t="shared" si="3"/>
        <v>1940400</v>
      </c>
      <c r="T804" s="9">
        <v>0.09</v>
      </c>
      <c r="U804" s="8">
        <f t="shared" si="4"/>
        <v>174636</v>
      </c>
      <c r="V804" s="8">
        <f t="shared" si="5"/>
        <v>1765764</v>
      </c>
      <c r="W804" s="10">
        <f t="shared" si="6"/>
        <v>1222200</v>
      </c>
      <c r="X804" s="10">
        <f t="shared" si="7"/>
        <v>543564</v>
      </c>
      <c r="Y804" s="10"/>
      <c r="Z804" s="10"/>
      <c r="AA804" s="10"/>
      <c r="AB804" s="4" t="s">
        <v>2443</v>
      </c>
      <c r="AC804" s="4" t="s">
        <v>2441</v>
      </c>
      <c r="AD804" s="4">
        <v>43658.0</v>
      </c>
      <c r="AE804" s="4">
        <v>2019.0</v>
      </c>
      <c r="AF804" s="4" t="s">
        <v>2442</v>
      </c>
      <c r="AG804" s="4" t="s">
        <v>509</v>
      </c>
      <c r="AH804" s="4" t="s">
        <v>31</v>
      </c>
      <c r="AI804" s="4" t="s">
        <v>51</v>
      </c>
      <c r="AJ804" s="4" t="s">
        <v>33</v>
      </c>
      <c r="AK804" s="4" t="s">
        <v>74</v>
      </c>
      <c r="AL804" s="4" t="s">
        <v>516</v>
      </c>
      <c r="AM804" s="4" t="s">
        <v>36</v>
      </c>
      <c r="AN804" s="4" t="s">
        <v>37</v>
      </c>
      <c r="AO804" s="4" t="s">
        <v>38</v>
      </c>
      <c r="AP804" s="4">
        <v>43660.0</v>
      </c>
      <c r="AQ804" s="4">
        <v>29100.0</v>
      </c>
      <c r="AR804" s="4">
        <v>46200.0</v>
      </c>
      <c r="AS804" s="4">
        <v>17100.0</v>
      </c>
      <c r="AT804" s="4">
        <v>42.0</v>
      </c>
      <c r="AU804" s="4">
        <v>1940400.0</v>
      </c>
      <c r="AV804" s="4">
        <v>0.09</v>
      </c>
      <c r="AW804" s="4">
        <v>174636.0</v>
      </c>
      <c r="AX804" s="4">
        <v>1765764.0</v>
      </c>
      <c r="AY804" s="4">
        <v>1222200.0</v>
      </c>
      <c r="AZ804" s="4">
        <v>543564.0</v>
      </c>
    </row>
    <row r="805" ht="15.75" customHeight="1">
      <c r="A805" s="3" t="s">
        <v>2444</v>
      </c>
      <c r="B805" s="5">
        <v>43659.0</v>
      </c>
      <c r="C805" s="6">
        <f t="shared" si="1"/>
        <v>2019</v>
      </c>
      <c r="D805" s="7" t="s">
        <v>2445</v>
      </c>
      <c r="E805" s="7" t="s">
        <v>139</v>
      </c>
      <c r="F805" s="7" t="s">
        <v>50</v>
      </c>
      <c r="G805" s="5" t="s">
        <v>51</v>
      </c>
      <c r="H805" s="7" t="s">
        <v>140</v>
      </c>
      <c r="I805" s="7" t="s">
        <v>92</v>
      </c>
      <c r="J805" s="7" t="s">
        <v>165</v>
      </c>
      <c r="K805" s="7" t="s">
        <v>36</v>
      </c>
      <c r="L805" s="7" t="s">
        <v>127</v>
      </c>
      <c r="M805" s="7" t="s">
        <v>38</v>
      </c>
      <c r="N805" s="5">
        <v>43660.0</v>
      </c>
      <c r="O805" s="8">
        <v>14100.0</v>
      </c>
      <c r="P805" s="8">
        <v>31200.0</v>
      </c>
      <c r="Q805" s="8">
        <f t="shared" si="2"/>
        <v>17100</v>
      </c>
      <c r="R805" s="8">
        <v>2.0</v>
      </c>
      <c r="S805" s="8">
        <f t="shared" si="3"/>
        <v>62400</v>
      </c>
      <c r="T805" s="9">
        <v>0.01</v>
      </c>
      <c r="U805" s="8">
        <f t="shared" si="4"/>
        <v>624</v>
      </c>
      <c r="V805" s="8">
        <f t="shared" si="5"/>
        <v>61776</v>
      </c>
      <c r="W805" s="10">
        <f t="shared" si="6"/>
        <v>28200</v>
      </c>
      <c r="X805" s="10">
        <f t="shared" si="7"/>
        <v>33576</v>
      </c>
      <c r="Y805" s="10"/>
      <c r="Z805" s="10"/>
      <c r="AA805" s="10"/>
      <c r="AB805" s="4" t="s">
        <v>2446</v>
      </c>
      <c r="AC805" s="4" t="s">
        <v>2444</v>
      </c>
      <c r="AD805" s="4">
        <v>43659.0</v>
      </c>
      <c r="AE805" s="4">
        <v>2019.0</v>
      </c>
      <c r="AF805" s="4" t="s">
        <v>2445</v>
      </c>
      <c r="AG805" s="4" t="s">
        <v>139</v>
      </c>
      <c r="AH805" s="4" t="s">
        <v>50</v>
      </c>
      <c r="AI805" s="4" t="s">
        <v>51</v>
      </c>
      <c r="AJ805" s="4" t="s">
        <v>140</v>
      </c>
      <c r="AK805" s="4" t="s">
        <v>92</v>
      </c>
      <c r="AL805" s="4" t="s">
        <v>165</v>
      </c>
      <c r="AM805" s="4" t="s">
        <v>36</v>
      </c>
      <c r="AN805" s="4" t="s">
        <v>127</v>
      </c>
      <c r="AO805" s="4" t="s">
        <v>38</v>
      </c>
      <c r="AP805" s="4">
        <v>43660.0</v>
      </c>
      <c r="AQ805" s="4">
        <v>14100.0</v>
      </c>
      <c r="AR805" s="4">
        <v>31200.0</v>
      </c>
      <c r="AS805" s="4">
        <v>17100.0</v>
      </c>
      <c r="AT805" s="4">
        <v>2.0</v>
      </c>
      <c r="AU805" s="4">
        <v>62400.0</v>
      </c>
      <c r="AV805" s="4">
        <v>0.01</v>
      </c>
      <c r="AW805" s="4">
        <v>624.0</v>
      </c>
      <c r="AX805" s="4">
        <v>61776.0</v>
      </c>
      <c r="AY805" s="4">
        <v>28200.0</v>
      </c>
      <c r="AZ805" s="4">
        <v>33576.0</v>
      </c>
    </row>
    <row r="806" ht="15.75" customHeight="1">
      <c r="A806" s="3" t="s">
        <v>2447</v>
      </c>
      <c r="B806" s="5">
        <v>43662.0</v>
      </c>
      <c r="C806" s="6">
        <f t="shared" si="1"/>
        <v>2019</v>
      </c>
      <c r="D806" s="7" t="s">
        <v>2448</v>
      </c>
      <c r="E806" s="7" t="s">
        <v>268</v>
      </c>
      <c r="F806" s="7" t="s">
        <v>50</v>
      </c>
      <c r="G806" s="5" t="s">
        <v>51</v>
      </c>
      <c r="H806" s="7" t="s">
        <v>140</v>
      </c>
      <c r="I806" s="7" t="s">
        <v>74</v>
      </c>
      <c r="J806" s="7" t="s">
        <v>254</v>
      </c>
      <c r="K806" s="7" t="s">
        <v>36</v>
      </c>
      <c r="L806" s="7" t="s">
        <v>37</v>
      </c>
      <c r="M806" s="7" t="s">
        <v>38</v>
      </c>
      <c r="N806" s="5">
        <v>43670.0</v>
      </c>
      <c r="O806" s="8">
        <v>208200.0</v>
      </c>
      <c r="P806" s="8">
        <v>335700.0</v>
      </c>
      <c r="Q806" s="8">
        <f t="shared" si="2"/>
        <v>127500</v>
      </c>
      <c r="R806" s="8">
        <v>16.0</v>
      </c>
      <c r="S806" s="8">
        <f t="shared" si="3"/>
        <v>5371200</v>
      </c>
      <c r="T806" s="9">
        <v>0.09</v>
      </c>
      <c r="U806" s="8">
        <f t="shared" si="4"/>
        <v>483408</v>
      </c>
      <c r="V806" s="8">
        <f t="shared" si="5"/>
        <v>4887792</v>
      </c>
      <c r="W806" s="10">
        <f t="shared" si="6"/>
        <v>3331200</v>
      </c>
      <c r="X806" s="10">
        <f t="shared" si="7"/>
        <v>1556592</v>
      </c>
      <c r="Y806" s="10"/>
      <c r="Z806" s="10"/>
      <c r="AA806" s="10"/>
      <c r="AB806" s="4" t="s">
        <v>2449</v>
      </c>
      <c r="AC806" s="4" t="s">
        <v>2447</v>
      </c>
      <c r="AD806" s="4">
        <v>43662.0</v>
      </c>
      <c r="AE806" s="4">
        <v>2019.0</v>
      </c>
      <c r="AF806" s="4" t="s">
        <v>2448</v>
      </c>
      <c r="AG806" s="4" t="s">
        <v>268</v>
      </c>
      <c r="AH806" s="4" t="s">
        <v>50</v>
      </c>
      <c r="AI806" s="4" t="s">
        <v>51</v>
      </c>
      <c r="AJ806" s="4" t="s">
        <v>140</v>
      </c>
      <c r="AK806" s="4" t="s">
        <v>74</v>
      </c>
      <c r="AL806" s="4" t="s">
        <v>254</v>
      </c>
      <c r="AM806" s="4" t="s">
        <v>36</v>
      </c>
      <c r="AN806" s="4" t="s">
        <v>37</v>
      </c>
      <c r="AO806" s="4" t="s">
        <v>38</v>
      </c>
      <c r="AP806" s="4">
        <v>43670.0</v>
      </c>
      <c r="AQ806" s="4">
        <v>208200.0</v>
      </c>
      <c r="AR806" s="4">
        <v>335700.0</v>
      </c>
      <c r="AS806" s="4">
        <v>127500.0</v>
      </c>
      <c r="AT806" s="4">
        <v>16.0</v>
      </c>
      <c r="AU806" s="4">
        <v>5371200.0</v>
      </c>
      <c r="AV806" s="4">
        <v>0.09</v>
      </c>
      <c r="AW806" s="4">
        <v>483408.0</v>
      </c>
      <c r="AX806" s="4">
        <v>4887792.0</v>
      </c>
      <c r="AY806" s="4">
        <v>3331200.0</v>
      </c>
      <c r="AZ806" s="4">
        <v>1556592.0</v>
      </c>
    </row>
    <row r="807" ht="15.75" customHeight="1">
      <c r="A807" s="3" t="s">
        <v>2450</v>
      </c>
      <c r="B807" s="5">
        <v>43663.0</v>
      </c>
      <c r="C807" s="6">
        <f t="shared" si="1"/>
        <v>2019</v>
      </c>
      <c r="D807" s="7" t="s">
        <v>138</v>
      </c>
      <c r="E807" s="7" t="s">
        <v>139</v>
      </c>
      <c r="F807" s="7" t="s">
        <v>50</v>
      </c>
      <c r="G807" s="5" t="s">
        <v>91</v>
      </c>
      <c r="H807" s="7" t="s">
        <v>140</v>
      </c>
      <c r="I807" s="7" t="s">
        <v>74</v>
      </c>
      <c r="J807" s="7" t="s">
        <v>467</v>
      </c>
      <c r="K807" s="7" t="s">
        <v>36</v>
      </c>
      <c r="L807" s="7" t="s">
        <v>45</v>
      </c>
      <c r="M807" s="7" t="s">
        <v>55</v>
      </c>
      <c r="N807" s="5">
        <v>43663.0</v>
      </c>
      <c r="O807" s="8">
        <v>3600.0</v>
      </c>
      <c r="P807" s="8">
        <v>18900.0</v>
      </c>
      <c r="Q807" s="8">
        <f t="shared" si="2"/>
        <v>15300</v>
      </c>
      <c r="R807" s="8">
        <v>40.0</v>
      </c>
      <c r="S807" s="8">
        <f t="shared" si="3"/>
        <v>756000</v>
      </c>
      <c r="T807" s="9">
        <v>0.04</v>
      </c>
      <c r="U807" s="8">
        <f t="shared" si="4"/>
        <v>30240</v>
      </c>
      <c r="V807" s="8">
        <f t="shared" si="5"/>
        <v>725760</v>
      </c>
      <c r="W807" s="10">
        <f t="shared" si="6"/>
        <v>144000</v>
      </c>
      <c r="X807" s="10">
        <f t="shared" si="7"/>
        <v>581760</v>
      </c>
      <c r="Y807" s="10"/>
      <c r="Z807" s="10"/>
      <c r="AA807" s="10"/>
      <c r="AB807" s="4" t="s">
        <v>2451</v>
      </c>
      <c r="AC807" s="4" t="s">
        <v>2450</v>
      </c>
      <c r="AD807" s="4">
        <v>43663.0</v>
      </c>
      <c r="AE807" s="4">
        <v>2019.0</v>
      </c>
      <c r="AF807" s="4" t="s">
        <v>138</v>
      </c>
      <c r="AG807" s="4" t="s">
        <v>139</v>
      </c>
      <c r="AH807" s="4" t="s">
        <v>50</v>
      </c>
      <c r="AI807" s="4" t="s">
        <v>91</v>
      </c>
      <c r="AJ807" s="4" t="s">
        <v>140</v>
      </c>
      <c r="AK807" s="4" t="s">
        <v>74</v>
      </c>
      <c r="AL807" s="4" t="s">
        <v>467</v>
      </c>
      <c r="AM807" s="4" t="s">
        <v>36</v>
      </c>
      <c r="AN807" s="4" t="s">
        <v>45</v>
      </c>
      <c r="AO807" s="4" t="s">
        <v>55</v>
      </c>
      <c r="AP807" s="4">
        <v>43663.0</v>
      </c>
      <c r="AQ807" s="4">
        <v>3600.0</v>
      </c>
      <c r="AR807" s="4">
        <v>18900.0</v>
      </c>
      <c r="AS807" s="4">
        <v>15300.0</v>
      </c>
      <c r="AT807" s="4">
        <v>40.0</v>
      </c>
      <c r="AU807" s="4">
        <v>756000.0</v>
      </c>
      <c r="AV807" s="4">
        <v>0.04</v>
      </c>
      <c r="AW807" s="4">
        <v>30240.0</v>
      </c>
      <c r="AX807" s="4">
        <v>725760.0</v>
      </c>
      <c r="AY807" s="4">
        <v>144000.0</v>
      </c>
      <c r="AZ807" s="4">
        <v>581760.0</v>
      </c>
    </row>
    <row r="808" ht="15.75" customHeight="1">
      <c r="A808" s="3" t="s">
        <v>2452</v>
      </c>
      <c r="B808" s="5">
        <v>43665.0</v>
      </c>
      <c r="C808" s="6">
        <f t="shared" si="1"/>
        <v>2019</v>
      </c>
      <c r="D808" s="7" t="s">
        <v>2453</v>
      </c>
      <c r="E808" s="7" t="s">
        <v>85</v>
      </c>
      <c r="F808" s="7" t="s">
        <v>50</v>
      </c>
      <c r="G808" s="5" t="s">
        <v>68</v>
      </c>
      <c r="H808" s="7" t="s">
        <v>80</v>
      </c>
      <c r="I808" s="7" t="s">
        <v>74</v>
      </c>
      <c r="J808" s="7" t="s">
        <v>889</v>
      </c>
      <c r="K808" s="7" t="s">
        <v>36</v>
      </c>
      <c r="L808" s="7" t="s">
        <v>127</v>
      </c>
      <c r="M808" s="7" t="s">
        <v>38</v>
      </c>
      <c r="N808" s="5">
        <v>43671.0</v>
      </c>
      <c r="O808" s="8">
        <v>61499.99999999999</v>
      </c>
      <c r="P808" s="8">
        <v>139650.0</v>
      </c>
      <c r="Q808" s="8">
        <f t="shared" si="2"/>
        <v>78150</v>
      </c>
      <c r="R808" s="8">
        <v>35.0</v>
      </c>
      <c r="S808" s="8">
        <f t="shared" si="3"/>
        <v>4887750</v>
      </c>
      <c r="T808" s="9">
        <v>0.05</v>
      </c>
      <c r="U808" s="8">
        <f t="shared" si="4"/>
        <v>244387.5</v>
      </c>
      <c r="V808" s="8">
        <f t="shared" si="5"/>
        <v>4643362.5</v>
      </c>
      <c r="W808" s="10">
        <f t="shared" si="6"/>
        <v>2152500</v>
      </c>
      <c r="X808" s="10">
        <f t="shared" si="7"/>
        <v>2490862.5</v>
      </c>
      <c r="Y808" s="10"/>
      <c r="Z808" s="10"/>
      <c r="AA808" s="10"/>
      <c r="AB808" s="4" t="s">
        <v>2454</v>
      </c>
      <c r="AC808" s="4" t="s">
        <v>2452</v>
      </c>
      <c r="AD808" s="4">
        <v>43665.0</v>
      </c>
      <c r="AE808" s="4">
        <v>2019.0</v>
      </c>
      <c r="AF808" s="4" t="s">
        <v>2453</v>
      </c>
      <c r="AG808" s="4" t="s">
        <v>85</v>
      </c>
      <c r="AH808" s="4" t="s">
        <v>50</v>
      </c>
      <c r="AI808" s="4" t="s">
        <v>68</v>
      </c>
      <c r="AJ808" s="4" t="s">
        <v>80</v>
      </c>
      <c r="AK808" s="4" t="s">
        <v>74</v>
      </c>
      <c r="AL808" s="4" t="s">
        <v>889</v>
      </c>
      <c r="AM808" s="4" t="s">
        <v>36</v>
      </c>
      <c r="AN808" s="4" t="s">
        <v>127</v>
      </c>
      <c r="AO808" s="4" t="s">
        <v>38</v>
      </c>
      <c r="AP808" s="4">
        <v>43671.0</v>
      </c>
      <c r="AQ808" s="4">
        <v>61500.0</v>
      </c>
      <c r="AR808" s="4">
        <v>139650.0</v>
      </c>
      <c r="AS808" s="4">
        <v>78150.0</v>
      </c>
      <c r="AT808" s="4">
        <v>35.0</v>
      </c>
      <c r="AU808" s="4">
        <v>4887750.0</v>
      </c>
      <c r="AV808" s="4">
        <v>0.05</v>
      </c>
      <c r="AW808" s="4">
        <v>244387.5</v>
      </c>
      <c r="AX808" s="4">
        <v>4643362.5</v>
      </c>
      <c r="AY808" s="4">
        <v>2152500.0</v>
      </c>
      <c r="AZ808" s="4">
        <v>2490862.5</v>
      </c>
    </row>
    <row r="809" ht="15.75" customHeight="1">
      <c r="A809" s="3" t="s">
        <v>2455</v>
      </c>
      <c r="B809" s="5">
        <v>43666.0</v>
      </c>
      <c r="C809" s="6">
        <f t="shared" si="1"/>
        <v>2019</v>
      </c>
      <c r="D809" s="7" t="s">
        <v>2456</v>
      </c>
      <c r="E809" s="7" t="s">
        <v>501</v>
      </c>
      <c r="F809" s="7" t="s">
        <v>289</v>
      </c>
      <c r="G809" s="5" t="s">
        <v>32</v>
      </c>
      <c r="H809" s="7" t="s">
        <v>80</v>
      </c>
      <c r="I809" s="7" t="s">
        <v>92</v>
      </c>
      <c r="J809" s="7" t="s">
        <v>533</v>
      </c>
      <c r="K809" s="7" t="s">
        <v>36</v>
      </c>
      <c r="L809" s="7" t="s">
        <v>45</v>
      </c>
      <c r="M809" s="7" t="s">
        <v>38</v>
      </c>
      <c r="N809" s="5">
        <v>43668.0</v>
      </c>
      <c r="O809" s="8">
        <v>22950.0</v>
      </c>
      <c r="P809" s="8">
        <v>41700.0</v>
      </c>
      <c r="Q809" s="8">
        <f t="shared" si="2"/>
        <v>18750</v>
      </c>
      <c r="R809" s="8">
        <v>10.0</v>
      </c>
      <c r="S809" s="8">
        <f t="shared" si="3"/>
        <v>417000</v>
      </c>
      <c r="T809" s="9">
        <v>0.01</v>
      </c>
      <c r="U809" s="8">
        <f t="shared" si="4"/>
        <v>4170</v>
      </c>
      <c r="V809" s="8">
        <f t="shared" si="5"/>
        <v>412830</v>
      </c>
      <c r="W809" s="10">
        <f t="shared" si="6"/>
        <v>229500</v>
      </c>
      <c r="X809" s="10">
        <f t="shared" si="7"/>
        <v>183330</v>
      </c>
      <c r="Y809" s="10"/>
      <c r="Z809" s="10"/>
      <c r="AA809" s="10"/>
      <c r="AB809" s="4" t="s">
        <v>2457</v>
      </c>
      <c r="AC809" s="4" t="s">
        <v>2455</v>
      </c>
      <c r="AD809" s="4">
        <v>43666.0</v>
      </c>
      <c r="AE809" s="4">
        <v>2019.0</v>
      </c>
      <c r="AF809" s="4" t="s">
        <v>2456</v>
      </c>
      <c r="AG809" s="4" t="s">
        <v>501</v>
      </c>
      <c r="AH809" s="4" t="s">
        <v>289</v>
      </c>
      <c r="AI809" s="4" t="s">
        <v>32</v>
      </c>
      <c r="AJ809" s="4" t="s">
        <v>80</v>
      </c>
      <c r="AK809" s="4" t="s">
        <v>92</v>
      </c>
      <c r="AL809" s="4" t="s">
        <v>533</v>
      </c>
      <c r="AM809" s="4" t="s">
        <v>36</v>
      </c>
      <c r="AN809" s="4" t="s">
        <v>45</v>
      </c>
      <c r="AO809" s="4" t="s">
        <v>38</v>
      </c>
      <c r="AP809" s="4">
        <v>43668.0</v>
      </c>
      <c r="AQ809" s="4">
        <v>22950.0</v>
      </c>
      <c r="AR809" s="4">
        <v>41700.0</v>
      </c>
      <c r="AS809" s="4">
        <v>18750.0</v>
      </c>
      <c r="AT809" s="4">
        <v>10.0</v>
      </c>
      <c r="AU809" s="4">
        <v>417000.0</v>
      </c>
      <c r="AV809" s="4">
        <v>0.01</v>
      </c>
      <c r="AW809" s="4">
        <v>4170.0</v>
      </c>
      <c r="AX809" s="4">
        <v>412830.0</v>
      </c>
      <c r="AY809" s="4">
        <v>229500.0</v>
      </c>
      <c r="AZ809" s="4">
        <v>183330.0</v>
      </c>
    </row>
    <row r="810" ht="15.75" customHeight="1">
      <c r="A810" s="2" t="s">
        <v>2458</v>
      </c>
      <c r="B810" s="5">
        <v>43670.0</v>
      </c>
      <c r="C810" s="6">
        <f t="shared" si="1"/>
        <v>2019</v>
      </c>
      <c r="D810" s="7" t="s">
        <v>1684</v>
      </c>
      <c r="E810" s="7" t="s">
        <v>550</v>
      </c>
      <c r="F810" s="7" t="s">
        <v>50</v>
      </c>
      <c r="G810" s="5" t="s">
        <v>91</v>
      </c>
      <c r="H810" s="7" t="s">
        <v>151</v>
      </c>
      <c r="I810" s="7" t="s">
        <v>53</v>
      </c>
      <c r="J810" s="7" t="s">
        <v>190</v>
      </c>
      <c r="K810" s="7" t="s">
        <v>61</v>
      </c>
      <c r="L810" s="7" t="s">
        <v>37</v>
      </c>
      <c r="M810" s="7" t="s">
        <v>38</v>
      </c>
      <c r="N810" s="5">
        <v>43672.0</v>
      </c>
      <c r="O810" s="8">
        <v>95850.0</v>
      </c>
      <c r="P810" s="8">
        <v>299700.0</v>
      </c>
      <c r="Q810" s="8">
        <f t="shared" si="2"/>
        <v>203850</v>
      </c>
      <c r="R810" s="8">
        <v>35.0</v>
      </c>
      <c r="S810" s="8">
        <f t="shared" si="3"/>
        <v>10489500</v>
      </c>
      <c r="T810" s="9">
        <v>0.1</v>
      </c>
      <c r="U810" s="8">
        <f t="shared" si="4"/>
        <v>1048950</v>
      </c>
      <c r="V810" s="8">
        <f t="shared" si="5"/>
        <v>9440550</v>
      </c>
      <c r="W810" s="10">
        <f t="shared" si="6"/>
        <v>3354750</v>
      </c>
      <c r="X810" s="10">
        <f t="shared" si="7"/>
        <v>6085800</v>
      </c>
      <c r="Y810" s="10"/>
      <c r="Z810" s="10"/>
      <c r="AA810" s="10"/>
      <c r="AB810" s="4" t="s">
        <v>2459</v>
      </c>
      <c r="AC810" s="4" t="s">
        <v>2458</v>
      </c>
      <c r="AD810" s="4">
        <v>43670.0</v>
      </c>
      <c r="AE810" s="4">
        <v>2019.0</v>
      </c>
      <c r="AF810" s="4" t="s">
        <v>1684</v>
      </c>
      <c r="AG810" s="4" t="s">
        <v>550</v>
      </c>
      <c r="AH810" s="4" t="s">
        <v>50</v>
      </c>
      <c r="AI810" s="4" t="s">
        <v>91</v>
      </c>
      <c r="AJ810" s="4" t="s">
        <v>151</v>
      </c>
      <c r="AK810" s="4" t="s">
        <v>53</v>
      </c>
      <c r="AL810" s="4" t="s">
        <v>190</v>
      </c>
      <c r="AM810" s="4" t="s">
        <v>61</v>
      </c>
      <c r="AN810" s="4" t="s">
        <v>37</v>
      </c>
      <c r="AO810" s="4" t="s">
        <v>38</v>
      </c>
      <c r="AP810" s="4">
        <v>43672.0</v>
      </c>
      <c r="AQ810" s="4">
        <v>95850.0</v>
      </c>
      <c r="AR810" s="4">
        <v>299700.0</v>
      </c>
      <c r="AS810" s="4">
        <v>203850.0</v>
      </c>
      <c r="AT810" s="4">
        <v>35.0</v>
      </c>
      <c r="AU810" s="4">
        <v>1.04895E7</v>
      </c>
      <c r="AV810" s="4">
        <v>0.1</v>
      </c>
      <c r="AW810" s="4">
        <v>1048950.0</v>
      </c>
      <c r="AX810" s="4">
        <v>9440550.0</v>
      </c>
      <c r="AY810" s="4">
        <v>3354750.0</v>
      </c>
      <c r="AZ810" s="4">
        <v>6085800.0</v>
      </c>
    </row>
    <row r="811" ht="15.75" customHeight="1">
      <c r="A811" s="3" t="s">
        <v>2460</v>
      </c>
      <c r="B811" s="5">
        <v>43671.0</v>
      </c>
      <c r="C811" s="6">
        <f t="shared" si="1"/>
        <v>2019</v>
      </c>
      <c r="D811" s="7" t="s">
        <v>187</v>
      </c>
      <c r="E811" s="7" t="s">
        <v>188</v>
      </c>
      <c r="F811" s="7" t="s">
        <v>50</v>
      </c>
      <c r="G811" s="5" t="s">
        <v>51</v>
      </c>
      <c r="H811" s="7" t="s">
        <v>189</v>
      </c>
      <c r="I811" s="7" t="s">
        <v>92</v>
      </c>
      <c r="J811" s="7" t="s">
        <v>1735</v>
      </c>
      <c r="K811" s="7" t="s">
        <v>36</v>
      </c>
      <c r="L811" s="7" t="s">
        <v>37</v>
      </c>
      <c r="M811" s="7" t="s">
        <v>38</v>
      </c>
      <c r="N811" s="5">
        <v>43673.0</v>
      </c>
      <c r="O811" s="8">
        <v>59850.0</v>
      </c>
      <c r="P811" s="8">
        <v>93450.0</v>
      </c>
      <c r="Q811" s="8">
        <f t="shared" si="2"/>
        <v>33600</v>
      </c>
      <c r="R811" s="8">
        <v>21.0</v>
      </c>
      <c r="S811" s="8">
        <f t="shared" si="3"/>
        <v>1962450</v>
      </c>
      <c r="T811" s="9">
        <v>0.05</v>
      </c>
      <c r="U811" s="8">
        <f t="shared" si="4"/>
        <v>98122.5</v>
      </c>
      <c r="V811" s="8">
        <f t="shared" si="5"/>
        <v>1864327.5</v>
      </c>
      <c r="W811" s="10">
        <f t="shared" si="6"/>
        <v>1256850</v>
      </c>
      <c r="X811" s="10">
        <f t="shared" si="7"/>
        <v>607477.5</v>
      </c>
      <c r="Y811" s="10"/>
      <c r="Z811" s="10"/>
      <c r="AA811" s="10"/>
      <c r="AB811" s="4" t="s">
        <v>2461</v>
      </c>
      <c r="AC811" s="4" t="s">
        <v>2460</v>
      </c>
      <c r="AD811" s="4">
        <v>43671.0</v>
      </c>
      <c r="AE811" s="4">
        <v>2019.0</v>
      </c>
      <c r="AF811" s="4" t="s">
        <v>187</v>
      </c>
      <c r="AG811" s="4" t="s">
        <v>188</v>
      </c>
      <c r="AH811" s="4" t="s">
        <v>50</v>
      </c>
      <c r="AI811" s="4" t="s">
        <v>51</v>
      </c>
      <c r="AJ811" s="4" t="s">
        <v>189</v>
      </c>
      <c r="AK811" s="4" t="s">
        <v>92</v>
      </c>
      <c r="AL811" s="4" t="s">
        <v>1735</v>
      </c>
      <c r="AM811" s="4" t="s">
        <v>36</v>
      </c>
      <c r="AN811" s="4" t="s">
        <v>37</v>
      </c>
      <c r="AO811" s="4" t="s">
        <v>38</v>
      </c>
      <c r="AP811" s="4">
        <v>43673.0</v>
      </c>
      <c r="AQ811" s="4">
        <v>59850.0</v>
      </c>
      <c r="AR811" s="4">
        <v>93450.0</v>
      </c>
      <c r="AS811" s="4">
        <v>33600.0</v>
      </c>
      <c r="AT811" s="4">
        <v>21.0</v>
      </c>
      <c r="AU811" s="4">
        <v>1962450.0</v>
      </c>
      <c r="AV811" s="4">
        <v>0.05</v>
      </c>
      <c r="AW811" s="4">
        <v>98122.5</v>
      </c>
      <c r="AX811" s="4">
        <v>1864327.5</v>
      </c>
      <c r="AY811" s="4">
        <v>1256850.0</v>
      </c>
      <c r="AZ811" s="4">
        <v>607477.5</v>
      </c>
    </row>
    <row r="812" ht="15.75" customHeight="1">
      <c r="A812" s="3" t="s">
        <v>2462</v>
      </c>
      <c r="B812" s="5">
        <v>43671.0</v>
      </c>
      <c r="C812" s="6">
        <f t="shared" si="1"/>
        <v>2019</v>
      </c>
      <c r="D812" s="7" t="s">
        <v>439</v>
      </c>
      <c r="E812" s="7" t="s">
        <v>477</v>
      </c>
      <c r="F812" s="7" t="s">
        <v>31</v>
      </c>
      <c r="G812" s="5" t="s">
        <v>51</v>
      </c>
      <c r="H812" s="7" t="s">
        <v>43</v>
      </c>
      <c r="I812" s="7" t="s">
        <v>53</v>
      </c>
      <c r="J812" s="7" t="s">
        <v>1291</v>
      </c>
      <c r="K812" s="7" t="s">
        <v>36</v>
      </c>
      <c r="L812" s="7" t="s">
        <v>45</v>
      </c>
      <c r="M812" s="7" t="s">
        <v>38</v>
      </c>
      <c r="N812" s="5">
        <v>43671.0</v>
      </c>
      <c r="O812" s="8">
        <v>13800.0</v>
      </c>
      <c r="P812" s="8">
        <v>27150.0</v>
      </c>
      <c r="Q812" s="8">
        <f t="shared" si="2"/>
        <v>13350</v>
      </c>
      <c r="R812" s="8">
        <v>22.0</v>
      </c>
      <c r="S812" s="8">
        <f t="shared" si="3"/>
        <v>597300</v>
      </c>
      <c r="T812" s="9">
        <v>0.09</v>
      </c>
      <c r="U812" s="8">
        <f t="shared" si="4"/>
        <v>53757</v>
      </c>
      <c r="V812" s="8">
        <f t="shared" si="5"/>
        <v>543543</v>
      </c>
      <c r="W812" s="10">
        <f t="shared" si="6"/>
        <v>303600</v>
      </c>
      <c r="X812" s="10">
        <f t="shared" si="7"/>
        <v>239943</v>
      </c>
      <c r="Y812" s="10"/>
      <c r="Z812" s="10"/>
      <c r="AA812" s="10"/>
      <c r="AB812" s="4" t="s">
        <v>2463</v>
      </c>
      <c r="AC812" s="4" t="s">
        <v>2462</v>
      </c>
      <c r="AD812" s="4">
        <v>43671.0</v>
      </c>
      <c r="AE812" s="4">
        <v>2019.0</v>
      </c>
      <c r="AF812" s="4" t="s">
        <v>439</v>
      </c>
      <c r="AG812" s="4" t="s">
        <v>477</v>
      </c>
      <c r="AH812" s="4" t="s">
        <v>31</v>
      </c>
      <c r="AI812" s="4" t="s">
        <v>51</v>
      </c>
      <c r="AJ812" s="4" t="s">
        <v>43</v>
      </c>
      <c r="AK812" s="4" t="s">
        <v>53</v>
      </c>
      <c r="AL812" s="4" t="s">
        <v>1291</v>
      </c>
      <c r="AM812" s="4" t="s">
        <v>36</v>
      </c>
      <c r="AN812" s="4" t="s">
        <v>45</v>
      </c>
      <c r="AO812" s="4" t="s">
        <v>38</v>
      </c>
      <c r="AP812" s="4">
        <v>43671.0</v>
      </c>
      <c r="AQ812" s="4">
        <v>13800.0</v>
      </c>
      <c r="AR812" s="4">
        <v>27150.0</v>
      </c>
      <c r="AS812" s="4">
        <v>13350.0</v>
      </c>
      <c r="AT812" s="4">
        <v>22.0</v>
      </c>
      <c r="AU812" s="4">
        <v>597300.0</v>
      </c>
      <c r="AV812" s="4">
        <v>0.09</v>
      </c>
      <c r="AW812" s="4">
        <v>53757.0</v>
      </c>
      <c r="AX812" s="4">
        <v>543543.0</v>
      </c>
      <c r="AY812" s="4">
        <v>303600.0</v>
      </c>
      <c r="AZ812" s="4">
        <v>239943.0</v>
      </c>
    </row>
    <row r="813" ht="15.75" customHeight="1">
      <c r="A813" s="3" t="s">
        <v>2464</v>
      </c>
      <c r="B813" s="5">
        <v>43671.0</v>
      </c>
      <c r="C813" s="6">
        <f t="shared" si="1"/>
        <v>2019</v>
      </c>
      <c r="D813" s="7" t="s">
        <v>2465</v>
      </c>
      <c r="E813" s="7" t="s">
        <v>642</v>
      </c>
      <c r="F813" s="7" t="s">
        <v>50</v>
      </c>
      <c r="G813" s="5" t="s">
        <v>32</v>
      </c>
      <c r="H813" s="7" t="s">
        <v>69</v>
      </c>
      <c r="I813" s="7" t="s">
        <v>34</v>
      </c>
      <c r="J813" s="7" t="s">
        <v>44</v>
      </c>
      <c r="K813" s="7" t="s">
        <v>36</v>
      </c>
      <c r="L813" s="7" t="s">
        <v>45</v>
      </c>
      <c r="M813" s="7" t="s">
        <v>55</v>
      </c>
      <c r="N813" s="5">
        <v>43672.0</v>
      </c>
      <c r="O813" s="8">
        <v>35850.0</v>
      </c>
      <c r="P813" s="8">
        <v>63900.0</v>
      </c>
      <c r="Q813" s="8">
        <f t="shared" si="2"/>
        <v>28050</v>
      </c>
      <c r="R813" s="8">
        <v>34.0</v>
      </c>
      <c r="S813" s="8">
        <f t="shared" si="3"/>
        <v>2172600</v>
      </c>
      <c r="T813" s="9">
        <v>0.03</v>
      </c>
      <c r="U813" s="8">
        <f t="shared" si="4"/>
        <v>65178</v>
      </c>
      <c r="V813" s="8">
        <f t="shared" si="5"/>
        <v>2107422</v>
      </c>
      <c r="W813" s="10">
        <f t="shared" si="6"/>
        <v>1218900</v>
      </c>
      <c r="X813" s="10">
        <f t="shared" si="7"/>
        <v>888522</v>
      </c>
      <c r="Y813" s="10"/>
      <c r="Z813" s="10"/>
      <c r="AA813" s="10"/>
      <c r="AB813" s="4" t="s">
        <v>2466</v>
      </c>
      <c r="AC813" s="4" t="s">
        <v>2464</v>
      </c>
      <c r="AD813" s="4">
        <v>43671.0</v>
      </c>
      <c r="AE813" s="4">
        <v>2019.0</v>
      </c>
      <c r="AF813" s="4" t="s">
        <v>2465</v>
      </c>
      <c r="AG813" s="4" t="s">
        <v>642</v>
      </c>
      <c r="AH813" s="4" t="s">
        <v>50</v>
      </c>
      <c r="AI813" s="4" t="s">
        <v>32</v>
      </c>
      <c r="AJ813" s="4" t="s">
        <v>69</v>
      </c>
      <c r="AK813" s="4" t="s">
        <v>34</v>
      </c>
      <c r="AL813" s="4" t="s">
        <v>44</v>
      </c>
      <c r="AM813" s="4" t="s">
        <v>36</v>
      </c>
      <c r="AN813" s="4" t="s">
        <v>45</v>
      </c>
      <c r="AO813" s="4" t="s">
        <v>55</v>
      </c>
      <c r="AP813" s="4">
        <v>43672.0</v>
      </c>
      <c r="AQ813" s="4">
        <v>35850.0</v>
      </c>
      <c r="AR813" s="4">
        <v>63900.0</v>
      </c>
      <c r="AS813" s="4">
        <v>28050.0</v>
      </c>
      <c r="AT813" s="4">
        <v>34.0</v>
      </c>
      <c r="AU813" s="4">
        <v>2172600.0</v>
      </c>
      <c r="AV813" s="4">
        <v>0.03</v>
      </c>
      <c r="AW813" s="4">
        <v>65178.0</v>
      </c>
      <c r="AX813" s="4">
        <v>2107422.0</v>
      </c>
      <c r="AY813" s="4">
        <v>1218900.0</v>
      </c>
      <c r="AZ813" s="4">
        <v>888522.0</v>
      </c>
    </row>
    <row r="814" ht="15.75" customHeight="1">
      <c r="A814" s="3" t="s">
        <v>2467</v>
      </c>
      <c r="B814" s="5">
        <v>43673.0</v>
      </c>
      <c r="C814" s="6">
        <f t="shared" si="1"/>
        <v>2019</v>
      </c>
      <c r="D814" s="7" t="s">
        <v>1321</v>
      </c>
      <c r="E814" s="7" t="s">
        <v>169</v>
      </c>
      <c r="F814" s="7" t="s">
        <v>31</v>
      </c>
      <c r="G814" s="5" t="s">
        <v>51</v>
      </c>
      <c r="H814" s="7" t="s">
        <v>43</v>
      </c>
      <c r="I814" s="7" t="s">
        <v>53</v>
      </c>
      <c r="J814" s="7" t="s">
        <v>484</v>
      </c>
      <c r="K814" s="7" t="s">
        <v>61</v>
      </c>
      <c r="L814" s="7" t="s">
        <v>62</v>
      </c>
      <c r="M814" s="7" t="s">
        <v>63</v>
      </c>
      <c r="N814" s="5">
        <v>43675.0</v>
      </c>
      <c r="O814" s="8">
        <v>4184850.0</v>
      </c>
      <c r="P814" s="8">
        <v>6749850.0</v>
      </c>
      <c r="Q814" s="8">
        <f t="shared" si="2"/>
        <v>2565000</v>
      </c>
      <c r="R814" s="8">
        <v>43.0</v>
      </c>
      <c r="S814" s="8">
        <f t="shared" si="3"/>
        <v>290243550</v>
      </c>
      <c r="T814" s="9">
        <v>0.06</v>
      </c>
      <c r="U814" s="8">
        <f t="shared" si="4"/>
        <v>17414613</v>
      </c>
      <c r="V814" s="8">
        <f t="shared" si="5"/>
        <v>272828937</v>
      </c>
      <c r="W814" s="10">
        <f t="shared" si="6"/>
        <v>179948550</v>
      </c>
      <c r="X814" s="10">
        <f t="shared" si="7"/>
        <v>92880387</v>
      </c>
      <c r="Y814" s="10"/>
      <c r="Z814" s="10"/>
      <c r="AA814" s="10"/>
      <c r="AB814" s="4" t="s">
        <v>2468</v>
      </c>
      <c r="AC814" s="4" t="s">
        <v>2467</v>
      </c>
      <c r="AD814" s="4">
        <v>43673.0</v>
      </c>
      <c r="AE814" s="4">
        <v>2019.0</v>
      </c>
      <c r="AF814" s="4" t="s">
        <v>1321</v>
      </c>
      <c r="AG814" s="4" t="s">
        <v>169</v>
      </c>
      <c r="AH814" s="4" t="s">
        <v>31</v>
      </c>
      <c r="AI814" s="4" t="s">
        <v>51</v>
      </c>
      <c r="AJ814" s="4" t="s">
        <v>43</v>
      </c>
      <c r="AK814" s="4" t="s">
        <v>53</v>
      </c>
      <c r="AL814" s="4" t="s">
        <v>484</v>
      </c>
      <c r="AM814" s="4" t="s">
        <v>61</v>
      </c>
      <c r="AN814" s="4" t="s">
        <v>62</v>
      </c>
      <c r="AO814" s="4" t="s">
        <v>63</v>
      </c>
      <c r="AP814" s="4">
        <v>43675.0</v>
      </c>
      <c r="AQ814" s="4">
        <v>4184850.0</v>
      </c>
      <c r="AR814" s="4">
        <v>6749850.0</v>
      </c>
      <c r="AS814" s="4">
        <v>2565000.0</v>
      </c>
      <c r="AT814" s="4">
        <v>43.0</v>
      </c>
      <c r="AU814" s="4">
        <v>2.9024355E8</v>
      </c>
      <c r="AV814" s="4">
        <v>0.06</v>
      </c>
      <c r="AW814" s="4">
        <v>1.7414613E7</v>
      </c>
      <c r="AX814" s="4">
        <v>2.72828937E8</v>
      </c>
      <c r="AY814" s="4">
        <v>1.7994855E8</v>
      </c>
      <c r="AZ814" s="4">
        <v>9.2880387E7</v>
      </c>
    </row>
    <row r="815" ht="15.75" customHeight="1">
      <c r="A815" s="3" t="s">
        <v>2469</v>
      </c>
      <c r="B815" s="5">
        <v>43677.0</v>
      </c>
      <c r="C815" s="6">
        <f t="shared" si="1"/>
        <v>2019</v>
      </c>
      <c r="D815" s="7" t="s">
        <v>732</v>
      </c>
      <c r="E815" s="7" t="s">
        <v>85</v>
      </c>
      <c r="F815" s="7" t="s">
        <v>50</v>
      </c>
      <c r="G815" s="5" t="s">
        <v>68</v>
      </c>
      <c r="H815" s="7" t="s">
        <v>80</v>
      </c>
      <c r="I815" s="7" t="s">
        <v>74</v>
      </c>
      <c r="J815" s="7" t="s">
        <v>1099</v>
      </c>
      <c r="K815" s="7" t="s">
        <v>36</v>
      </c>
      <c r="L815" s="7" t="s">
        <v>45</v>
      </c>
      <c r="M815" s="7" t="s">
        <v>38</v>
      </c>
      <c r="N815" s="5">
        <v>43679.0</v>
      </c>
      <c r="O815" s="8">
        <v>15750.0</v>
      </c>
      <c r="P815" s="8">
        <v>29250.0</v>
      </c>
      <c r="Q815" s="8">
        <f t="shared" si="2"/>
        <v>13500</v>
      </c>
      <c r="R815" s="8">
        <v>23.0</v>
      </c>
      <c r="S815" s="8">
        <f t="shared" si="3"/>
        <v>672750</v>
      </c>
      <c r="T815" s="9">
        <v>0.09</v>
      </c>
      <c r="U815" s="8">
        <f t="shared" si="4"/>
        <v>60547.5</v>
      </c>
      <c r="V815" s="8">
        <f t="shared" si="5"/>
        <v>612202.5</v>
      </c>
      <c r="W815" s="10">
        <f t="shared" si="6"/>
        <v>362250</v>
      </c>
      <c r="X815" s="10">
        <f t="shared" si="7"/>
        <v>249952.5</v>
      </c>
      <c r="Y815" s="10"/>
      <c r="Z815" s="10"/>
      <c r="AA815" s="10"/>
      <c r="AB815" s="4" t="s">
        <v>2470</v>
      </c>
      <c r="AC815" s="4" t="s">
        <v>2469</v>
      </c>
      <c r="AD815" s="4">
        <v>43677.0</v>
      </c>
      <c r="AE815" s="4">
        <v>2019.0</v>
      </c>
      <c r="AF815" s="4" t="s">
        <v>732</v>
      </c>
      <c r="AG815" s="4" t="s">
        <v>85</v>
      </c>
      <c r="AH815" s="4" t="s">
        <v>50</v>
      </c>
      <c r="AI815" s="4" t="s">
        <v>68</v>
      </c>
      <c r="AJ815" s="4" t="s">
        <v>80</v>
      </c>
      <c r="AK815" s="4" t="s">
        <v>74</v>
      </c>
      <c r="AL815" s="4" t="s">
        <v>1099</v>
      </c>
      <c r="AM815" s="4" t="s">
        <v>36</v>
      </c>
      <c r="AN815" s="4" t="s">
        <v>45</v>
      </c>
      <c r="AO815" s="4" t="s">
        <v>38</v>
      </c>
      <c r="AP815" s="4">
        <v>43679.0</v>
      </c>
      <c r="AQ815" s="4">
        <v>15750.0</v>
      </c>
      <c r="AR815" s="4">
        <v>29250.0</v>
      </c>
      <c r="AS815" s="4">
        <v>13500.0</v>
      </c>
      <c r="AT815" s="4">
        <v>23.0</v>
      </c>
      <c r="AU815" s="4">
        <v>672750.0</v>
      </c>
      <c r="AV815" s="4">
        <v>0.09</v>
      </c>
      <c r="AW815" s="4">
        <v>60547.5</v>
      </c>
      <c r="AX815" s="4">
        <v>612202.5</v>
      </c>
      <c r="AY815" s="4">
        <v>362250.0</v>
      </c>
      <c r="AZ815" s="4">
        <v>249952.5</v>
      </c>
    </row>
    <row r="816" ht="15.75" customHeight="1">
      <c r="A816" s="3" t="s">
        <v>2471</v>
      </c>
      <c r="B816" s="5">
        <v>43678.0</v>
      </c>
      <c r="C816" s="6">
        <f t="shared" si="1"/>
        <v>2019</v>
      </c>
      <c r="D816" s="7" t="s">
        <v>2472</v>
      </c>
      <c r="E816" s="7" t="s">
        <v>242</v>
      </c>
      <c r="F816" s="7" t="s">
        <v>50</v>
      </c>
      <c r="G816" s="5" t="s">
        <v>51</v>
      </c>
      <c r="H816" s="7" t="s">
        <v>151</v>
      </c>
      <c r="I816" s="7" t="s">
        <v>104</v>
      </c>
      <c r="J816" s="7" t="s">
        <v>584</v>
      </c>
      <c r="K816" s="7" t="s">
        <v>278</v>
      </c>
      <c r="L816" s="7" t="s">
        <v>555</v>
      </c>
      <c r="M816" s="7" t="s">
        <v>38</v>
      </c>
      <c r="N816" s="5">
        <v>43679.0</v>
      </c>
      <c r="O816" s="8">
        <v>842400.0</v>
      </c>
      <c r="P816" s="8">
        <v>2054699.9999999998</v>
      </c>
      <c r="Q816" s="8">
        <f t="shared" si="2"/>
        <v>1212300</v>
      </c>
      <c r="R816" s="8">
        <v>14.0</v>
      </c>
      <c r="S816" s="8">
        <f t="shared" si="3"/>
        <v>28765800</v>
      </c>
      <c r="T816" s="9">
        <v>0.0</v>
      </c>
      <c r="U816" s="8">
        <f t="shared" si="4"/>
        <v>0</v>
      </c>
      <c r="V816" s="8">
        <f t="shared" si="5"/>
        <v>28765800</v>
      </c>
      <c r="W816" s="10">
        <f t="shared" si="6"/>
        <v>11793600</v>
      </c>
      <c r="X816" s="10">
        <f t="shared" si="7"/>
        <v>16972200</v>
      </c>
      <c r="Y816" s="10"/>
      <c r="Z816" s="10"/>
      <c r="AA816" s="10"/>
      <c r="AB816" s="4" t="s">
        <v>2473</v>
      </c>
      <c r="AC816" s="4" t="s">
        <v>2471</v>
      </c>
      <c r="AD816" s="4">
        <v>43678.0</v>
      </c>
      <c r="AE816" s="4">
        <v>2019.0</v>
      </c>
      <c r="AF816" s="4" t="s">
        <v>2472</v>
      </c>
      <c r="AG816" s="4" t="s">
        <v>242</v>
      </c>
      <c r="AH816" s="4" t="s">
        <v>50</v>
      </c>
      <c r="AI816" s="4" t="s">
        <v>51</v>
      </c>
      <c r="AJ816" s="4" t="s">
        <v>151</v>
      </c>
      <c r="AK816" s="4" t="s">
        <v>104</v>
      </c>
      <c r="AL816" s="4" t="s">
        <v>584</v>
      </c>
      <c r="AM816" s="4" t="s">
        <v>278</v>
      </c>
      <c r="AN816" s="4" t="s">
        <v>555</v>
      </c>
      <c r="AO816" s="4" t="s">
        <v>38</v>
      </c>
      <c r="AP816" s="4">
        <v>43679.0</v>
      </c>
      <c r="AQ816" s="4">
        <v>842400.0</v>
      </c>
      <c r="AR816" s="4">
        <v>2054700.0</v>
      </c>
      <c r="AS816" s="4">
        <v>1212300.0</v>
      </c>
      <c r="AT816" s="4">
        <v>14.0</v>
      </c>
      <c r="AU816" s="4">
        <v>2.87658E7</v>
      </c>
      <c r="AV816" s="4">
        <v>0.0</v>
      </c>
      <c r="AW816" s="4">
        <v>0.0</v>
      </c>
      <c r="AX816" s="4">
        <v>2.87658E7</v>
      </c>
      <c r="AY816" s="4">
        <v>1.17936E7</v>
      </c>
      <c r="AZ816" s="4">
        <v>1.69722E7</v>
      </c>
    </row>
    <row r="817" ht="15.75" customHeight="1">
      <c r="A817" s="3" t="s">
        <v>2474</v>
      </c>
      <c r="B817" s="5">
        <v>43678.0</v>
      </c>
      <c r="C817" s="6">
        <f t="shared" si="1"/>
        <v>2019</v>
      </c>
      <c r="D817" s="7" t="s">
        <v>2472</v>
      </c>
      <c r="E817" s="7" t="s">
        <v>242</v>
      </c>
      <c r="F817" s="7" t="s">
        <v>50</v>
      </c>
      <c r="G817" s="5" t="s">
        <v>51</v>
      </c>
      <c r="H817" s="7" t="s">
        <v>151</v>
      </c>
      <c r="I817" s="7" t="s">
        <v>104</v>
      </c>
      <c r="J817" s="7" t="s">
        <v>567</v>
      </c>
      <c r="K817" s="7" t="s">
        <v>36</v>
      </c>
      <c r="L817" s="7" t="s">
        <v>45</v>
      </c>
      <c r="M817" s="7" t="s">
        <v>38</v>
      </c>
      <c r="N817" s="5">
        <v>43680.0</v>
      </c>
      <c r="O817" s="8">
        <v>13950.0</v>
      </c>
      <c r="P817" s="8">
        <v>22200.0</v>
      </c>
      <c r="Q817" s="8">
        <f t="shared" si="2"/>
        <v>8250</v>
      </c>
      <c r="R817" s="8">
        <v>3.0</v>
      </c>
      <c r="S817" s="8">
        <f t="shared" si="3"/>
        <v>66600</v>
      </c>
      <c r="T817" s="9">
        <v>0.1</v>
      </c>
      <c r="U817" s="8">
        <f t="shared" si="4"/>
        <v>6660</v>
      </c>
      <c r="V817" s="8">
        <f t="shared" si="5"/>
        <v>59940</v>
      </c>
      <c r="W817" s="10">
        <f t="shared" si="6"/>
        <v>41850</v>
      </c>
      <c r="X817" s="10">
        <f t="shared" si="7"/>
        <v>18090</v>
      </c>
      <c r="Y817" s="10"/>
      <c r="Z817" s="10"/>
      <c r="AA817" s="10"/>
      <c r="AB817" s="4" t="s">
        <v>2475</v>
      </c>
      <c r="AC817" s="4" t="s">
        <v>2474</v>
      </c>
      <c r="AD817" s="4">
        <v>43678.0</v>
      </c>
      <c r="AE817" s="4">
        <v>2019.0</v>
      </c>
      <c r="AF817" s="4" t="s">
        <v>2472</v>
      </c>
      <c r="AG817" s="4" t="s">
        <v>242</v>
      </c>
      <c r="AH817" s="4" t="s">
        <v>50</v>
      </c>
      <c r="AI817" s="4" t="s">
        <v>51</v>
      </c>
      <c r="AJ817" s="4" t="s">
        <v>151</v>
      </c>
      <c r="AK817" s="4" t="s">
        <v>104</v>
      </c>
      <c r="AL817" s="4" t="s">
        <v>567</v>
      </c>
      <c r="AM817" s="4" t="s">
        <v>36</v>
      </c>
      <c r="AN817" s="4" t="s">
        <v>45</v>
      </c>
      <c r="AO817" s="4" t="s">
        <v>38</v>
      </c>
      <c r="AP817" s="4">
        <v>43680.0</v>
      </c>
      <c r="AQ817" s="4">
        <v>13950.0</v>
      </c>
      <c r="AR817" s="4">
        <v>22200.0</v>
      </c>
      <c r="AS817" s="4">
        <v>8250.0</v>
      </c>
      <c r="AT817" s="4">
        <v>3.0</v>
      </c>
      <c r="AU817" s="4">
        <v>66600.0</v>
      </c>
      <c r="AV817" s="4">
        <v>0.1</v>
      </c>
      <c r="AW817" s="4">
        <v>6660.0</v>
      </c>
      <c r="AX817" s="4">
        <v>59940.0</v>
      </c>
      <c r="AY817" s="4">
        <v>41850.0</v>
      </c>
      <c r="AZ817" s="4">
        <v>18090.0</v>
      </c>
    </row>
    <row r="818" ht="15.75" customHeight="1">
      <c r="A818" s="3" t="s">
        <v>2476</v>
      </c>
      <c r="B818" s="5">
        <v>43683.0</v>
      </c>
      <c r="C818" s="6">
        <f t="shared" si="1"/>
        <v>2019</v>
      </c>
      <c r="D818" s="7" t="s">
        <v>1410</v>
      </c>
      <c r="E818" s="7" t="s">
        <v>716</v>
      </c>
      <c r="F818" s="7" t="s">
        <v>289</v>
      </c>
      <c r="G818" s="5" t="s">
        <v>51</v>
      </c>
      <c r="H818" s="7" t="s">
        <v>140</v>
      </c>
      <c r="I818" s="7" t="s">
        <v>92</v>
      </c>
      <c r="J818" s="7" t="s">
        <v>467</v>
      </c>
      <c r="K818" s="7" t="s">
        <v>36</v>
      </c>
      <c r="L818" s="7" t="s">
        <v>45</v>
      </c>
      <c r="M818" s="7" t="s">
        <v>38</v>
      </c>
      <c r="N818" s="5">
        <v>43684.0</v>
      </c>
      <c r="O818" s="8">
        <v>3600.0</v>
      </c>
      <c r="P818" s="8">
        <v>18900.0</v>
      </c>
      <c r="Q818" s="8">
        <f t="shared" si="2"/>
        <v>15300</v>
      </c>
      <c r="R818" s="8">
        <v>11.0</v>
      </c>
      <c r="S818" s="8">
        <f t="shared" si="3"/>
        <v>207900</v>
      </c>
      <c r="T818" s="9">
        <v>0.0</v>
      </c>
      <c r="U818" s="8">
        <f t="shared" si="4"/>
        <v>0</v>
      </c>
      <c r="V818" s="8">
        <f t="shared" si="5"/>
        <v>207900</v>
      </c>
      <c r="W818" s="10">
        <f t="shared" si="6"/>
        <v>39600</v>
      </c>
      <c r="X818" s="10">
        <f t="shared" si="7"/>
        <v>168300</v>
      </c>
      <c r="Y818" s="10"/>
      <c r="Z818" s="10"/>
      <c r="AA818" s="10"/>
      <c r="AB818" s="4" t="s">
        <v>2477</v>
      </c>
      <c r="AC818" s="4" t="s">
        <v>2476</v>
      </c>
      <c r="AD818" s="4">
        <v>43683.0</v>
      </c>
      <c r="AE818" s="4">
        <v>2019.0</v>
      </c>
      <c r="AF818" s="4" t="s">
        <v>1410</v>
      </c>
      <c r="AG818" s="4" t="s">
        <v>716</v>
      </c>
      <c r="AH818" s="4" t="s">
        <v>289</v>
      </c>
      <c r="AI818" s="4" t="s">
        <v>51</v>
      </c>
      <c r="AJ818" s="4" t="s">
        <v>140</v>
      </c>
      <c r="AK818" s="4" t="s">
        <v>92</v>
      </c>
      <c r="AL818" s="4" t="s">
        <v>467</v>
      </c>
      <c r="AM818" s="4" t="s">
        <v>36</v>
      </c>
      <c r="AN818" s="4" t="s">
        <v>45</v>
      </c>
      <c r="AO818" s="4" t="s">
        <v>38</v>
      </c>
      <c r="AP818" s="4">
        <v>43684.0</v>
      </c>
      <c r="AQ818" s="4">
        <v>3600.0</v>
      </c>
      <c r="AR818" s="4">
        <v>18900.0</v>
      </c>
      <c r="AS818" s="4">
        <v>15300.0</v>
      </c>
      <c r="AT818" s="4">
        <v>11.0</v>
      </c>
      <c r="AU818" s="4">
        <v>207900.0</v>
      </c>
      <c r="AV818" s="4">
        <v>0.0</v>
      </c>
      <c r="AW818" s="4">
        <v>0.0</v>
      </c>
      <c r="AX818" s="4">
        <v>207900.0</v>
      </c>
      <c r="AY818" s="4">
        <v>39600.0</v>
      </c>
      <c r="AZ818" s="4">
        <v>168300.0</v>
      </c>
    </row>
    <row r="819" ht="15.75" customHeight="1">
      <c r="A819" s="3" t="s">
        <v>2478</v>
      </c>
      <c r="B819" s="5">
        <v>43683.0</v>
      </c>
      <c r="C819" s="6">
        <f t="shared" si="1"/>
        <v>2019</v>
      </c>
      <c r="D819" s="7" t="s">
        <v>2479</v>
      </c>
      <c r="E819" s="7" t="s">
        <v>537</v>
      </c>
      <c r="F819" s="7" t="s">
        <v>31</v>
      </c>
      <c r="G819" s="5" t="s">
        <v>32</v>
      </c>
      <c r="H819" s="7" t="s">
        <v>33</v>
      </c>
      <c r="I819" s="7" t="s">
        <v>92</v>
      </c>
      <c r="J819" s="7" t="s">
        <v>259</v>
      </c>
      <c r="K819" s="7" t="s">
        <v>36</v>
      </c>
      <c r="L819" s="7" t="s">
        <v>45</v>
      </c>
      <c r="M819" s="7" t="s">
        <v>38</v>
      </c>
      <c r="N819" s="5">
        <v>43685.0</v>
      </c>
      <c r="O819" s="8">
        <v>323400.0</v>
      </c>
      <c r="P819" s="8">
        <v>548250.0</v>
      </c>
      <c r="Q819" s="8">
        <f t="shared" si="2"/>
        <v>224850</v>
      </c>
      <c r="R819" s="8">
        <v>17.0</v>
      </c>
      <c r="S819" s="8">
        <f t="shared" si="3"/>
        <v>9320250</v>
      </c>
      <c r="T819" s="9">
        <v>0.09</v>
      </c>
      <c r="U819" s="8">
        <f t="shared" si="4"/>
        <v>838822.5</v>
      </c>
      <c r="V819" s="8">
        <f t="shared" si="5"/>
        <v>8481427.5</v>
      </c>
      <c r="W819" s="10">
        <f t="shared" si="6"/>
        <v>5497800</v>
      </c>
      <c r="X819" s="10">
        <f t="shared" si="7"/>
        <v>2983627.5</v>
      </c>
      <c r="Y819" s="10"/>
      <c r="Z819" s="10"/>
      <c r="AA819" s="10"/>
      <c r="AB819" s="4" t="s">
        <v>2480</v>
      </c>
      <c r="AC819" s="4" t="s">
        <v>2478</v>
      </c>
      <c r="AD819" s="4">
        <v>43683.0</v>
      </c>
      <c r="AE819" s="4">
        <v>2019.0</v>
      </c>
      <c r="AF819" s="4" t="s">
        <v>2479</v>
      </c>
      <c r="AG819" s="4" t="s">
        <v>537</v>
      </c>
      <c r="AH819" s="4" t="s">
        <v>31</v>
      </c>
      <c r="AI819" s="4" t="s">
        <v>32</v>
      </c>
      <c r="AJ819" s="4" t="s">
        <v>33</v>
      </c>
      <c r="AK819" s="4" t="s">
        <v>92</v>
      </c>
      <c r="AL819" s="4" t="s">
        <v>259</v>
      </c>
      <c r="AM819" s="4" t="s">
        <v>36</v>
      </c>
      <c r="AN819" s="4" t="s">
        <v>45</v>
      </c>
      <c r="AO819" s="4" t="s">
        <v>38</v>
      </c>
      <c r="AP819" s="4">
        <v>43685.0</v>
      </c>
      <c r="AQ819" s="4">
        <v>323400.0</v>
      </c>
      <c r="AR819" s="4">
        <v>548250.0</v>
      </c>
      <c r="AS819" s="4">
        <v>224850.0</v>
      </c>
      <c r="AT819" s="4">
        <v>17.0</v>
      </c>
      <c r="AU819" s="4">
        <v>9320250.0</v>
      </c>
      <c r="AV819" s="4">
        <v>0.09</v>
      </c>
      <c r="AW819" s="4">
        <v>838822.5</v>
      </c>
      <c r="AX819" s="4">
        <v>8481427.5</v>
      </c>
      <c r="AY819" s="4">
        <v>5497800.0</v>
      </c>
      <c r="AZ819" s="4">
        <v>2983627.5</v>
      </c>
    </row>
    <row r="820" ht="15.75" customHeight="1">
      <c r="A820" s="3" t="s">
        <v>2481</v>
      </c>
      <c r="B820" s="5">
        <v>43683.0</v>
      </c>
      <c r="C820" s="6">
        <f t="shared" si="1"/>
        <v>2019</v>
      </c>
      <c r="D820" s="7" t="s">
        <v>1738</v>
      </c>
      <c r="E820" s="7" t="s">
        <v>977</v>
      </c>
      <c r="F820" s="7" t="s">
        <v>31</v>
      </c>
      <c r="G820" s="5" t="s">
        <v>68</v>
      </c>
      <c r="H820" s="7" t="s">
        <v>33</v>
      </c>
      <c r="I820" s="7" t="s">
        <v>92</v>
      </c>
      <c r="J820" s="7" t="s">
        <v>146</v>
      </c>
      <c r="K820" s="7" t="s">
        <v>36</v>
      </c>
      <c r="L820" s="7" t="s">
        <v>45</v>
      </c>
      <c r="M820" s="7" t="s">
        <v>38</v>
      </c>
      <c r="N820" s="5">
        <v>43684.0</v>
      </c>
      <c r="O820" s="8">
        <v>27300.0</v>
      </c>
      <c r="P820" s="8">
        <v>44700.0</v>
      </c>
      <c r="Q820" s="8">
        <f t="shared" si="2"/>
        <v>17400</v>
      </c>
      <c r="R820" s="8">
        <v>32.0</v>
      </c>
      <c r="S820" s="8">
        <f t="shared" si="3"/>
        <v>1430400</v>
      </c>
      <c r="T820" s="9">
        <v>0.01</v>
      </c>
      <c r="U820" s="8">
        <f t="shared" si="4"/>
        <v>14304</v>
      </c>
      <c r="V820" s="8">
        <f t="shared" si="5"/>
        <v>1416096</v>
      </c>
      <c r="W820" s="10">
        <f t="shared" si="6"/>
        <v>873600</v>
      </c>
      <c r="X820" s="10">
        <f t="shared" si="7"/>
        <v>542496</v>
      </c>
      <c r="Y820" s="10"/>
      <c r="Z820" s="10"/>
      <c r="AA820" s="10"/>
      <c r="AB820" s="4" t="s">
        <v>2482</v>
      </c>
      <c r="AC820" s="4" t="s">
        <v>2481</v>
      </c>
      <c r="AD820" s="4">
        <v>43683.0</v>
      </c>
      <c r="AE820" s="4">
        <v>2019.0</v>
      </c>
      <c r="AF820" s="4" t="s">
        <v>1738</v>
      </c>
      <c r="AG820" s="4" t="s">
        <v>977</v>
      </c>
      <c r="AH820" s="4" t="s">
        <v>31</v>
      </c>
      <c r="AI820" s="4" t="s">
        <v>68</v>
      </c>
      <c r="AJ820" s="4" t="s">
        <v>33</v>
      </c>
      <c r="AK820" s="4" t="s">
        <v>92</v>
      </c>
      <c r="AL820" s="4" t="s">
        <v>146</v>
      </c>
      <c r="AM820" s="4" t="s">
        <v>36</v>
      </c>
      <c r="AN820" s="4" t="s">
        <v>45</v>
      </c>
      <c r="AO820" s="4" t="s">
        <v>38</v>
      </c>
      <c r="AP820" s="4">
        <v>43684.0</v>
      </c>
      <c r="AQ820" s="4">
        <v>27300.0</v>
      </c>
      <c r="AR820" s="4">
        <v>44700.0</v>
      </c>
      <c r="AS820" s="4">
        <v>17400.0</v>
      </c>
      <c r="AT820" s="4">
        <v>32.0</v>
      </c>
      <c r="AU820" s="4">
        <v>1430400.0</v>
      </c>
      <c r="AV820" s="4">
        <v>0.01</v>
      </c>
      <c r="AW820" s="4">
        <v>14304.0</v>
      </c>
      <c r="AX820" s="4">
        <v>1416096.0</v>
      </c>
      <c r="AY820" s="4">
        <v>873600.0</v>
      </c>
      <c r="AZ820" s="4">
        <v>542496.0</v>
      </c>
    </row>
    <row r="821" ht="15.75" customHeight="1">
      <c r="A821" s="3" t="s">
        <v>2483</v>
      </c>
      <c r="B821" s="5">
        <v>43684.0</v>
      </c>
      <c r="C821" s="6">
        <f t="shared" si="1"/>
        <v>2019</v>
      </c>
      <c r="D821" s="7" t="s">
        <v>2484</v>
      </c>
      <c r="E821" s="7" t="s">
        <v>85</v>
      </c>
      <c r="F821" s="7" t="s">
        <v>50</v>
      </c>
      <c r="G821" s="5" t="s">
        <v>32</v>
      </c>
      <c r="H821" s="7" t="s">
        <v>80</v>
      </c>
      <c r="I821" s="7" t="s">
        <v>34</v>
      </c>
      <c r="J821" s="7" t="s">
        <v>574</v>
      </c>
      <c r="K821" s="7" t="s">
        <v>36</v>
      </c>
      <c r="L821" s="7" t="s">
        <v>37</v>
      </c>
      <c r="M821" s="7" t="s">
        <v>38</v>
      </c>
      <c r="N821" s="5">
        <v>43686.0</v>
      </c>
      <c r="O821" s="8">
        <v>32700.000000000004</v>
      </c>
      <c r="P821" s="8">
        <v>52800.0</v>
      </c>
      <c r="Q821" s="8">
        <f t="shared" si="2"/>
        <v>20100</v>
      </c>
      <c r="R821" s="8">
        <v>32.0</v>
      </c>
      <c r="S821" s="8">
        <f t="shared" si="3"/>
        <v>1689600</v>
      </c>
      <c r="T821" s="9">
        <v>0.07</v>
      </c>
      <c r="U821" s="8">
        <f t="shared" si="4"/>
        <v>118272</v>
      </c>
      <c r="V821" s="8">
        <f t="shared" si="5"/>
        <v>1571328</v>
      </c>
      <c r="W821" s="10">
        <f t="shared" si="6"/>
        <v>1046400</v>
      </c>
      <c r="X821" s="10">
        <f t="shared" si="7"/>
        <v>524928</v>
      </c>
      <c r="Y821" s="10"/>
      <c r="Z821" s="10"/>
      <c r="AA821" s="10"/>
      <c r="AB821" s="4" t="s">
        <v>2485</v>
      </c>
      <c r="AC821" s="4" t="s">
        <v>2483</v>
      </c>
      <c r="AD821" s="4">
        <v>43684.0</v>
      </c>
      <c r="AE821" s="4">
        <v>2019.0</v>
      </c>
      <c r="AF821" s="4" t="s">
        <v>2484</v>
      </c>
      <c r="AG821" s="4" t="s">
        <v>85</v>
      </c>
      <c r="AH821" s="4" t="s">
        <v>50</v>
      </c>
      <c r="AI821" s="4" t="s">
        <v>32</v>
      </c>
      <c r="AJ821" s="4" t="s">
        <v>80</v>
      </c>
      <c r="AK821" s="4" t="s">
        <v>34</v>
      </c>
      <c r="AL821" s="4" t="s">
        <v>574</v>
      </c>
      <c r="AM821" s="4" t="s">
        <v>36</v>
      </c>
      <c r="AN821" s="4" t="s">
        <v>37</v>
      </c>
      <c r="AO821" s="4" t="s">
        <v>38</v>
      </c>
      <c r="AP821" s="4">
        <v>43686.0</v>
      </c>
      <c r="AQ821" s="4">
        <v>32700.0</v>
      </c>
      <c r="AR821" s="4">
        <v>52800.0</v>
      </c>
      <c r="AS821" s="4">
        <v>20100.0</v>
      </c>
      <c r="AT821" s="4">
        <v>32.0</v>
      </c>
      <c r="AU821" s="4">
        <v>1689600.0</v>
      </c>
      <c r="AV821" s="4">
        <v>0.07</v>
      </c>
      <c r="AW821" s="4">
        <v>118272.0</v>
      </c>
      <c r="AX821" s="4">
        <v>1571328.0</v>
      </c>
      <c r="AY821" s="4">
        <v>1046400.0</v>
      </c>
      <c r="AZ821" s="4">
        <v>524928.0</v>
      </c>
    </row>
    <row r="822" ht="15.75" customHeight="1">
      <c r="A822" s="3" t="s">
        <v>2486</v>
      </c>
      <c r="B822" s="5">
        <v>43685.0</v>
      </c>
      <c r="C822" s="6">
        <f t="shared" si="1"/>
        <v>2019</v>
      </c>
      <c r="D822" s="7" t="s">
        <v>1508</v>
      </c>
      <c r="E822" s="7" t="s">
        <v>1509</v>
      </c>
      <c r="F822" s="7" t="s">
        <v>50</v>
      </c>
      <c r="G822" s="5" t="s">
        <v>32</v>
      </c>
      <c r="H822" s="7" t="s">
        <v>52</v>
      </c>
      <c r="I822" s="7" t="s">
        <v>92</v>
      </c>
      <c r="J822" s="7" t="s">
        <v>204</v>
      </c>
      <c r="K822" s="7" t="s">
        <v>61</v>
      </c>
      <c r="L822" s="7" t="s">
        <v>37</v>
      </c>
      <c r="M822" s="7" t="s">
        <v>38</v>
      </c>
      <c r="N822" s="5">
        <v>43686.0</v>
      </c>
      <c r="O822" s="8">
        <v>124650.00000000001</v>
      </c>
      <c r="P822" s="8">
        <v>239700.0</v>
      </c>
      <c r="Q822" s="8">
        <f t="shared" si="2"/>
        <v>115050</v>
      </c>
      <c r="R822" s="8">
        <v>18.0</v>
      </c>
      <c r="S822" s="8">
        <f t="shared" si="3"/>
        <v>4314600</v>
      </c>
      <c r="T822" s="9">
        <v>0.1</v>
      </c>
      <c r="U822" s="8">
        <f t="shared" si="4"/>
        <v>431460</v>
      </c>
      <c r="V822" s="8">
        <f t="shared" si="5"/>
        <v>3883140</v>
      </c>
      <c r="W822" s="10">
        <f t="shared" si="6"/>
        <v>2243700</v>
      </c>
      <c r="X822" s="10">
        <f t="shared" si="7"/>
        <v>1639440</v>
      </c>
      <c r="Y822" s="10"/>
      <c r="Z822" s="10"/>
      <c r="AA822" s="10"/>
      <c r="AB822" s="4" t="s">
        <v>2487</v>
      </c>
      <c r="AC822" s="4" t="s">
        <v>2486</v>
      </c>
      <c r="AD822" s="4">
        <v>43685.0</v>
      </c>
      <c r="AE822" s="4">
        <v>2019.0</v>
      </c>
      <c r="AF822" s="4" t="s">
        <v>1508</v>
      </c>
      <c r="AG822" s="4" t="s">
        <v>1509</v>
      </c>
      <c r="AH822" s="4" t="s">
        <v>50</v>
      </c>
      <c r="AI822" s="4" t="s">
        <v>32</v>
      </c>
      <c r="AJ822" s="4" t="s">
        <v>52</v>
      </c>
      <c r="AK822" s="4" t="s">
        <v>92</v>
      </c>
      <c r="AL822" s="4" t="s">
        <v>204</v>
      </c>
      <c r="AM822" s="4" t="s">
        <v>61</v>
      </c>
      <c r="AN822" s="4" t="s">
        <v>37</v>
      </c>
      <c r="AO822" s="4" t="s">
        <v>38</v>
      </c>
      <c r="AP822" s="4">
        <v>43686.0</v>
      </c>
      <c r="AQ822" s="4">
        <v>124650.0</v>
      </c>
      <c r="AR822" s="4">
        <v>239700.0</v>
      </c>
      <c r="AS822" s="4">
        <v>115050.0</v>
      </c>
      <c r="AT822" s="4">
        <v>18.0</v>
      </c>
      <c r="AU822" s="4">
        <v>4314600.0</v>
      </c>
      <c r="AV822" s="4">
        <v>0.1</v>
      </c>
      <c r="AW822" s="4">
        <v>431460.0</v>
      </c>
      <c r="AX822" s="4">
        <v>3883140.0</v>
      </c>
      <c r="AY822" s="4">
        <v>2243700.0</v>
      </c>
      <c r="AZ822" s="4">
        <v>1639440.0</v>
      </c>
    </row>
    <row r="823" ht="15.75" customHeight="1">
      <c r="A823" s="3" t="s">
        <v>2488</v>
      </c>
      <c r="B823" s="5">
        <v>43685.0</v>
      </c>
      <c r="C823" s="6">
        <f t="shared" si="1"/>
        <v>2019</v>
      </c>
      <c r="D823" s="7" t="s">
        <v>2489</v>
      </c>
      <c r="E823" s="7" t="s">
        <v>559</v>
      </c>
      <c r="F823" s="7" t="s">
        <v>50</v>
      </c>
      <c r="G823" s="5" t="s">
        <v>68</v>
      </c>
      <c r="H823" s="7" t="s">
        <v>98</v>
      </c>
      <c r="I823" s="7" t="s">
        <v>104</v>
      </c>
      <c r="J823" s="7" t="s">
        <v>335</v>
      </c>
      <c r="K823" s="7" t="s">
        <v>36</v>
      </c>
      <c r="L823" s="7" t="s">
        <v>45</v>
      </c>
      <c r="M823" s="7" t="s">
        <v>38</v>
      </c>
      <c r="N823" s="5">
        <v>43687.0</v>
      </c>
      <c r="O823" s="8">
        <v>52200.0</v>
      </c>
      <c r="P823" s="8">
        <v>81450.0</v>
      </c>
      <c r="Q823" s="8">
        <f t="shared" si="2"/>
        <v>29250</v>
      </c>
      <c r="R823" s="8">
        <v>37.0</v>
      </c>
      <c r="S823" s="8">
        <f t="shared" si="3"/>
        <v>3013650</v>
      </c>
      <c r="T823" s="9">
        <v>0.09</v>
      </c>
      <c r="U823" s="8">
        <f t="shared" si="4"/>
        <v>271228.5</v>
      </c>
      <c r="V823" s="8">
        <f t="shared" si="5"/>
        <v>2742421.5</v>
      </c>
      <c r="W823" s="10">
        <f t="shared" si="6"/>
        <v>1931400</v>
      </c>
      <c r="X823" s="10">
        <f t="shared" si="7"/>
        <v>811021.5</v>
      </c>
      <c r="Y823" s="10"/>
      <c r="Z823" s="10"/>
      <c r="AA823" s="10"/>
      <c r="AB823" s="4" t="s">
        <v>2490</v>
      </c>
      <c r="AC823" s="4" t="s">
        <v>2488</v>
      </c>
      <c r="AD823" s="4">
        <v>43685.0</v>
      </c>
      <c r="AE823" s="4">
        <v>2019.0</v>
      </c>
      <c r="AF823" s="4" t="s">
        <v>2489</v>
      </c>
      <c r="AG823" s="4" t="s">
        <v>559</v>
      </c>
      <c r="AH823" s="4" t="s">
        <v>50</v>
      </c>
      <c r="AI823" s="4" t="s">
        <v>68</v>
      </c>
      <c r="AJ823" s="4" t="s">
        <v>98</v>
      </c>
      <c r="AK823" s="4" t="s">
        <v>104</v>
      </c>
      <c r="AL823" s="4" t="s">
        <v>335</v>
      </c>
      <c r="AM823" s="4" t="s">
        <v>36</v>
      </c>
      <c r="AN823" s="4" t="s">
        <v>45</v>
      </c>
      <c r="AO823" s="4" t="s">
        <v>38</v>
      </c>
      <c r="AP823" s="4">
        <v>43687.0</v>
      </c>
      <c r="AQ823" s="4">
        <v>52200.0</v>
      </c>
      <c r="AR823" s="4">
        <v>81450.0</v>
      </c>
      <c r="AS823" s="4">
        <v>29250.0</v>
      </c>
      <c r="AT823" s="4">
        <v>37.0</v>
      </c>
      <c r="AU823" s="4">
        <v>3013650.0</v>
      </c>
      <c r="AV823" s="4">
        <v>0.09</v>
      </c>
      <c r="AW823" s="4">
        <v>271228.5</v>
      </c>
      <c r="AX823" s="4">
        <v>2742421.5</v>
      </c>
      <c r="AY823" s="4">
        <v>1931400.0</v>
      </c>
      <c r="AZ823" s="4">
        <v>811021.5</v>
      </c>
    </row>
    <row r="824" ht="15.75" customHeight="1">
      <c r="A824" s="3" t="s">
        <v>2491</v>
      </c>
      <c r="B824" s="5">
        <v>43687.0</v>
      </c>
      <c r="C824" s="6">
        <f t="shared" si="1"/>
        <v>2019</v>
      </c>
      <c r="D824" s="7" t="s">
        <v>2492</v>
      </c>
      <c r="E824" s="7" t="s">
        <v>542</v>
      </c>
      <c r="F824" s="7" t="s">
        <v>31</v>
      </c>
      <c r="G824" s="5" t="s">
        <v>68</v>
      </c>
      <c r="H824" s="7" t="s">
        <v>33</v>
      </c>
      <c r="I824" s="7" t="s">
        <v>34</v>
      </c>
      <c r="J824" s="7" t="s">
        <v>318</v>
      </c>
      <c r="K824" s="7" t="s">
        <v>36</v>
      </c>
      <c r="L824" s="7" t="s">
        <v>37</v>
      </c>
      <c r="M824" s="7" t="s">
        <v>38</v>
      </c>
      <c r="N824" s="5">
        <v>43688.0</v>
      </c>
      <c r="O824" s="8">
        <v>33750.0</v>
      </c>
      <c r="P824" s="8">
        <v>55350.0</v>
      </c>
      <c r="Q824" s="8">
        <f t="shared" si="2"/>
        <v>21600</v>
      </c>
      <c r="R824" s="8">
        <v>46.0</v>
      </c>
      <c r="S824" s="8">
        <f t="shared" si="3"/>
        <v>2546100</v>
      </c>
      <c r="T824" s="9">
        <v>0.04</v>
      </c>
      <c r="U824" s="8">
        <f t="shared" si="4"/>
        <v>101844</v>
      </c>
      <c r="V824" s="8">
        <f t="shared" si="5"/>
        <v>2444256</v>
      </c>
      <c r="W824" s="10">
        <f t="shared" si="6"/>
        <v>1552500</v>
      </c>
      <c r="X824" s="10">
        <f t="shared" si="7"/>
        <v>891756</v>
      </c>
      <c r="Y824" s="10"/>
      <c r="Z824" s="10"/>
      <c r="AA824" s="10"/>
      <c r="AB824" s="4" t="s">
        <v>2493</v>
      </c>
      <c r="AC824" s="4" t="s">
        <v>2491</v>
      </c>
      <c r="AD824" s="4">
        <v>43687.0</v>
      </c>
      <c r="AE824" s="4">
        <v>2019.0</v>
      </c>
      <c r="AF824" s="4" t="s">
        <v>2492</v>
      </c>
      <c r="AG824" s="4" t="s">
        <v>542</v>
      </c>
      <c r="AH824" s="4" t="s">
        <v>31</v>
      </c>
      <c r="AI824" s="4" t="s">
        <v>68</v>
      </c>
      <c r="AJ824" s="4" t="s">
        <v>33</v>
      </c>
      <c r="AK824" s="4" t="s">
        <v>34</v>
      </c>
      <c r="AL824" s="4" t="s">
        <v>318</v>
      </c>
      <c r="AM824" s="4" t="s">
        <v>36</v>
      </c>
      <c r="AN824" s="4" t="s">
        <v>37</v>
      </c>
      <c r="AO824" s="4" t="s">
        <v>38</v>
      </c>
      <c r="AP824" s="4">
        <v>43688.0</v>
      </c>
      <c r="AQ824" s="4">
        <v>33750.0</v>
      </c>
      <c r="AR824" s="4">
        <v>55350.0</v>
      </c>
      <c r="AS824" s="4">
        <v>21600.0</v>
      </c>
      <c r="AT824" s="4">
        <v>46.0</v>
      </c>
      <c r="AU824" s="4">
        <v>2546100.0</v>
      </c>
      <c r="AV824" s="4">
        <v>0.04</v>
      </c>
      <c r="AW824" s="4">
        <v>101844.0</v>
      </c>
      <c r="AX824" s="4">
        <v>2444256.0</v>
      </c>
      <c r="AY824" s="4">
        <v>1552500.0</v>
      </c>
      <c r="AZ824" s="4">
        <v>891756.0</v>
      </c>
    </row>
    <row r="825" ht="15.75" customHeight="1">
      <c r="A825" s="3" t="s">
        <v>2494</v>
      </c>
      <c r="B825" s="5">
        <v>43691.0</v>
      </c>
      <c r="C825" s="6">
        <f t="shared" si="1"/>
        <v>2019</v>
      </c>
      <c r="D825" s="7" t="s">
        <v>2116</v>
      </c>
      <c r="E825" s="7" t="s">
        <v>2117</v>
      </c>
      <c r="F825" s="7" t="s">
        <v>289</v>
      </c>
      <c r="G825" s="5" t="s">
        <v>68</v>
      </c>
      <c r="H825" s="7" t="s">
        <v>200</v>
      </c>
      <c r="I825" s="7" t="s">
        <v>92</v>
      </c>
      <c r="J825" s="7" t="s">
        <v>526</v>
      </c>
      <c r="K825" s="7" t="s">
        <v>36</v>
      </c>
      <c r="L825" s="7" t="s">
        <v>37</v>
      </c>
      <c r="M825" s="7" t="s">
        <v>38</v>
      </c>
      <c r="N825" s="5">
        <v>43693.0</v>
      </c>
      <c r="O825" s="8">
        <v>27600.0</v>
      </c>
      <c r="P825" s="8">
        <v>43200.0</v>
      </c>
      <c r="Q825" s="8">
        <f t="shared" si="2"/>
        <v>15600</v>
      </c>
      <c r="R825" s="8">
        <v>45.0</v>
      </c>
      <c r="S825" s="8">
        <f t="shared" si="3"/>
        <v>1944000</v>
      </c>
      <c r="T825" s="9">
        <v>0.02</v>
      </c>
      <c r="U825" s="8">
        <f t="shared" si="4"/>
        <v>38880</v>
      </c>
      <c r="V825" s="8">
        <f t="shared" si="5"/>
        <v>1905120</v>
      </c>
      <c r="W825" s="10">
        <f t="shared" si="6"/>
        <v>1242000</v>
      </c>
      <c r="X825" s="10">
        <f t="shared" si="7"/>
        <v>663120</v>
      </c>
      <c r="Y825" s="10"/>
      <c r="Z825" s="10"/>
      <c r="AA825" s="10"/>
      <c r="AB825" s="4" t="s">
        <v>2495</v>
      </c>
      <c r="AC825" s="4" t="s">
        <v>2494</v>
      </c>
      <c r="AD825" s="4">
        <v>43691.0</v>
      </c>
      <c r="AE825" s="4">
        <v>2019.0</v>
      </c>
      <c r="AF825" s="4" t="s">
        <v>2116</v>
      </c>
      <c r="AG825" s="4" t="s">
        <v>2117</v>
      </c>
      <c r="AH825" s="4" t="s">
        <v>289</v>
      </c>
      <c r="AI825" s="4" t="s">
        <v>68</v>
      </c>
      <c r="AJ825" s="4" t="s">
        <v>200</v>
      </c>
      <c r="AK825" s="4" t="s">
        <v>92</v>
      </c>
      <c r="AL825" s="4" t="s">
        <v>526</v>
      </c>
      <c r="AM825" s="4" t="s">
        <v>36</v>
      </c>
      <c r="AN825" s="4" t="s">
        <v>37</v>
      </c>
      <c r="AO825" s="4" t="s">
        <v>38</v>
      </c>
      <c r="AP825" s="4">
        <v>43693.0</v>
      </c>
      <c r="AQ825" s="4">
        <v>27600.0</v>
      </c>
      <c r="AR825" s="4">
        <v>43200.0</v>
      </c>
      <c r="AS825" s="4">
        <v>15600.0</v>
      </c>
      <c r="AT825" s="4">
        <v>45.0</v>
      </c>
      <c r="AU825" s="4">
        <v>1944000.0</v>
      </c>
      <c r="AV825" s="4">
        <v>0.02</v>
      </c>
      <c r="AW825" s="4">
        <v>38880.0</v>
      </c>
      <c r="AX825" s="4">
        <v>1905120.0</v>
      </c>
      <c r="AY825" s="4">
        <v>1242000.0</v>
      </c>
      <c r="AZ825" s="4">
        <v>663120.0</v>
      </c>
    </row>
    <row r="826" ht="15.75" customHeight="1">
      <c r="A826" s="3" t="s">
        <v>2496</v>
      </c>
      <c r="B826" s="5">
        <v>43691.0</v>
      </c>
      <c r="C826" s="6">
        <f t="shared" si="1"/>
        <v>2019</v>
      </c>
      <c r="D826" s="7" t="s">
        <v>2116</v>
      </c>
      <c r="E826" s="7" t="s">
        <v>2117</v>
      </c>
      <c r="F826" s="7" t="s">
        <v>289</v>
      </c>
      <c r="G826" s="5" t="s">
        <v>68</v>
      </c>
      <c r="H826" s="7" t="s">
        <v>200</v>
      </c>
      <c r="I826" s="7" t="s">
        <v>92</v>
      </c>
      <c r="J826" s="7" t="s">
        <v>502</v>
      </c>
      <c r="K826" s="7" t="s">
        <v>36</v>
      </c>
      <c r="L826" s="7" t="s">
        <v>37</v>
      </c>
      <c r="M826" s="7" t="s">
        <v>38</v>
      </c>
      <c r="N826" s="5">
        <v>43692.0</v>
      </c>
      <c r="O826" s="8">
        <v>66900.0</v>
      </c>
      <c r="P826" s="8">
        <v>163350.0</v>
      </c>
      <c r="Q826" s="8">
        <f t="shared" si="2"/>
        <v>96450</v>
      </c>
      <c r="R826" s="8">
        <v>39.0</v>
      </c>
      <c r="S826" s="8">
        <f t="shared" si="3"/>
        <v>6370650</v>
      </c>
      <c r="T826" s="9">
        <v>0.06</v>
      </c>
      <c r="U826" s="8">
        <f t="shared" si="4"/>
        <v>382239</v>
      </c>
      <c r="V826" s="8">
        <f t="shared" si="5"/>
        <v>5988411</v>
      </c>
      <c r="W826" s="10">
        <f t="shared" si="6"/>
        <v>2609100</v>
      </c>
      <c r="X826" s="10">
        <f t="shared" si="7"/>
        <v>3379311</v>
      </c>
      <c r="Y826" s="10"/>
      <c r="Z826" s="10"/>
      <c r="AA826" s="10"/>
      <c r="AB826" s="4" t="s">
        <v>2497</v>
      </c>
      <c r="AC826" s="4" t="s">
        <v>2496</v>
      </c>
      <c r="AD826" s="4">
        <v>43691.0</v>
      </c>
      <c r="AE826" s="4">
        <v>2019.0</v>
      </c>
      <c r="AF826" s="4" t="s">
        <v>2116</v>
      </c>
      <c r="AG826" s="4" t="s">
        <v>2117</v>
      </c>
      <c r="AH826" s="4" t="s">
        <v>289</v>
      </c>
      <c r="AI826" s="4" t="s">
        <v>68</v>
      </c>
      <c r="AJ826" s="4" t="s">
        <v>200</v>
      </c>
      <c r="AK826" s="4" t="s">
        <v>92</v>
      </c>
      <c r="AL826" s="4" t="s">
        <v>502</v>
      </c>
      <c r="AM826" s="4" t="s">
        <v>36</v>
      </c>
      <c r="AN826" s="4" t="s">
        <v>37</v>
      </c>
      <c r="AO826" s="4" t="s">
        <v>38</v>
      </c>
      <c r="AP826" s="4">
        <v>43692.0</v>
      </c>
      <c r="AQ826" s="4">
        <v>66900.0</v>
      </c>
      <c r="AR826" s="4">
        <v>163350.0</v>
      </c>
      <c r="AS826" s="4">
        <v>96450.0</v>
      </c>
      <c r="AT826" s="4">
        <v>39.0</v>
      </c>
      <c r="AU826" s="4">
        <v>6370650.0</v>
      </c>
      <c r="AV826" s="4">
        <v>0.06</v>
      </c>
      <c r="AW826" s="4">
        <v>382239.0</v>
      </c>
      <c r="AX826" s="4">
        <v>5988411.0</v>
      </c>
      <c r="AY826" s="4">
        <v>2609100.0</v>
      </c>
      <c r="AZ826" s="4">
        <v>3379311.0</v>
      </c>
    </row>
    <row r="827" ht="15.75" customHeight="1">
      <c r="A827" s="3" t="s">
        <v>2498</v>
      </c>
      <c r="B827" s="5">
        <v>43692.0</v>
      </c>
      <c r="C827" s="6">
        <f t="shared" si="1"/>
        <v>2019</v>
      </c>
      <c r="D827" s="7" t="s">
        <v>1512</v>
      </c>
      <c r="E827" s="7" t="s">
        <v>30</v>
      </c>
      <c r="F827" s="7" t="s">
        <v>31</v>
      </c>
      <c r="G827" s="5" t="s">
        <v>32</v>
      </c>
      <c r="H827" s="7" t="s">
        <v>33</v>
      </c>
      <c r="I827" s="7" t="s">
        <v>34</v>
      </c>
      <c r="J827" s="7" t="s">
        <v>277</v>
      </c>
      <c r="K827" s="7" t="s">
        <v>278</v>
      </c>
      <c r="L827" s="7" t="s">
        <v>127</v>
      </c>
      <c r="M827" s="7" t="s">
        <v>38</v>
      </c>
      <c r="N827" s="5">
        <v>43694.0</v>
      </c>
      <c r="O827" s="8">
        <v>82500.0</v>
      </c>
      <c r="P827" s="8">
        <v>183300.0</v>
      </c>
      <c r="Q827" s="8">
        <f t="shared" si="2"/>
        <v>100800</v>
      </c>
      <c r="R827" s="8">
        <v>46.0</v>
      </c>
      <c r="S827" s="8">
        <f t="shared" si="3"/>
        <v>8431800</v>
      </c>
      <c r="T827" s="9">
        <v>0.06</v>
      </c>
      <c r="U827" s="8">
        <f t="shared" si="4"/>
        <v>505908</v>
      </c>
      <c r="V827" s="8">
        <f t="shared" si="5"/>
        <v>7925892</v>
      </c>
      <c r="W827" s="10">
        <f t="shared" si="6"/>
        <v>3795000</v>
      </c>
      <c r="X827" s="10">
        <f t="shared" si="7"/>
        <v>4130892</v>
      </c>
      <c r="Y827" s="10"/>
      <c r="Z827" s="10"/>
      <c r="AA827" s="10"/>
      <c r="AB827" s="4" t="s">
        <v>2499</v>
      </c>
      <c r="AC827" s="4" t="s">
        <v>2498</v>
      </c>
      <c r="AD827" s="4">
        <v>43692.0</v>
      </c>
      <c r="AE827" s="4">
        <v>2019.0</v>
      </c>
      <c r="AF827" s="4" t="s">
        <v>1512</v>
      </c>
      <c r="AG827" s="4" t="s">
        <v>30</v>
      </c>
      <c r="AH827" s="4" t="s">
        <v>31</v>
      </c>
      <c r="AI827" s="4" t="s">
        <v>32</v>
      </c>
      <c r="AJ827" s="4" t="s">
        <v>33</v>
      </c>
      <c r="AK827" s="4" t="s">
        <v>34</v>
      </c>
      <c r="AL827" s="4" t="s">
        <v>277</v>
      </c>
      <c r="AM827" s="4" t="s">
        <v>278</v>
      </c>
      <c r="AN827" s="4" t="s">
        <v>127</v>
      </c>
      <c r="AO827" s="4" t="s">
        <v>38</v>
      </c>
      <c r="AP827" s="4">
        <v>43694.0</v>
      </c>
      <c r="AQ827" s="4">
        <v>82500.0</v>
      </c>
      <c r="AR827" s="4">
        <v>183300.0</v>
      </c>
      <c r="AS827" s="4">
        <v>100800.0</v>
      </c>
      <c r="AT827" s="4">
        <v>46.0</v>
      </c>
      <c r="AU827" s="4">
        <v>8431800.0</v>
      </c>
      <c r="AV827" s="4">
        <v>0.06</v>
      </c>
      <c r="AW827" s="4">
        <v>505908.0</v>
      </c>
      <c r="AX827" s="4">
        <v>7925892.0</v>
      </c>
      <c r="AY827" s="4">
        <v>3795000.0</v>
      </c>
      <c r="AZ827" s="4">
        <v>4130892.0</v>
      </c>
    </row>
    <row r="828" ht="15.75" customHeight="1">
      <c r="A828" s="3" t="s">
        <v>2500</v>
      </c>
      <c r="B828" s="5">
        <v>43692.0</v>
      </c>
      <c r="C828" s="6">
        <f t="shared" si="1"/>
        <v>2019</v>
      </c>
      <c r="D828" s="7" t="s">
        <v>1512</v>
      </c>
      <c r="E828" s="7" t="s">
        <v>30</v>
      </c>
      <c r="F828" s="7" t="s">
        <v>31</v>
      </c>
      <c r="G828" s="5" t="s">
        <v>32</v>
      </c>
      <c r="H828" s="7" t="s">
        <v>33</v>
      </c>
      <c r="I828" s="7" t="s">
        <v>34</v>
      </c>
      <c r="J828" s="7" t="s">
        <v>538</v>
      </c>
      <c r="K828" s="7" t="s">
        <v>36</v>
      </c>
      <c r="L828" s="7" t="s">
        <v>37</v>
      </c>
      <c r="M828" s="7" t="s">
        <v>38</v>
      </c>
      <c r="N828" s="5">
        <v>43693.0</v>
      </c>
      <c r="O828" s="8">
        <v>33900.0</v>
      </c>
      <c r="P828" s="8">
        <v>53700.0</v>
      </c>
      <c r="Q828" s="8">
        <f t="shared" si="2"/>
        <v>19800</v>
      </c>
      <c r="R828" s="8">
        <v>8.0</v>
      </c>
      <c r="S828" s="8">
        <f t="shared" si="3"/>
        <v>429600</v>
      </c>
      <c r="T828" s="9">
        <v>0.09</v>
      </c>
      <c r="U828" s="8">
        <f t="shared" si="4"/>
        <v>38664</v>
      </c>
      <c r="V828" s="8">
        <f t="shared" si="5"/>
        <v>390936</v>
      </c>
      <c r="W828" s="10">
        <f t="shared" si="6"/>
        <v>271200</v>
      </c>
      <c r="X828" s="10">
        <f t="shared" si="7"/>
        <v>119736</v>
      </c>
      <c r="Y828" s="10"/>
      <c r="Z828" s="10"/>
      <c r="AA828" s="10"/>
      <c r="AB828" s="4" t="s">
        <v>2501</v>
      </c>
      <c r="AC828" s="4" t="s">
        <v>2500</v>
      </c>
      <c r="AD828" s="4">
        <v>43692.0</v>
      </c>
      <c r="AE828" s="4">
        <v>2019.0</v>
      </c>
      <c r="AF828" s="4" t="s">
        <v>1512</v>
      </c>
      <c r="AG828" s="4" t="s">
        <v>30</v>
      </c>
      <c r="AH828" s="4" t="s">
        <v>31</v>
      </c>
      <c r="AI828" s="4" t="s">
        <v>32</v>
      </c>
      <c r="AJ828" s="4" t="s">
        <v>33</v>
      </c>
      <c r="AK828" s="4" t="s">
        <v>34</v>
      </c>
      <c r="AL828" s="4" t="s">
        <v>538</v>
      </c>
      <c r="AM828" s="4" t="s">
        <v>36</v>
      </c>
      <c r="AN828" s="4" t="s">
        <v>37</v>
      </c>
      <c r="AO828" s="4" t="s">
        <v>38</v>
      </c>
      <c r="AP828" s="4">
        <v>43693.0</v>
      </c>
      <c r="AQ828" s="4">
        <v>33900.0</v>
      </c>
      <c r="AR828" s="4">
        <v>53700.0</v>
      </c>
      <c r="AS828" s="4">
        <v>19800.0</v>
      </c>
      <c r="AT828" s="4">
        <v>8.0</v>
      </c>
      <c r="AU828" s="4">
        <v>429600.0</v>
      </c>
      <c r="AV828" s="4">
        <v>0.09</v>
      </c>
      <c r="AW828" s="4">
        <v>38664.0</v>
      </c>
      <c r="AX828" s="4">
        <v>390936.0</v>
      </c>
      <c r="AY828" s="4">
        <v>271200.0</v>
      </c>
      <c r="AZ828" s="4">
        <v>119736.0</v>
      </c>
    </row>
    <row r="829" ht="15.75" customHeight="1">
      <c r="A829" s="3" t="s">
        <v>2502</v>
      </c>
      <c r="B829" s="5">
        <v>43692.0</v>
      </c>
      <c r="C829" s="6">
        <f t="shared" si="1"/>
        <v>2019</v>
      </c>
      <c r="D829" s="7" t="s">
        <v>379</v>
      </c>
      <c r="E829" s="7" t="s">
        <v>173</v>
      </c>
      <c r="F829" s="7" t="s">
        <v>31</v>
      </c>
      <c r="G829" s="5" t="s">
        <v>68</v>
      </c>
      <c r="H829" s="7" t="s">
        <v>43</v>
      </c>
      <c r="I829" s="7" t="s">
        <v>92</v>
      </c>
      <c r="J829" s="7" t="s">
        <v>654</v>
      </c>
      <c r="K829" s="7" t="s">
        <v>36</v>
      </c>
      <c r="L829" s="7" t="s">
        <v>127</v>
      </c>
      <c r="M829" s="7" t="s">
        <v>38</v>
      </c>
      <c r="N829" s="5">
        <v>43693.0</v>
      </c>
      <c r="O829" s="8">
        <v>37500.0</v>
      </c>
      <c r="P829" s="8">
        <v>85200.0</v>
      </c>
      <c r="Q829" s="8">
        <f t="shared" si="2"/>
        <v>47700</v>
      </c>
      <c r="R829" s="8">
        <v>25.0</v>
      </c>
      <c r="S829" s="8">
        <f t="shared" si="3"/>
        <v>2130000</v>
      </c>
      <c r="T829" s="9">
        <v>0.1</v>
      </c>
      <c r="U829" s="8">
        <f t="shared" si="4"/>
        <v>213000</v>
      </c>
      <c r="V829" s="8">
        <f t="shared" si="5"/>
        <v>1917000</v>
      </c>
      <c r="W829" s="10">
        <f t="shared" si="6"/>
        <v>937500</v>
      </c>
      <c r="X829" s="10">
        <f t="shared" si="7"/>
        <v>979500</v>
      </c>
      <c r="Y829" s="10"/>
      <c r="Z829" s="10"/>
      <c r="AA829" s="10"/>
      <c r="AB829" s="4" t="s">
        <v>2503</v>
      </c>
      <c r="AC829" s="4" t="s">
        <v>2502</v>
      </c>
      <c r="AD829" s="4">
        <v>43692.0</v>
      </c>
      <c r="AE829" s="4">
        <v>2019.0</v>
      </c>
      <c r="AF829" s="4" t="s">
        <v>379</v>
      </c>
      <c r="AG829" s="4" t="s">
        <v>173</v>
      </c>
      <c r="AH829" s="4" t="s">
        <v>31</v>
      </c>
      <c r="AI829" s="4" t="s">
        <v>68</v>
      </c>
      <c r="AJ829" s="4" t="s">
        <v>43</v>
      </c>
      <c r="AK829" s="4" t="s">
        <v>92</v>
      </c>
      <c r="AL829" s="4" t="s">
        <v>654</v>
      </c>
      <c r="AM829" s="4" t="s">
        <v>36</v>
      </c>
      <c r="AN829" s="4" t="s">
        <v>127</v>
      </c>
      <c r="AO829" s="4" t="s">
        <v>38</v>
      </c>
      <c r="AP829" s="4">
        <v>43693.0</v>
      </c>
      <c r="AQ829" s="4">
        <v>37500.0</v>
      </c>
      <c r="AR829" s="4">
        <v>85200.0</v>
      </c>
      <c r="AS829" s="4">
        <v>47700.0</v>
      </c>
      <c r="AT829" s="4">
        <v>25.0</v>
      </c>
      <c r="AU829" s="4">
        <v>2130000.0</v>
      </c>
      <c r="AV829" s="4">
        <v>0.1</v>
      </c>
      <c r="AW829" s="4">
        <v>213000.0</v>
      </c>
      <c r="AX829" s="4">
        <v>1917000.0</v>
      </c>
      <c r="AY829" s="4">
        <v>937500.0</v>
      </c>
      <c r="AZ829" s="4">
        <v>979500.0</v>
      </c>
    </row>
    <row r="830" ht="15.75" customHeight="1">
      <c r="A830" s="3" t="s">
        <v>2504</v>
      </c>
      <c r="B830" s="5">
        <v>43695.0</v>
      </c>
      <c r="C830" s="6">
        <f t="shared" si="1"/>
        <v>2019</v>
      </c>
      <c r="D830" s="7" t="s">
        <v>2505</v>
      </c>
      <c r="E830" s="7" t="s">
        <v>312</v>
      </c>
      <c r="F830" s="7" t="s">
        <v>50</v>
      </c>
      <c r="G830" s="5" t="s">
        <v>32</v>
      </c>
      <c r="H830" s="7" t="s">
        <v>151</v>
      </c>
      <c r="I830" s="7" t="s">
        <v>104</v>
      </c>
      <c r="J830" s="7" t="s">
        <v>35</v>
      </c>
      <c r="K830" s="7" t="s">
        <v>36</v>
      </c>
      <c r="L830" s="7" t="s">
        <v>37</v>
      </c>
      <c r="M830" s="7" t="s">
        <v>38</v>
      </c>
      <c r="N830" s="5">
        <v>43697.0</v>
      </c>
      <c r="O830" s="8">
        <v>52800.0</v>
      </c>
      <c r="P830" s="8">
        <v>83700.0</v>
      </c>
      <c r="Q830" s="8">
        <f t="shared" si="2"/>
        <v>30900</v>
      </c>
      <c r="R830" s="8">
        <v>13.0</v>
      </c>
      <c r="S830" s="8">
        <f t="shared" si="3"/>
        <v>1088100</v>
      </c>
      <c r="T830" s="9">
        <v>0.06</v>
      </c>
      <c r="U830" s="8">
        <f t="shared" si="4"/>
        <v>65286</v>
      </c>
      <c r="V830" s="8">
        <f t="shared" si="5"/>
        <v>1022814</v>
      </c>
      <c r="W830" s="10">
        <f t="shared" si="6"/>
        <v>686400</v>
      </c>
      <c r="X830" s="10">
        <f t="shared" si="7"/>
        <v>336414</v>
      </c>
      <c r="Y830" s="10"/>
      <c r="Z830" s="10"/>
      <c r="AA830" s="10"/>
      <c r="AB830" s="4" t="s">
        <v>2506</v>
      </c>
      <c r="AC830" s="4" t="s">
        <v>2504</v>
      </c>
      <c r="AD830" s="4">
        <v>43695.0</v>
      </c>
      <c r="AE830" s="4">
        <v>2019.0</v>
      </c>
      <c r="AF830" s="4" t="s">
        <v>2505</v>
      </c>
      <c r="AG830" s="4" t="s">
        <v>312</v>
      </c>
      <c r="AH830" s="4" t="s">
        <v>50</v>
      </c>
      <c r="AI830" s="4" t="s">
        <v>32</v>
      </c>
      <c r="AJ830" s="4" t="s">
        <v>151</v>
      </c>
      <c r="AK830" s="4" t="s">
        <v>104</v>
      </c>
      <c r="AL830" s="4" t="s">
        <v>35</v>
      </c>
      <c r="AM830" s="4" t="s">
        <v>36</v>
      </c>
      <c r="AN830" s="4" t="s">
        <v>37</v>
      </c>
      <c r="AO830" s="4" t="s">
        <v>38</v>
      </c>
      <c r="AP830" s="4">
        <v>43697.0</v>
      </c>
      <c r="AQ830" s="4">
        <v>52800.0</v>
      </c>
      <c r="AR830" s="4">
        <v>83700.0</v>
      </c>
      <c r="AS830" s="4">
        <v>30900.0</v>
      </c>
      <c r="AT830" s="4">
        <v>13.0</v>
      </c>
      <c r="AU830" s="4">
        <v>1088100.0</v>
      </c>
      <c r="AV830" s="4">
        <v>0.06</v>
      </c>
      <c r="AW830" s="4">
        <v>65286.0</v>
      </c>
      <c r="AX830" s="4">
        <v>1022814.0</v>
      </c>
      <c r="AY830" s="4">
        <v>686400.0</v>
      </c>
      <c r="AZ830" s="4">
        <v>336414.0</v>
      </c>
    </row>
    <row r="831" ht="15.75" customHeight="1">
      <c r="A831" s="3" t="s">
        <v>2507</v>
      </c>
      <c r="B831" s="5">
        <v>43698.0</v>
      </c>
      <c r="C831" s="6">
        <f t="shared" si="1"/>
        <v>2019</v>
      </c>
      <c r="D831" s="7" t="s">
        <v>1150</v>
      </c>
      <c r="E831" s="7" t="s">
        <v>312</v>
      </c>
      <c r="F831" s="7" t="s">
        <v>50</v>
      </c>
      <c r="G831" s="5" t="s">
        <v>51</v>
      </c>
      <c r="H831" s="7" t="s">
        <v>151</v>
      </c>
      <c r="I831" s="7" t="s">
        <v>74</v>
      </c>
      <c r="J831" s="7" t="s">
        <v>512</v>
      </c>
      <c r="K831" s="7" t="s">
        <v>36</v>
      </c>
      <c r="L831" s="7" t="s">
        <v>45</v>
      </c>
      <c r="M831" s="7" t="s">
        <v>38</v>
      </c>
      <c r="N831" s="5">
        <v>43702.0</v>
      </c>
      <c r="O831" s="8">
        <v>29250.0</v>
      </c>
      <c r="P831" s="8">
        <v>59700.0</v>
      </c>
      <c r="Q831" s="8">
        <f t="shared" si="2"/>
        <v>30450</v>
      </c>
      <c r="R831" s="8">
        <v>27.0</v>
      </c>
      <c r="S831" s="8">
        <f t="shared" si="3"/>
        <v>1611900</v>
      </c>
      <c r="T831" s="9">
        <v>0.06</v>
      </c>
      <c r="U831" s="8">
        <f t="shared" si="4"/>
        <v>96714</v>
      </c>
      <c r="V831" s="8">
        <f t="shared" si="5"/>
        <v>1515186</v>
      </c>
      <c r="W831" s="10">
        <f t="shared" si="6"/>
        <v>789750</v>
      </c>
      <c r="X831" s="10">
        <f t="shared" si="7"/>
        <v>725436</v>
      </c>
      <c r="Y831" s="10"/>
      <c r="Z831" s="10"/>
      <c r="AA831" s="10"/>
      <c r="AB831" s="4" t="s">
        <v>2508</v>
      </c>
      <c r="AC831" s="4" t="s">
        <v>2507</v>
      </c>
      <c r="AD831" s="4">
        <v>43698.0</v>
      </c>
      <c r="AE831" s="4">
        <v>2019.0</v>
      </c>
      <c r="AF831" s="4" t="s">
        <v>1150</v>
      </c>
      <c r="AG831" s="4" t="s">
        <v>312</v>
      </c>
      <c r="AH831" s="4" t="s">
        <v>50</v>
      </c>
      <c r="AI831" s="4" t="s">
        <v>51</v>
      </c>
      <c r="AJ831" s="4" t="s">
        <v>151</v>
      </c>
      <c r="AK831" s="4" t="s">
        <v>74</v>
      </c>
      <c r="AL831" s="4" t="s">
        <v>512</v>
      </c>
      <c r="AM831" s="4" t="s">
        <v>36</v>
      </c>
      <c r="AN831" s="4" t="s">
        <v>45</v>
      </c>
      <c r="AO831" s="4" t="s">
        <v>38</v>
      </c>
      <c r="AP831" s="4">
        <v>43702.0</v>
      </c>
      <c r="AQ831" s="4">
        <v>29250.0</v>
      </c>
      <c r="AR831" s="4">
        <v>59700.0</v>
      </c>
      <c r="AS831" s="4">
        <v>30450.0</v>
      </c>
      <c r="AT831" s="4">
        <v>27.0</v>
      </c>
      <c r="AU831" s="4">
        <v>1611900.0</v>
      </c>
      <c r="AV831" s="4">
        <v>0.06</v>
      </c>
      <c r="AW831" s="4">
        <v>96714.0</v>
      </c>
      <c r="AX831" s="4">
        <v>1515186.0</v>
      </c>
      <c r="AY831" s="4">
        <v>789750.0</v>
      </c>
      <c r="AZ831" s="4">
        <v>725436.0</v>
      </c>
    </row>
    <row r="832" ht="15.75" customHeight="1">
      <c r="A832" s="3" t="s">
        <v>2509</v>
      </c>
      <c r="B832" s="5">
        <v>43698.0</v>
      </c>
      <c r="C832" s="6">
        <f t="shared" si="1"/>
        <v>2019</v>
      </c>
      <c r="D832" s="7" t="s">
        <v>2382</v>
      </c>
      <c r="E832" s="7" t="s">
        <v>1933</v>
      </c>
      <c r="F832" s="7" t="s">
        <v>50</v>
      </c>
      <c r="G832" s="5" t="s">
        <v>51</v>
      </c>
      <c r="H832" s="7" t="s">
        <v>110</v>
      </c>
      <c r="I832" s="7" t="s">
        <v>74</v>
      </c>
      <c r="J832" s="7" t="s">
        <v>120</v>
      </c>
      <c r="K832" s="7" t="s">
        <v>36</v>
      </c>
      <c r="L832" s="7" t="s">
        <v>45</v>
      </c>
      <c r="M832" s="7" t="s">
        <v>38</v>
      </c>
      <c r="N832" s="5">
        <v>43698.0</v>
      </c>
      <c r="O832" s="8">
        <v>10650.0</v>
      </c>
      <c r="P832" s="8">
        <v>17100.0</v>
      </c>
      <c r="Q832" s="8">
        <f t="shared" si="2"/>
        <v>6450</v>
      </c>
      <c r="R832" s="8">
        <v>20.0</v>
      </c>
      <c r="S832" s="8">
        <f t="shared" si="3"/>
        <v>342000</v>
      </c>
      <c r="T832" s="9">
        <v>0.09</v>
      </c>
      <c r="U832" s="8">
        <f t="shared" si="4"/>
        <v>30780</v>
      </c>
      <c r="V832" s="8">
        <f t="shared" si="5"/>
        <v>311220</v>
      </c>
      <c r="W832" s="10">
        <f t="shared" si="6"/>
        <v>213000</v>
      </c>
      <c r="X832" s="10">
        <f t="shared" si="7"/>
        <v>98220</v>
      </c>
      <c r="Y832" s="10"/>
      <c r="Z832" s="10"/>
      <c r="AA832" s="10"/>
      <c r="AB832" s="4" t="s">
        <v>2510</v>
      </c>
      <c r="AC832" s="4" t="s">
        <v>2509</v>
      </c>
      <c r="AD832" s="4">
        <v>43698.0</v>
      </c>
      <c r="AE832" s="4">
        <v>2019.0</v>
      </c>
      <c r="AF832" s="4" t="s">
        <v>2382</v>
      </c>
      <c r="AG832" s="4" t="s">
        <v>1933</v>
      </c>
      <c r="AH832" s="4" t="s">
        <v>50</v>
      </c>
      <c r="AI832" s="4" t="s">
        <v>51</v>
      </c>
      <c r="AJ832" s="4" t="s">
        <v>110</v>
      </c>
      <c r="AK832" s="4" t="s">
        <v>74</v>
      </c>
      <c r="AL832" s="4" t="s">
        <v>120</v>
      </c>
      <c r="AM832" s="4" t="s">
        <v>36</v>
      </c>
      <c r="AN832" s="4" t="s">
        <v>45</v>
      </c>
      <c r="AO832" s="4" t="s">
        <v>38</v>
      </c>
      <c r="AP832" s="4">
        <v>43698.0</v>
      </c>
      <c r="AQ832" s="4">
        <v>10650.0</v>
      </c>
      <c r="AR832" s="4">
        <v>17100.0</v>
      </c>
      <c r="AS832" s="4">
        <v>6450.0</v>
      </c>
      <c r="AT832" s="4">
        <v>20.0</v>
      </c>
      <c r="AU832" s="4">
        <v>342000.0</v>
      </c>
      <c r="AV832" s="4">
        <v>0.09</v>
      </c>
      <c r="AW832" s="4">
        <v>30780.0</v>
      </c>
      <c r="AX832" s="4">
        <v>311220.0</v>
      </c>
      <c r="AY832" s="4">
        <v>213000.0</v>
      </c>
      <c r="AZ832" s="4">
        <v>98220.0</v>
      </c>
    </row>
    <row r="833" ht="15.75" customHeight="1">
      <c r="A833" s="3" t="s">
        <v>2511</v>
      </c>
      <c r="B833" s="5">
        <v>43699.0</v>
      </c>
      <c r="C833" s="6">
        <f t="shared" si="1"/>
        <v>2019</v>
      </c>
      <c r="D833" s="7" t="s">
        <v>725</v>
      </c>
      <c r="E833" s="7" t="s">
        <v>726</v>
      </c>
      <c r="F833" s="7" t="s">
        <v>50</v>
      </c>
      <c r="G833" s="5" t="s">
        <v>51</v>
      </c>
      <c r="H833" s="7" t="s">
        <v>52</v>
      </c>
      <c r="I833" s="7" t="s">
        <v>34</v>
      </c>
      <c r="J833" s="7" t="s">
        <v>1129</v>
      </c>
      <c r="K833" s="7" t="s">
        <v>36</v>
      </c>
      <c r="L833" s="7" t="s">
        <v>37</v>
      </c>
      <c r="M833" s="7" t="s">
        <v>38</v>
      </c>
      <c r="N833" s="5">
        <v>43701.0</v>
      </c>
      <c r="O833" s="8">
        <v>1263300.0</v>
      </c>
      <c r="P833" s="8">
        <v>3158250.0</v>
      </c>
      <c r="Q833" s="8">
        <f t="shared" si="2"/>
        <v>1894950</v>
      </c>
      <c r="R833" s="8">
        <v>4.0</v>
      </c>
      <c r="S833" s="8">
        <f t="shared" si="3"/>
        <v>12633000</v>
      </c>
      <c r="T833" s="9">
        <v>0.05</v>
      </c>
      <c r="U833" s="8">
        <f t="shared" si="4"/>
        <v>631650</v>
      </c>
      <c r="V833" s="8">
        <f t="shared" si="5"/>
        <v>12001350</v>
      </c>
      <c r="W833" s="10">
        <f t="shared" si="6"/>
        <v>5053200</v>
      </c>
      <c r="X833" s="10">
        <f t="shared" si="7"/>
        <v>6948150</v>
      </c>
      <c r="Y833" s="10"/>
      <c r="Z833" s="10"/>
      <c r="AA833" s="10"/>
      <c r="AB833" s="4" t="s">
        <v>2512</v>
      </c>
      <c r="AC833" s="4" t="s">
        <v>2511</v>
      </c>
      <c r="AD833" s="4">
        <v>43699.0</v>
      </c>
      <c r="AE833" s="4">
        <v>2019.0</v>
      </c>
      <c r="AF833" s="4" t="s">
        <v>725</v>
      </c>
      <c r="AG833" s="4" t="s">
        <v>726</v>
      </c>
      <c r="AH833" s="4" t="s">
        <v>50</v>
      </c>
      <c r="AI833" s="4" t="s">
        <v>51</v>
      </c>
      <c r="AJ833" s="4" t="s">
        <v>52</v>
      </c>
      <c r="AK833" s="4" t="s">
        <v>34</v>
      </c>
      <c r="AL833" s="4" t="s">
        <v>1129</v>
      </c>
      <c r="AM833" s="4" t="s">
        <v>36</v>
      </c>
      <c r="AN833" s="4" t="s">
        <v>37</v>
      </c>
      <c r="AO833" s="4" t="s">
        <v>38</v>
      </c>
      <c r="AP833" s="4">
        <v>43701.0</v>
      </c>
      <c r="AQ833" s="4">
        <v>1263300.0</v>
      </c>
      <c r="AR833" s="4">
        <v>3158250.0</v>
      </c>
      <c r="AS833" s="4">
        <v>1894950.0</v>
      </c>
      <c r="AT833" s="4">
        <v>4.0</v>
      </c>
      <c r="AU833" s="4">
        <v>1.2633E7</v>
      </c>
      <c r="AV833" s="4">
        <v>0.05</v>
      </c>
      <c r="AW833" s="4">
        <v>631650.0</v>
      </c>
      <c r="AX833" s="4">
        <v>1.200135E7</v>
      </c>
      <c r="AY833" s="4">
        <v>5053200.0</v>
      </c>
      <c r="AZ833" s="4">
        <v>6948150.0</v>
      </c>
    </row>
    <row r="834" ht="15.75" customHeight="1">
      <c r="A834" s="3" t="s">
        <v>2513</v>
      </c>
      <c r="B834" s="5">
        <v>43700.0</v>
      </c>
      <c r="C834" s="6">
        <f t="shared" si="1"/>
        <v>2019</v>
      </c>
      <c r="D834" s="7" t="s">
        <v>407</v>
      </c>
      <c r="E834" s="7" t="s">
        <v>408</v>
      </c>
      <c r="F834" s="7" t="s">
        <v>289</v>
      </c>
      <c r="G834" s="5" t="s">
        <v>51</v>
      </c>
      <c r="H834" s="7" t="s">
        <v>98</v>
      </c>
      <c r="I834" s="7" t="s">
        <v>92</v>
      </c>
      <c r="J834" s="7" t="s">
        <v>160</v>
      </c>
      <c r="K834" s="7" t="s">
        <v>36</v>
      </c>
      <c r="L834" s="7" t="s">
        <v>37</v>
      </c>
      <c r="M834" s="7" t="s">
        <v>38</v>
      </c>
      <c r="N834" s="5">
        <v>43702.0</v>
      </c>
      <c r="O834" s="8">
        <v>52800.0</v>
      </c>
      <c r="P834" s="8">
        <v>85200.0</v>
      </c>
      <c r="Q834" s="8">
        <f t="shared" si="2"/>
        <v>32400</v>
      </c>
      <c r="R834" s="8">
        <v>34.0</v>
      </c>
      <c r="S834" s="8">
        <f t="shared" si="3"/>
        <v>2896800</v>
      </c>
      <c r="T834" s="9">
        <v>0.06</v>
      </c>
      <c r="U834" s="8">
        <f t="shared" si="4"/>
        <v>173808</v>
      </c>
      <c r="V834" s="8">
        <f t="shared" si="5"/>
        <v>2722992</v>
      </c>
      <c r="W834" s="10">
        <f t="shared" si="6"/>
        <v>1795200</v>
      </c>
      <c r="X834" s="10">
        <f t="shared" si="7"/>
        <v>927792</v>
      </c>
      <c r="Y834" s="10"/>
      <c r="Z834" s="10"/>
      <c r="AA834" s="10"/>
      <c r="AB834" s="4" t="s">
        <v>2514</v>
      </c>
      <c r="AC834" s="4" t="s">
        <v>2513</v>
      </c>
      <c r="AD834" s="4">
        <v>43700.0</v>
      </c>
      <c r="AE834" s="4">
        <v>2019.0</v>
      </c>
      <c r="AF834" s="4" t="s">
        <v>407</v>
      </c>
      <c r="AG834" s="4" t="s">
        <v>408</v>
      </c>
      <c r="AH834" s="4" t="s">
        <v>289</v>
      </c>
      <c r="AI834" s="4" t="s">
        <v>51</v>
      </c>
      <c r="AJ834" s="4" t="s">
        <v>98</v>
      </c>
      <c r="AK834" s="4" t="s">
        <v>92</v>
      </c>
      <c r="AL834" s="4" t="s">
        <v>160</v>
      </c>
      <c r="AM834" s="4" t="s">
        <v>36</v>
      </c>
      <c r="AN834" s="4" t="s">
        <v>37</v>
      </c>
      <c r="AO834" s="4" t="s">
        <v>38</v>
      </c>
      <c r="AP834" s="4">
        <v>43702.0</v>
      </c>
      <c r="AQ834" s="4">
        <v>52800.0</v>
      </c>
      <c r="AR834" s="4">
        <v>85200.0</v>
      </c>
      <c r="AS834" s="4">
        <v>32400.0</v>
      </c>
      <c r="AT834" s="4">
        <v>34.0</v>
      </c>
      <c r="AU834" s="4">
        <v>2896800.0</v>
      </c>
      <c r="AV834" s="4">
        <v>0.06</v>
      </c>
      <c r="AW834" s="4">
        <v>173808.0</v>
      </c>
      <c r="AX834" s="4">
        <v>2722992.0</v>
      </c>
      <c r="AY834" s="4">
        <v>1795200.0</v>
      </c>
      <c r="AZ834" s="4">
        <v>927792.0</v>
      </c>
    </row>
    <row r="835" ht="15.75" customHeight="1">
      <c r="A835" s="3" t="s">
        <v>2515</v>
      </c>
      <c r="B835" s="5">
        <v>43702.0</v>
      </c>
      <c r="C835" s="6">
        <f t="shared" si="1"/>
        <v>2019</v>
      </c>
      <c r="D835" s="7" t="s">
        <v>1208</v>
      </c>
      <c r="E835" s="7" t="s">
        <v>393</v>
      </c>
      <c r="F835" s="7" t="s">
        <v>31</v>
      </c>
      <c r="G835" s="5" t="s">
        <v>51</v>
      </c>
      <c r="H835" s="7" t="s">
        <v>43</v>
      </c>
      <c r="I835" s="7" t="s">
        <v>53</v>
      </c>
      <c r="J835" s="7" t="s">
        <v>574</v>
      </c>
      <c r="K835" s="7" t="s">
        <v>36</v>
      </c>
      <c r="L835" s="7" t="s">
        <v>37</v>
      </c>
      <c r="M835" s="7" t="s">
        <v>38</v>
      </c>
      <c r="N835" s="5">
        <v>43704.0</v>
      </c>
      <c r="O835" s="8">
        <v>32700.000000000004</v>
      </c>
      <c r="P835" s="8">
        <v>52800.0</v>
      </c>
      <c r="Q835" s="8">
        <f t="shared" si="2"/>
        <v>20100</v>
      </c>
      <c r="R835" s="8">
        <v>42.0</v>
      </c>
      <c r="S835" s="8">
        <f t="shared" si="3"/>
        <v>2217600</v>
      </c>
      <c r="T835" s="9">
        <v>0.04</v>
      </c>
      <c r="U835" s="8">
        <f t="shared" si="4"/>
        <v>88704</v>
      </c>
      <c r="V835" s="8">
        <f t="shared" si="5"/>
        <v>2128896</v>
      </c>
      <c r="W835" s="10">
        <f t="shared" si="6"/>
        <v>1373400</v>
      </c>
      <c r="X835" s="10">
        <f t="shared" si="7"/>
        <v>755496</v>
      </c>
      <c r="Y835" s="10"/>
      <c r="Z835" s="10"/>
      <c r="AA835" s="10"/>
      <c r="AB835" s="4" t="s">
        <v>2516</v>
      </c>
      <c r="AC835" s="4" t="s">
        <v>2515</v>
      </c>
      <c r="AD835" s="4">
        <v>43702.0</v>
      </c>
      <c r="AE835" s="4">
        <v>2019.0</v>
      </c>
      <c r="AF835" s="4" t="s">
        <v>1208</v>
      </c>
      <c r="AG835" s="4" t="s">
        <v>393</v>
      </c>
      <c r="AH835" s="4" t="s">
        <v>31</v>
      </c>
      <c r="AI835" s="4" t="s">
        <v>51</v>
      </c>
      <c r="AJ835" s="4" t="s">
        <v>43</v>
      </c>
      <c r="AK835" s="4" t="s">
        <v>53</v>
      </c>
      <c r="AL835" s="4" t="s">
        <v>574</v>
      </c>
      <c r="AM835" s="4" t="s">
        <v>36</v>
      </c>
      <c r="AN835" s="4" t="s">
        <v>37</v>
      </c>
      <c r="AO835" s="4" t="s">
        <v>38</v>
      </c>
      <c r="AP835" s="4">
        <v>43704.0</v>
      </c>
      <c r="AQ835" s="4">
        <v>32700.0</v>
      </c>
      <c r="AR835" s="4">
        <v>52800.0</v>
      </c>
      <c r="AS835" s="4">
        <v>20100.0</v>
      </c>
      <c r="AT835" s="4">
        <v>42.0</v>
      </c>
      <c r="AU835" s="4">
        <v>2217600.0</v>
      </c>
      <c r="AV835" s="4">
        <v>0.04</v>
      </c>
      <c r="AW835" s="4">
        <v>88704.0</v>
      </c>
      <c r="AX835" s="4">
        <v>2128896.0</v>
      </c>
      <c r="AY835" s="4">
        <v>1373400.0</v>
      </c>
      <c r="AZ835" s="4">
        <v>755496.0</v>
      </c>
    </row>
    <row r="836" ht="15.75" customHeight="1">
      <c r="A836" s="3" t="s">
        <v>2517</v>
      </c>
      <c r="B836" s="5">
        <v>43704.0</v>
      </c>
      <c r="C836" s="6">
        <f t="shared" si="1"/>
        <v>2019</v>
      </c>
      <c r="D836" s="7" t="s">
        <v>1300</v>
      </c>
      <c r="E836" s="7" t="s">
        <v>1089</v>
      </c>
      <c r="F836" s="7" t="s">
        <v>50</v>
      </c>
      <c r="G836" s="5" t="s">
        <v>51</v>
      </c>
      <c r="H836" s="7" t="s">
        <v>344</v>
      </c>
      <c r="I836" s="7" t="s">
        <v>92</v>
      </c>
      <c r="J836" s="7" t="s">
        <v>771</v>
      </c>
      <c r="K836" s="7" t="s">
        <v>36</v>
      </c>
      <c r="L836" s="7" t="s">
        <v>37</v>
      </c>
      <c r="M836" s="7" t="s">
        <v>38</v>
      </c>
      <c r="N836" s="5">
        <v>43706.0</v>
      </c>
      <c r="O836" s="8">
        <v>34350.0</v>
      </c>
      <c r="P836" s="8">
        <v>55350.0</v>
      </c>
      <c r="Q836" s="8">
        <f t="shared" si="2"/>
        <v>21000</v>
      </c>
      <c r="R836" s="8">
        <v>47.0</v>
      </c>
      <c r="S836" s="8">
        <f t="shared" si="3"/>
        <v>2601450</v>
      </c>
      <c r="T836" s="9">
        <v>0.05</v>
      </c>
      <c r="U836" s="8">
        <f t="shared" si="4"/>
        <v>130072.5</v>
      </c>
      <c r="V836" s="8">
        <f t="shared" si="5"/>
        <v>2471377.5</v>
      </c>
      <c r="W836" s="10">
        <f t="shared" si="6"/>
        <v>1614450</v>
      </c>
      <c r="X836" s="10">
        <f t="shared" si="7"/>
        <v>856927.5</v>
      </c>
      <c r="Y836" s="10"/>
      <c r="Z836" s="10"/>
      <c r="AA836" s="10"/>
      <c r="AB836" s="4" t="s">
        <v>2518</v>
      </c>
      <c r="AC836" s="4" t="s">
        <v>2517</v>
      </c>
      <c r="AD836" s="4">
        <v>43704.0</v>
      </c>
      <c r="AE836" s="4">
        <v>2019.0</v>
      </c>
      <c r="AF836" s="4" t="s">
        <v>1300</v>
      </c>
      <c r="AG836" s="4" t="s">
        <v>1089</v>
      </c>
      <c r="AH836" s="4" t="s">
        <v>50</v>
      </c>
      <c r="AI836" s="4" t="s">
        <v>51</v>
      </c>
      <c r="AJ836" s="4" t="s">
        <v>344</v>
      </c>
      <c r="AK836" s="4" t="s">
        <v>92</v>
      </c>
      <c r="AL836" s="4" t="s">
        <v>771</v>
      </c>
      <c r="AM836" s="4" t="s">
        <v>36</v>
      </c>
      <c r="AN836" s="4" t="s">
        <v>37</v>
      </c>
      <c r="AO836" s="4" t="s">
        <v>38</v>
      </c>
      <c r="AP836" s="4">
        <v>43706.0</v>
      </c>
      <c r="AQ836" s="4">
        <v>34350.0</v>
      </c>
      <c r="AR836" s="4">
        <v>55350.0</v>
      </c>
      <c r="AS836" s="4">
        <v>21000.0</v>
      </c>
      <c r="AT836" s="4">
        <v>47.0</v>
      </c>
      <c r="AU836" s="4">
        <v>2601450.0</v>
      </c>
      <c r="AV836" s="4">
        <v>0.05</v>
      </c>
      <c r="AW836" s="4">
        <v>130072.5</v>
      </c>
      <c r="AX836" s="4">
        <v>2471377.5</v>
      </c>
      <c r="AY836" s="4">
        <v>1614450.0</v>
      </c>
      <c r="AZ836" s="4">
        <v>856927.5</v>
      </c>
    </row>
    <row r="837" ht="15.75" customHeight="1">
      <c r="A837" s="3" t="s">
        <v>2519</v>
      </c>
      <c r="B837" s="5">
        <v>43704.0</v>
      </c>
      <c r="C837" s="6">
        <f t="shared" si="1"/>
        <v>2019</v>
      </c>
      <c r="D837" s="7" t="s">
        <v>1402</v>
      </c>
      <c r="E837" s="7" t="s">
        <v>1069</v>
      </c>
      <c r="F837" s="7" t="s">
        <v>31</v>
      </c>
      <c r="G837" s="5" t="s">
        <v>91</v>
      </c>
      <c r="H837" s="7" t="s">
        <v>43</v>
      </c>
      <c r="I837" s="7" t="s">
        <v>92</v>
      </c>
      <c r="J837" s="7" t="s">
        <v>412</v>
      </c>
      <c r="K837" s="7" t="s">
        <v>36</v>
      </c>
      <c r="L837" s="7" t="s">
        <v>37</v>
      </c>
      <c r="M837" s="7" t="s">
        <v>38</v>
      </c>
      <c r="N837" s="5">
        <v>43706.0</v>
      </c>
      <c r="O837" s="8">
        <v>19950.0</v>
      </c>
      <c r="P837" s="8">
        <v>31200.0</v>
      </c>
      <c r="Q837" s="8">
        <f t="shared" si="2"/>
        <v>11250</v>
      </c>
      <c r="R837" s="8">
        <v>43.0</v>
      </c>
      <c r="S837" s="8">
        <f t="shared" si="3"/>
        <v>1341600</v>
      </c>
      <c r="T837" s="9">
        <v>0.05</v>
      </c>
      <c r="U837" s="8">
        <f t="shared" si="4"/>
        <v>67080</v>
      </c>
      <c r="V837" s="8">
        <f t="shared" si="5"/>
        <v>1274520</v>
      </c>
      <c r="W837" s="10">
        <f t="shared" si="6"/>
        <v>857850</v>
      </c>
      <c r="X837" s="10">
        <f t="shared" si="7"/>
        <v>416670</v>
      </c>
      <c r="Y837" s="10"/>
      <c r="Z837" s="10"/>
      <c r="AA837" s="10"/>
      <c r="AB837" s="4" t="s">
        <v>2520</v>
      </c>
      <c r="AC837" s="4" t="s">
        <v>2519</v>
      </c>
      <c r="AD837" s="4">
        <v>43704.0</v>
      </c>
      <c r="AE837" s="4">
        <v>2019.0</v>
      </c>
      <c r="AF837" s="4" t="s">
        <v>1402</v>
      </c>
      <c r="AG837" s="4" t="s">
        <v>1069</v>
      </c>
      <c r="AH837" s="4" t="s">
        <v>31</v>
      </c>
      <c r="AI837" s="4" t="s">
        <v>91</v>
      </c>
      <c r="AJ837" s="4" t="s">
        <v>43</v>
      </c>
      <c r="AK837" s="4" t="s">
        <v>92</v>
      </c>
      <c r="AL837" s="4" t="s">
        <v>412</v>
      </c>
      <c r="AM837" s="4" t="s">
        <v>36</v>
      </c>
      <c r="AN837" s="4" t="s">
        <v>37</v>
      </c>
      <c r="AO837" s="4" t="s">
        <v>38</v>
      </c>
      <c r="AP837" s="4">
        <v>43706.0</v>
      </c>
      <c r="AQ837" s="4">
        <v>19950.0</v>
      </c>
      <c r="AR837" s="4">
        <v>31200.0</v>
      </c>
      <c r="AS837" s="4">
        <v>11250.0</v>
      </c>
      <c r="AT837" s="4">
        <v>43.0</v>
      </c>
      <c r="AU837" s="4">
        <v>1341600.0</v>
      </c>
      <c r="AV837" s="4">
        <v>0.05</v>
      </c>
      <c r="AW837" s="4">
        <v>67080.0</v>
      </c>
      <c r="AX837" s="4">
        <v>1274520.0</v>
      </c>
      <c r="AY837" s="4">
        <v>857850.0</v>
      </c>
      <c r="AZ837" s="4">
        <v>416670.0</v>
      </c>
    </row>
    <row r="838" ht="15.75" customHeight="1">
      <c r="A838" s="2" t="s">
        <v>2519</v>
      </c>
      <c r="B838" s="5">
        <v>43707.0</v>
      </c>
      <c r="C838" s="6">
        <f t="shared" si="1"/>
        <v>2019</v>
      </c>
      <c r="D838" s="7" t="s">
        <v>2521</v>
      </c>
      <c r="E838" s="7" t="s">
        <v>416</v>
      </c>
      <c r="F838" s="7" t="s">
        <v>50</v>
      </c>
      <c r="G838" s="5" t="s">
        <v>91</v>
      </c>
      <c r="H838" s="7" t="s">
        <v>52</v>
      </c>
      <c r="I838" s="7" t="s">
        <v>34</v>
      </c>
      <c r="J838" s="7" t="s">
        <v>457</v>
      </c>
      <c r="K838" s="7" t="s">
        <v>36</v>
      </c>
      <c r="L838" s="7" t="s">
        <v>45</v>
      </c>
      <c r="M838" s="7" t="s">
        <v>38</v>
      </c>
      <c r="N838" s="5">
        <v>43708.0</v>
      </c>
      <c r="O838" s="8">
        <v>58200.0</v>
      </c>
      <c r="P838" s="8">
        <v>97050.0</v>
      </c>
      <c r="Q838" s="8">
        <f t="shared" si="2"/>
        <v>38850</v>
      </c>
      <c r="R838" s="8">
        <v>7.0</v>
      </c>
      <c r="S838" s="8">
        <f t="shared" si="3"/>
        <v>679350</v>
      </c>
      <c r="T838" s="9">
        <v>0.02</v>
      </c>
      <c r="U838" s="8">
        <f t="shared" si="4"/>
        <v>13587</v>
      </c>
      <c r="V838" s="8">
        <f t="shared" si="5"/>
        <v>665763</v>
      </c>
      <c r="W838" s="10">
        <f t="shared" si="6"/>
        <v>407400</v>
      </c>
      <c r="X838" s="10">
        <f t="shared" si="7"/>
        <v>258363</v>
      </c>
      <c r="Y838" s="10"/>
      <c r="Z838" s="10"/>
      <c r="AA838" s="10"/>
      <c r="AB838" s="4" t="s">
        <v>2522</v>
      </c>
      <c r="AC838" s="4" t="s">
        <v>2519</v>
      </c>
      <c r="AD838" s="4">
        <v>43707.0</v>
      </c>
      <c r="AE838" s="4">
        <v>2019.0</v>
      </c>
      <c r="AF838" s="4" t="s">
        <v>2521</v>
      </c>
      <c r="AG838" s="4" t="s">
        <v>416</v>
      </c>
      <c r="AH838" s="4" t="s">
        <v>50</v>
      </c>
      <c r="AI838" s="4" t="s">
        <v>91</v>
      </c>
      <c r="AJ838" s="4" t="s">
        <v>52</v>
      </c>
      <c r="AK838" s="4" t="s">
        <v>34</v>
      </c>
      <c r="AL838" s="4" t="s">
        <v>459</v>
      </c>
      <c r="AM838" s="4" t="s">
        <v>460</v>
      </c>
      <c r="AN838" s="4" t="s">
        <v>36</v>
      </c>
      <c r="AO838" s="4" t="s">
        <v>45</v>
      </c>
      <c r="AP838" s="4" t="s">
        <v>38</v>
      </c>
      <c r="AQ838" s="4">
        <v>43708.0</v>
      </c>
      <c r="AR838" s="4">
        <v>58200.0</v>
      </c>
      <c r="AS838" s="4">
        <v>97050.0</v>
      </c>
      <c r="AT838" s="4">
        <v>38850.0</v>
      </c>
      <c r="AU838" s="4">
        <v>7.0</v>
      </c>
      <c r="AV838" s="4">
        <v>679350.0</v>
      </c>
      <c r="AW838" s="4">
        <v>0.02</v>
      </c>
      <c r="AX838" s="4">
        <v>13587.0</v>
      </c>
      <c r="AY838" s="4">
        <v>665763.0</v>
      </c>
      <c r="AZ838" s="4">
        <v>407400.0</v>
      </c>
      <c r="BA838" s="4">
        <v>258363.0</v>
      </c>
    </row>
    <row r="839" ht="15.75" customHeight="1">
      <c r="A839" s="3" t="s">
        <v>2523</v>
      </c>
      <c r="B839" s="5">
        <v>43708.0</v>
      </c>
      <c r="C839" s="6">
        <f t="shared" si="1"/>
        <v>2019</v>
      </c>
      <c r="D839" s="7" t="s">
        <v>2524</v>
      </c>
      <c r="E839" s="7" t="s">
        <v>384</v>
      </c>
      <c r="F839" s="7" t="s">
        <v>31</v>
      </c>
      <c r="G839" s="5" t="s">
        <v>51</v>
      </c>
      <c r="H839" s="7" t="s">
        <v>43</v>
      </c>
      <c r="I839" s="7" t="s">
        <v>92</v>
      </c>
      <c r="J839" s="7" t="s">
        <v>677</v>
      </c>
      <c r="K839" s="7" t="s">
        <v>36</v>
      </c>
      <c r="L839" s="7" t="s">
        <v>37</v>
      </c>
      <c r="M839" s="7" t="s">
        <v>38</v>
      </c>
      <c r="N839" s="5">
        <v>43710.0</v>
      </c>
      <c r="O839" s="8">
        <v>224250.0</v>
      </c>
      <c r="P839" s="8">
        <v>521399.99999999994</v>
      </c>
      <c r="Q839" s="8">
        <f t="shared" si="2"/>
        <v>297150</v>
      </c>
      <c r="R839" s="8">
        <v>8.0</v>
      </c>
      <c r="S839" s="8">
        <f t="shared" si="3"/>
        <v>4171200</v>
      </c>
      <c r="T839" s="9">
        <v>0.0</v>
      </c>
      <c r="U839" s="8">
        <f t="shared" si="4"/>
        <v>0</v>
      </c>
      <c r="V839" s="8">
        <f t="shared" si="5"/>
        <v>4171200</v>
      </c>
      <c r="W839" s="10">
        <f t="shared" si="6"/>
        <v>1794000</v>
      </c>
      <c r="X839" s="10">
        <f t="shared" si="7"/>
        <v>2377200</v>
      </c>
      <c r="Y839" s="10"/>
      <c r="Z839" s="10"/>
      <c r="AA839" s="10"/>
      <c r="AB839" s="4" t="s">
        <v>2525</v>
      </c>
      <c r="AC839" s="4" t="s">
        <v>2523</v>
      </c>
      <c r="AD839" s="4">
        <v>43708.0</v>
      </c>
      <c r="AE839" s="4">
        <v>2019.0</v>
      </c>
      <c r="AF839" s="4" t="s">
        <v>2524</v>
      </c>
      <c r="AG839" s="4" t="s">
        <v>384</v>
      </c>
      <c r="AH839" s="4" t="s">
        <v>31</v>
      </c>
      <c r="AI839" s="4" t="s">
        <v>51</v>
      </c>
      <c r="AJ839" s="4" t="s">
        <v>43</v>
      </c>
      <c r="AK839" s="4" t="s">
        <v>92</v>
      </c>
      <c r="AL839" s="4" t="s">
        <v>677</v>
      </c>
      <c r="AM839" s="4" t="s">
        <v>36</v>
      </c>
      <c r="AN839" s="4" t="s">
        <v>37</v>
      </c>
      <c r="AO839" s="4" t="s">
        <v>38</v>
      </c>
      <c r="AP839" s="4">
        <v>43710.0</v>
      </c>
      <c r="AQ839" s="4">
        <v>224250.0</v>
      </c>
      <c r="AR839" s="4">
        <v>521400.0</v>
      </c>
      <c r="AS839" s="4">
        <v>297150.0</v>
      </c>
      <c r="AT839" s="4">
        <v>8.0</v>
      </c>
      <c r="AU839" s="4">
        <v>4171200.0</v>
      </c>
      <c r="AV839" s="4">
        <v>0.0</v>
      </c>
      <c r="AW839" s="4">
        <v>0.0</v>
      </c>
      <c r="AX839" s="4">
        <v>4171200.0</v>
      </c>
      <c r="AY839" s="4">
        <v>1794000.0</v>
      </c>
      <c r="AZ839" s="4">
        <v>2377200.0</v>
      </c>
    </row>
    <row r="840" ht="15.75" customHeight="1">
      <c r="A840" s="3" t="s">
        <v>2526</v>
      </c>
      <c r="B840" s="5">
        <v>43709.0</v>
      </c>
      <c r="C840" s="6">
        <f t="shared" si="1"/>
        <v>2019</v>
      </c>
      <c r="D840" s="7" t="s">
        <v>2527</v>
      </c>
      <c r="E840" s="7" t="s">
        <v>2528</v>
      </c>
      <c r="F840" s="7" t="s">
        <v>50</v>
      </c>
      <c r="G840" s="5" t="s">
        <v>32</v>
      </c>
      <c r="H840" s="7" t="s">
        <v>125</v>
      </c>
      <c r="I840" s="7" t="s">
        <v>104</v>
      </c>
      <c r="J840" s="7" t="s">
        <v>796</v>
      </c>
      <c r="K840" s="7" t="s">
        <v>36</v>
      </c>
      <c r="L840" s="7" t="s">
        <v>45</v>
      </c>
      <c r="M840" s="7" t="s">
        <v>38</v>
      </c>
      <c r="N840" s="5">
        <v>43710.0</v>
      </c>
      <c r="O840" s="8">
        <v>26400.0</v>
      </c>
      <c r="P840" s="8">
        <v>44100.0</v>
      </c>
      <c r="Q840" s="8">
        <f t="shared" si="2"/>
        <v>17700</v>
      </c>
      <c r="R840" s="8">
        <v>31.0</v>
      </c>
      <c r="S840" s="8">
        <f t="shared" si="3"/>
        <v>1367100</v>
      </c>
      <c r="T840" s="9">
        <v>0.04</v>
      </c>
      <c r="U840" s="8">
        <f t="shared" si="4"/>
        <v>54684</v>
      </c>
      <c r="V840" s="8">
        <f t="shared" si="5"/>
        <v>1312416</v>
      </c>
      <c r="W840" s="10">
        <f t="shared" si="6"/>
        <v>818400</v>
      </c>
      <c r="X840" s="10">
        <f t="shared" si="7"/>
        <v>494016</v>
      </c>
      <c r="Y840" s="10"/>
      <c r="Z840" s="10"/>
      <c r="AA840" s="10"/>
      <c r="AB840" s="4" t="s">
        <v>2529</v>
      </c>
      <c r="AC840" s="4" t="s">
        <v>2526</v>
      </c>
      <c r="AD840" s="4">
        <v>43709.0</v>
      </c>
      <c r="AE840" s="4">
        <v>2019.0</v>
      </c>
      <c r="AF840" s="4" t="s">
        <v>2527</v>
      </c>
      <c r="AG840" s="4" t="s">
        <v>2528</v>
      </c>
      <c r="AH840" s="4" t="s">
        <v>50</v>
      </c>
      <c r="AI840" s="4" t="s">
        <v>32</v>
      </c>
      <c r="AJ840" s="4" t="s">
        <v>125</v>
      </c>
      <c r="AK840" s="4" t="s">
        <v>104</v>
      </c>
      <c r="AL840" s="4" t="s">
        <v>796</v>
      </c>
      <c r="AM840" s="4" t="s">
        <v>36</v>
      </c>
      <c r="AN840" s="4" t="s">
        <v>45</v>
      </c>
      <c r="AO840" s="4" t="s">
        <v>38</v>
      </c>
      <c r="AP840" s="4">
        <v>43710.0</v>
      </c>
      <c r="AQ840" s="4">
        <v>26400.0</v>
      </c>
      <c r="AR840" s="4">
        <v>44100.0</v>
      </c>
      <c r="AS840" s="4">
        <v>17700.0</v>
      </c>
      <c r="AT840" s="4">
        <v>31.0</v>
      </c>
      <c r="AU840" s="4">
        <v>1367100.0</v>
      </c>
      <c r="AV840" s="4">
        <v>0.04</v>
      </c>
      <c r="AW840" s="4">
        <v>54684.0</v>
      </c>
      <c r="AX840" s="4">
        <v>1312416.0</v>
      </c>
      <c r="AY840" s="4">
        <v>818400.0</v>
      </c>
      <c r="AZ840" s="4">
        <v>494016.0</v>
      </c>
    </row>
    <row r="841" ht="15.75" customHeight="1">
      <c r="A841" s="3" t="s">
        <v>2530</v>
      </c>
      <c r="B841" s="5">
        <v>43711.0</v>
      </c>
      <c r="C841" s="6">
        <f t="shared" si="1"/>
        <v>2019</v>
      </c>
      <c r="D841" s="7" t="s">
        <v>2531</v>
      </c>
      <c r="E841" s="7" t="s">
        <v>268</v>
      </c>
      <c r="F841" s="7" t="s">
        <v>50</v>
      </c>
      <c r="G841" s="5" t="s">
        <v>51</v>
      </c>
      <c r="H841" s="7" t="s">
        <v>140</v>
      </c>
      <c r="I841" s="7" t="s">
        <v>53</v>
      </c>
      <c r="J841" s="7" t="s">
        <v>277</v>
      </c>
      <c r="K841" s="7" t="s">
        <v>278</v>
      </c>
      <c r="L841" s="7" t="s">
        <v>127</v>
      </c>
      <c r="M841" s="7" t="s">
        <v>38</v>
      </c>
      <c r="N841" s="5">
        <v>43712.0</v>
      </c>
      <c r="O841" s="8">
        <v>82500.0</v>
      </c>
      <c r="P841" s="8">
        <v>183300.0</v>
      </c>
      <c r="Q841" s="8">
        <f t="shared" si="2"/>
        <v>100800</v>
      </c>
      <c r="R841" s="8">
        <v>10.0</v>
      </c>
      <c r="S841" s="8">
        <f t="shared" si="3"/>
        <v>1833000</v>
      </c>
      <c r="T841" s="9">
        <v>0.01</v>
      </c>
      <c r="U841" s="8">
        <f t="shared" si="4"/>
        <v>18330</v>
      </c>
      <c r="V841" s="8">
        <f t="shared" si="5"/>
        <v>1814670</v>
      </c>
      <c r="W841" s="10">
        <f t="shared" si="6"/>
        <v>825000</v>
      </c>
      <c r="X841" s="10">
        <f t="shared" si="7"/>
        <v>989670</v>
      </c>
      <c r="Y841" s="10"/>
      <c r="Z841" s="10"/>
      <c r="AA841" s="10"/>
      <c r="AB841" s="4" t="s">
        <v>2532</v>
      </c>
      <c r="AC841" s="4" t="s">
        <v>2530</v>
      </c>
      <c r="AD841" s="4">
        <v>43711.0</v>
      </c>
      <c r="AE841" s="4">
        <v>2019.0</v>
      </c>
      <c r="AF841" s="4" t="s">
        <v>2531</v>
      </c>
      <c r="AG841" s="4" t="s">
        <v>268</v>
      </c>
      <c r="AH841" s="4" t="s">
        <v>50</v>
      </c>
      <c r="AI841" s="4" t="s">
        <v>51</v>
      </c>
      <c r="AJ841" s="4" t="s">
        <v>140</v>
      </c>
      <c r="AK841" s="4" t="s">
        <v>53</v>
      </c>
      <c r="AL841" s="4" t="s">
        <v>277</v>
      </c>
      <c r="AM841" s="4" t="s">
        <v>278</v>
      </c>
      <c r="AN841" s="4" t="s">
        <v>127</v>
      </c>
      <c r="AO841" s="4" t="s">
        <v>38</v>
      </c>
      <c r="AP841" s="4">
        <v>43712.0</v>
      </c>
      <c r="AQ841" s="4">
        <v>82500.0</v>
      </c>
      <c r="AR841" s="4">
        <v>183300.0</v>
      </c>
      <c r="AS841" s="4">
        <v>100800.0</v>
      </c>
      <c r="AT841" s="4">
        <v>10.0</v>
      </c>
      <c r="AU841" s="4">
        <v>1833000.0</v>
      </c>
      <c r="AV841" s="4">
        <v>0.01</v>
      </c>
      <c r="AW841" s="4">
        <v>18330.0</v>
      </c>
      <c r="AX841" s="4">
        <v>1814670.0</v>
      </c>
      <c r="AY841" s="4">
        <v>825000.0</v>
      </c>
      <c r="AZ841" s="4">
        <v>989670.0</v>
      </c>
    </row>
    <row r="842" ht="15.75" customHeight="1">
      <c r="A842" s="3" t="s">
        <v>2533</v>
      </c>
      <c r="B842" s="5">
        <v>43711.0</v>
      </c>
      <c r="C842" s="6">
        <f t="shared" si="1"/>
        <v>2019</v>
      </c>
      <c r="D842" s="7" t="s">
        <v>500</v>
      </c>
      <c r="E842" s="7" t="s">
        <v>501</v>
      </c>
      <c r="F842" s="7" t="s">
        <v>289</v>
      </c>
      <c r="G842" s="5" t="s">
        <v>91</v>
      </c>
      <c r="H842" s="7" t="s">
        <v>80</v>
      </c>
      <c r="I842" s="7" t="s">
        <v>53</v>
      </c>
      <c r="J842" s="7" t="s">
        <v>992</v>
      </c>
      <c r="K842" s="7" t="s">
        <v>36</v>
      </c>
      <c r="L842" s="7" t="s">
        <v>37</v>
      </c>
      <c r="M842" s="7" t="s">
        <v>38</v>
      </c>
      <c r="N842" s="5">
        <v>43711.0</v>
      </c>
      <c r="O842" s="8">
        <v>781050.0</v>
      </c>
      <c r="P842" s="8">
        <v>1259700.0</v>
      </c>
      <c r="Q842" s="8">
        <f t="shared" si="2"/>
        <v>478650</v>
      </c>
      <c r="R842" s="8">
        <v>46.0</v>
      </c>
      <c r="S842" s="8">
        <f t="shared" si="3"/>
        <v>57946200</v>
      </c>
      <c r="T842" s="9">
        <v>0.06</v>
      </c>
      <c r="U842" s="8">
        <f t="shared" si="4"/>
        <v>3476772</v>
      </c>
      <c r="V842" s="8">
        <f t="shared" si="5"/>
        <v>54469428</v>
      </c>
      <c r="W842" s="10">
        <f t="shared" si="6"/>
        <v>35928300</v>
      </c>
      <c r="X842" s="10">
        <f t="shared" si="7"/>
        <v>18541128</v>
      </c>
      <c r="Y842" s="10"/>
      <c r="Z842" s="10"/>
      <c r="AA842" s="10"/>
      <c r="AB842" s="4" t="s">
        <v>2534</v>
      </c>
      <c r="AC842" s="4" t="s">
        <v>2533</v>
      </c>
      <c r="AD842" s="4">
        <v>43711.0</v>
      </c>
      <c r="AE842" s="4">
        <v>2019.0</v>
      </c>
      <c r="AF842" s="4" t="s">
        <v>500</v>
      </c>
      <c r="AG842" s="4" t="s">
        <v>501</v>
      </c>
      <c r="AH842" s="4" t="s">
        <v>289</v>
      </c>
      <c r="AI842" s="4" t="s">
        <v>91</v>
      </c>
      <c r="AJ842" s="4" t="s">
        <v>80</v>
      </c>
      <c r="AK842" s="4" t="s">
        <v>53</v>
      </c>
      <c r="AL842" s="4" t="s">
        <v>992</v>
      </c>
      <c r="AM842" s="4" t="s">
        <v>36</v>
      </c>
      <c r="AN842" s="4" t="s">
        <v>37</v>
      </c>
      <c r="AO842" s="4" t="s">
        <v>38</v>
      </c>
      <c r="AP842" s="4">
        <v>43711.0</v>
      </c>
      <c r="AQ842" s="4">
        <v>781050.0</v>
      </c>
      <c r="AR842" s="4">
        <v>1259700.0</v>
      </c>
      <c r="AS842" s="4">
        <v>478650.0</v>
      </c>
      <c r="AT842" s="4">
        <v>46.0</v>
      </c>
      <c r="AU842" s="4">
        <v>5.79462E7</v>
      </c>
      <c r="AV842" s="4">
        <v>0.06</v>
      </c>
      <c r="AW842" s="4">
        <v>3476772.0</v>
      </c>
      <c r="AX842" s="4">
        <v>5.4469428E7</v>
      </c>
      <c r="AY842" s="4">
        <v>3.59283E7</v>
      </c>
      <c r="AZ842" s="4">
        <v>1.8541128E7</v>
      </c>
    </row>
    <row r="843" ht="15.75" customHeight="1">
      <c r="A843" s="3" t="s">
        <v>2535</v>
      </c>
      <c r="B843" s="5">
        <v>43711.0</v>
      </c>
      <c r="C843" s="6">
        <f t="shared" si="1"/>
        <v>2019</v>
      </c>
      <c r="D843" s="7" t="s">
        <v>1334</v>
      </c>
      <c r="E843" s="7" t="s">
        <v>139</v>
      </c>
      <c r="F843" s="7" t="s">
        <v>50</v>
      </c>
      <c r="G843" s="5" t="s">
        <v>51</v>
      </c>
      <c r="H843" s="7" t="s">
        <v>140</v>
      </c>
      <c r="I843" s="7" t="s">
        <v>53</v>
      </c>
      <c r="J843" s="7" t="s">
        <v>677</v>
      </c>
      <c r="K843" s="7" t="s">
        <v>36</v>
      </c>
      <c r="L843" s="7" t="s">
        <v>37</v>
      </c>
      <c r="M843" s="7" t="s">
        <v>38</v>
      </c>
      <c r="N843" s="5">
        <v>43712.0</v>
      </c>
      <c r="O843" s="8">
        <v>224250.0</v>
      </c>
      <c r="P843" s="8">
        <v>521399.99999999994</v>
      </c>
      <c r="Q843" s="8">
        <f t="shared" si="2"/>
        <v>297150</v>
      </c>
      <c r="R843" s="8">
        <v>47.0</v>
      </c>
      <c r="S843" s="8">
        <f t="shared" si="3"/>
        <v>24505800</v>
      </c>
      <c r="T843" s="9">
        <v>0.09</v>
      </c>
      <c r="U843" s="8">
        <f t="shared" si="4"/>
        <v>2205522</v>
      </c>
      <c r="V843" s="8">
        <f t="shared" si="5"/>
        <v>22300278</v>
      </c>
      <c r="W843" s="10">
        <f t="shared" si="6"/>
        <v>10539750</v>
      </c>
      <c r="X843" s="10">
        <f t="shared" si="7"/>
        <v>11760528</v>
      </c>
      <c r="Y843" s="10"/>
      <c r="Z843" s="10"/>
      <c r="AA843" s="10"/>
      <c r="AB843" s="4" t="s">
        <v>2536</v>
      </c>
      <c r="AC843" s="4" t="s">
        <v>2535</v>
      </c>
      <c r="AD843" s="4">
        <v>43711.0</v>
      </c>
      <c r="AE843" s="4">
        <v>2019.0</v>
      </c>
      <c r="AF843" s="4" t="s">
        <v>1334</v>
      </c>
      <c r="AG843" s="4" t="s">
        <v>139</v>
      </c>
      <c r="AH843" s="4" t="s">
        <v>50</v>
      </c>
      <c r="AI843" s="4" t="s">
        <v>51</v>
      </c>
      <c r="AJ843" s="4" t="s">
        <v>140</v>
      </c>
      <c r="AK843" s="4" t="s">
        <v>53</v>
      </c>
      <c r="AL843" s="4" t="s">
        <v>677</v>
      </c>
      <c r="AM843" s="4" t="s">
        <v>36</v>
      </c>
      <c r="AN843" s="4" t="s">
        <v>37</v>
      </c>
      <c r="AO843" s="4" t="s">
        <v>38</v>
      </c>
      <c r="AP843" s="4">
        <v>43712.0</v>
      </c>
      <c r="AQ843" s="4">
        <v>224250.0</v>
      </c>
      <c r="AR843" s="4">
        <v>521400.0</v>
      </c>
      <c r="AS843" s="4">
        <v>297150.0</v>
      </c>
      <c r="AT843" s="4">
        <v>47.0</v>
      </c>
      <c r="AU843" s="4">
        <v>2.45058E7</v>
      </c>
      <c r="AV843" s="4">
        <v>0.09</v>
      </c>
      <c r="AW843" s="4">
        <v>2205522.0</v>
      </c>
      <c r="AX843" s="4">
        <v>2.2300278E7</v>
      </c>
      <c r="AY843" s="4">
        <v>1.053975E7</v>
      </c>
      <c r="AZ843" s="4">
        <v>1.1760528E7</v>
      </c>
    </row>
    <row r="844" ht="15.75" customHeight="1">
      <c r="A844" s="3" t="s">
        <v>2537</v>
      </c>
      <c r="B844" s="5">
        <v>43712.0</v>
      </c>
      <c r="C844" s="6">
        <f t="shared" si="1"/>
        <v>2019</v>
      </c>
      <c r="D844" s="7" t="s">
        <v>287</v>
      </c>
      <c r="E844" s="7" t="s">
        <v>288</v>
      </c>
      <c r="F844" s="7" t="s">
        <v>289</v>
      </c>
      <c r="G844" s="5" t="s">
        <v>51</v>
      </c>
      <c r="H844" s="7" t="s">
        <v>140</v>
      </c>
      <c r="I844" s="7" t="s">
        <v>104</v>
      </c>
      <c r="J844" s="7" t="s">
        <v>502</v>
      </c>
      <c r="K844" s="7" t="s">
        <v>36</v>
      </c>
      <c r="L844" s="7" t="s">
        <v>37</v>
      </c>
      <c r="M844" s="7" t="s">
        <v>38</v>
      </c>
      <c r="N844" s="5">
        <v>43714.0</v>
      </c>
      <c r="O844" s="8">
        <v>66900.0</v>
      </c>
      <c r="P844" s="8">
        <v>163350.0</v>
      </c>
      <c r="Q844" s="8">
        <f t="shared" si="2"/>
        <v>96450</v>
      </c>
      <c r="R844" s="8">
        <v>1.0</v>
      </c>
      <c r="S844" s="8">
        <f t="shared" si="3"/>
        <v>163350</v>
      </c>
      <c r="T844" s="9">
        <v>0.0</v>
      </c>
      <c r="U844" s="8">
        <f t="shared" si="4"/>
        <v>0</v>
      </c>
      <c r="V844" s="8">
        <f t="shared" si="5"/>
        <v>163350</v>
      </c>
      <c r="W844" s="10">
        <f t="shared" si="6"/>
        <v>66900</v>
      </c>
      <c r="X844" s="10">
        <f t="shared" si="7"/>
        <v>96450</v>
      </c>
      <c r="Y844" s="10"/>
      <c r="Z844" s="10"/>
      <c r="AA844" s="10"/>
      <c r="AB844" s="4" t="s">
        <v>2538</v>
      </c>
      <c r="AC844" s="4" t="s">
        <v>2537</v>
      </c>
      <c r="AD844" s="4">
        <v>43712.0</v>
      </c>
      <c r="AE844" s="4">
        <v>2019.0</v>
      </c>
      <c r="AF844" s="4" t="s">
        <v>287</v>
      </c>
      <c r="AG844" s="4" t="s">
        <v>288</v>
      </c>
      <c r="AH844" s="4" t="s">
        <v>289</v>
      </c>
      <c r="AI844" s="4" t="s">
        <v>51</v>
      </c>
      <c r="AJ844" s="4" t="s">
        <v>140</v>
      </c>
      <c r="AK844" s="4" t="s">
        <v>104</v>
      </c>
      <c r="AL844" s="4" t="s">
        <v>502</v>
      </c>
      <c r="AM844" s="4" t="s">
        <v>36</v>
      </c>
      <c r="AN844" s="4" t="s">
        <v>37</v>
      </c>
      <c r="AO844" s="4" t="s">
        <v>38</v>
      </c>
      <c r="AP844" s="4">
        <v>43714.0</v>
      </c>
      <c r="AQ844" s="4">
        <v>66900.0</v>
      </c>
      <c r="AR844" s="4">
        <v>163350.0</v>
      </c>
      <c r="AS844" s="4">
        <v>96450.0</v>
      </c>
      <c r="AT844" s="4">
        <v>1.0</v>
      </c>
      <c r="AU844" s="4">
        <v>163350.0</v>
      </c>
      <c r="AV844" s="4">
        <v>0.0</v>
      </c>
      <c r="AW844" s="4">
        <v>0.0</v>
      </c>
      <c r="AX844" s="4">
        <v>163350.0</v>
      </c>
      <c r="AY844" s="4">
        <v>66900.0</v>
      </c>
      <c r="AZ844" s="4">
        <v>96450.0</v>
      </c>
    </row>
    <row r="845" ht="15.75" customHeight="1">
      <c r="A845" s="3" t="s">
        <v>2539</v>
      </c>
      <c r="B845" s="5">
        <v>43712.0</v>
      </c>
      <c r="C845" s="6">
        <f t="shared" si="1"/>
        <v>2019</v>
      </c>
      <c r="D845" s="7" t="s">
        <v>2187</v>
      </c>
      <c r="E845" s="7" t="s">
        <v>642</v>
      </c>
      <c r="F845" s="7" t="s">
        <v>50</v>
      </c>
      <c r="G845" s="5" t="s">
        <v>32</v>
      </c>
      <c r="H845" s="7" t="s">
        <v>69</v>
      </c>
      <c r="I845" s="7" t="s">
        <v>92</v>
      </c>
      <c r="J845" s="7" t="s">
        <v>294</v>
      </c>
      <c r="K845" s="7" t="s">
        <v>36</v>
      </c>
      <c r="L845" s="7" t="s">
        <v>37</v>
      </c>
      <c r="M845" s="7" t="s">
        <v>38</v>
      </c>
      <c r="N845" s="5">
        <v>43713.0</v>
      </c>
      <c r="O845" s="8">
        <v>17700.0</v>
      </c>
      <c r="P845" s="8">
        <v>28200.0</v>
      </c>
      <c r="Q845" s="8">
        <f t="shared" si="2"/>
        <v>10500</v>
      </c>
      <c r="R845" s="8">
        <v>22.0</v>
      </c>
      <c r="S845" s="8">
        <f t="shared" si="3"/>
        <v>620400</v>
      </c>
      <c r="T845" s="9">
        <v>0.09</v>
      </c>
      <c r="U845" s="8">
        <f t="shared" si="4"/>
        <v>55836</v>
      </c>
      <c r="V845" s="8">
        <f t="shared" si="5"/>
        <v>564564</v>
      </c>
      <c r="W845" s="10">
        <f t="shared" si="6"/>
        <v>389400</v>
      </c>
      <c r="X845" s="10">
        <f t="shared" si="7"/>
        <v>175164</v>
      </c>
      <c r="Y845" s="10"/>
      <c r="Z845" s="10"/>
      <c r="AA845" s="10"/>
      <c r="AB845" s="4" t="s">
        <v>2540</v>
      </c>
      <c r="AC845" s="4" t="s">
        <v>2539</v>
      </c>
      <c r="AD845" s="4">
        <v>43712.0</v>
      </c>
      <c r="AE845" s="4">
        <v>2019.0</v>
      </c>
      <c r="AF845" s="4" t="s">
        <v>2187</v>
      </c>
      <c r="AG845" s="4" t="s">
        <v>642</v>
      </c>
      <c r="AH845" s="4" t="s">
        <v>50</v>
      </c>
      <c r="AI845" s="4" t="s">
        <v>32</v>
      </c>
      <c r="AJ845" s="4" t="s">
        <v>69</v>
      </c>
      <c r="AK845" s="4" t="s">
        <v>92</v>
      </c>
      <c r="AL845" s="4" t="s">
        <v>294</v>
      </c>
      <c r="AM845" s="4" t="s">
        <v>36</v>
      </c>
      <c r="AN845" s="4" t="s">
        <v>37</v>
      </c>
      <c r="AO845" s="4" t="s">
        <v>38</v>
      </c>
      <c r="AP845" s="4">
        <v>43713.0</v>
      </c>
      <c r="AQ845" s="4">
        <v>17700.0</v>
      </c>
      <c r="AR845" s="4">
        <v>28200.0</v>
      </c>
      <c r="AS845" s="4">
        <v>10500.0</v>
      </c>
      <c r="AT845" s="4">
        <v>22.0</v>
      </c>
      <c r="AU845" s="4">
        <v>620400.0</v>
      </c>
      <c r="AV845" s="4">
        <v>0.09</v>
      </c>
      <c r="AW845" s="4">
        <v>55836.0</v>
      </c>
      <c r="AX845" s="4">
        <v>564564.0</v>
      </c>
      <c r="AY845" s="4">
        <v>389400.0</v>
      </c>
      <c r="AZ845" s="4">
        <v>175164.0</v>
      </c>
    </row>
    <row r="846" ht="15.75" customHeight="1">
      <c r="A846" s="3" t="s">
        <v>2541</v>
      </c>
      <c r="B846" s="5">
        <v>43713.0</v>
      </c>
      <c r="C846" s="6">
        <f t="shared" si="1"/>
        <v>2019</v>
      </c>
      <c r="D846" s="7" t="s">
        <v>2542</v>
      </c>
      <c r="E846" s="7" t="s">
        <v>369</v>
      </c>
      <c r="F846" s="7" t="s">
        <v>50</v>
      </c>
      <c r="G846" s="5" t="s">
        <v>91</v>
      </c>
      <c r="H846" s="7" t="s">
        <v>200</v>
      </c>
      <c r="I846" s="7" t="s">
        <v>34</v>
      </c>
      <c r="J846" s="7" t="s">
        <v>44</v>
      </c>
      <c r="K846" s="7" t="s">
        <v>36</v>
      </c>
      <c r="L846" s="7" t="s">
        <v>45</v>
      </c>
      <c r="M846" s="7" t="s">
        <v>55</v>
      </c>
      <c r="N846" s="5">
        <v>43714.0</v>
      </c>
      <c r="O846" s="8">
        <v>35850.0</v>
      </c>
      <c r="P846" s="8">
        <v>63900.0</v>
      </c>
      <c r="Q846" s="8">
        <f t="shared" si="2"/>
        <v>28050</v>
      </c>
      <c r="R846" s="8">
        <v>5.0</v>
      </c>
      <c r="S846" s="8">
        <f t="shared" si="3"/>
        <v>319500</v>
      </c>
      <c r="T846" s="9">
        <v>0.01</v>
      </c>
      <c r="U846" s="8">
        <f t="shared" si="4"/>
        <v>3195</v>
      </c>
      <c r="V846" s="8">
        <f t="shared" si="5"/>
        <v>316305</v>
      </c>
      <c r="W846" s="10">
        <f t="shared" si="6"/>
        <v>179250</v>
      </c>
      <c r="X846" s="10">
        <f t="shared" si="7"/>
        <v>137055</v>
      </c>
      <c r="Y846" s="10"/>
      <c r="Z846" s="10"/>
      <c r="AA846" s="10"/>
      <c r="AB846" s="4" t="s">
        <v>2543</v>
      </c>
      <c r="AC846" s="4" t="s">
        <v>2541</v>
      </c>
      <c r="AD846" s="4">
        <v>43713.0</v>
      </c>
      <c r="AE846" s="4">
        <v>2019.0</v>
      </c>
      <c r="AF846" s="4" t="s">
        <v>2542</v>
      </c>
      <c r="AG846" s="4" t="s">
        <v>369</v>
      </c>
      <c r="AH846" s="4" t="s">
        <v>50</v>
      </c>
      <c r="AI846" s="4" t="s">
        <v>91</v>
      </c>
      <c r="AJ846" s="4" t="s">
        <v>200</v>
      </c>
      <c r="AK846" s="4" t="s">
        <v>34</v>
      </c>
      <c r="AL846" s="4" t="s">
        <v>44</v>
      </c>
      <c r="AM846" s="4" t="s">
        <v>36</v>
      </c>
      <c r="AN846" s="4" t="s">
        <v>45</v>
      </c>
      <c r="AO846" s="4" t="s">
        <v>55</v>
      </c>
      <c r="AP846" s="4">
        <v>43714.0</v>
      </c>
      <c r="AQ846" s="4">
        <v>35850.0</v>
      </c>
      <c r="AR846" s="4">
        <v>63900.0</v>
      </c>
      <c r="AS846" s="4">
        <v>28050.0</v>
      </c>
      <c r="AT846" s="4">
        <v>5.0</v>
      </c>
      <c r="AU846" s="4">
        <v>319500.0</v>
      </c>
      <c r="AV846" s="4">
        <v>0.01</v>
      </c>
      <c r="AW846" s="4">
        <v>3195.0</v>
      </c>
      <c r="AX846" s="4">
        <v>316305.0</v>
      </c>
      <c r="AY846" s="4">
        <v>179250.0</v>
      </c>
      <c r="AZ846" s="4">
        <v>137055.0</v>
      </c>
    </row>
    <row r="847" ht="15.75" customHeight="1">
      <c r="A847" s="3" t="s">
        <v>2544</v>
      </c>
      <c r="B847" s="5">
        <v>43716.0</v>
      </c>
      <c r="C847" s="6">
        <f t="shared" si="1"/>
        <v>2019</v>
      </c>
      <c r="D847" s="7" t="s">
        <v>2545</v>
      </c>
      <c r="E847" s="7" t="s">
        <v>216</v>
      </c>
      <c r="F847" s="7" t="s">
        <v>50</v>
      </c>
      <c r="G847" s="5" t="s">
        <v>91</v>
      </c>
      <c r="H847" s="7" t="s">
        <v>151</v>
      </c>
      <c r="I847" s="7" t="s">
        <v>104</v>
      </c>
      <c r="J847" s="7" t="s">
        <v>1047</v>
      </c>
      <c r="K847" s="7" t="s">
        <v>36</v>
      </c>
      <c r="L847" s="7" t="s">
        <v>37</v>
      </c>
      <c r="M847" s="7" t="s">
        <v>38</v>
      </c>
      <c r="N847" s="5">
        <v>43717.0</v>
      </c>
      <c r="O847" s="8">
        <v>780600.0</v>
      </c>
      <c r="P847" s="8">
        <v>1258950.0</v>
      </c>
      <c r="Q847" s="8">
        <f t="shared" si="2"/>
        <v>478350</v>
      </c>
      <c r="R847" s="8">
        <v>5.0</v>
      </c>
      <c r="S847" s="8">
        <f t="shared" si="3"/>
        <v>6294750</v>
      </c>
      <c r="T847" s="9">
        <v>0.04</v>
      </c>
      <c r="U847" s="8">
        <f t="shared" si="4"/>
        <v>251790</v>
      </c>
      <c r="V847" s="8">
        <f t="shared" si="5"/>
        <v>6042960</v>
      </c>
      <c r="W847" s="10">
        <f t="shared" si="6"/>
        <v>3903000</v>
      </c>
      <c r="X847" s="10">
        <f t="shared" si="7"/>
        <v>2139960</v>
      </c>
      <c r="Y847" s="10"/>
      <c r="Z847" s="10"/>
      <c r="AA847" s="10"/>
      <c r="AB847" s="4" t="s">
        <v>2546</v>
      </c>
      <c r="AC847" s="4" t="s">
        <v>2544</v>
      </c>
      <c r="AD847" s="4">
        <v>43716.0</v>
      </c>
      <c r="AE847" s="4">
        <v>2019.0</v>
      </c>
      <c r="AF847" s="4" t="s">
        <v>2545</v>
      </c>
      <c r="AG847" s="4" t="s">
        <v>216</v>
      </c>
      <c r="AH847" s="4" t="s">
        <v>50</v>
      </c>
      <c r="AI847" s="4" t="s">
        <v>91</v>
      </c>
      <c r="AJ847" s="4" t="s">
        <v>151</v>
      </c>
      <c r="AK847" s="4" t="s">
        <v>104</v>
      </c>
      <c r="AL847" s="4" t="s">
        <v>1047</v>
      </c>
      <c r="AM847" s="4" t="s">
        <v>36</v>
      </c>
      <c r="AN847" s="4" t="s">
        <v>37</v>
      </c>
      <c r="AO847" s="4" t="s">
        <v>38</v>
      </c>
      <c r="AP847" s="4">
        <v>43717.0</v>
      </c>
      <c r="AQ847" s="4">
        <v>780600.0</v>
      </c>
      <c r="AR847" s="4">
        <v>1258950.0</v>
      </c>
      <c r="AS847" s="4">
        <v>478350.0</v>
      </c>
      <c r="AT847" s="4">
        <v>5.0</v>
      </c>
      <c r="AU847" s="4">
        <v>6294750.0</v>
      </c>
      <c r="AV847" s="4">
        <v>0.04</v>
      </c>
      <c r="AW847" s="4">
        <v>251790.0</v>
      </c>
      <c r="AX847" s="4">
        <v>6042960.0</v>
      </c>
      <c r="AY847" s="4">
        <v>3903000.0</v>
      </c>
      <c r="AZ847" s="4">
        <v>2139960.0</v>
      </c>
    </row>
    <row r="848" ht="15.75" customHeight="1">
      <c r="A848" s="3" t="s">
        <v>2547</v>
      </c>
      <c r="B848" s="5">
        <v>43717.0</v>
      </c>
      <c r="C848" s="6">
        <f t="shared" si="1"/>
        <v>2019</v>
      </c>
      <c r="D848" s="7" t="s">
        <v>2548</v>
      </c>
      <c r="E848" s="7" t="s">
        <v>2549</v>
      </c>
      <c r="F848" s="7" t="s">
        <v>50</v>
      </c>
      <c r="G848" s="5" t="s">
        <v>51</v>
      </c>
      <c r="H848" s="7" t="s">
        <v>151</v>
      </c>
      <c r="I848" s="7" t="s">
        <v>92</v>
      </c>
      <c r="J848" s="7" t="s">
        <v>99</v>
      </c>
      <c r="K848" s="7" t="s">
        <v>36</v>
      </c>
      <c r="L848" s="7" t="s">
        <v>37</v>
      </c>
      <c r="M848" s="7" t="s">
        <v>38</v>
      </c>
      <c r="N848" s="5">
        <v>43717.0</v>
      </c>
      <c r="O848" s="8">
        <v>79950.0</v>
      </c>
      <c r="P848" s="8">
        <v>129000.0</v>
      </c>
      <c r="Q848" s="8">
        <f t="shared" si="2"/>
        <v>49050</v>
      </c>
      <c r="R848" s="8">
        <v>1.0</v>
      </c>
      <c r="S848" s="8">
        <f t="shared" si="3"/>
        <v>129000</v>
      </c>
      <c r="T848" s="9">
        <v>0.06</v>
      </c>
      <c r="U848" s="8">
        <f t="shared" si="4"/>
        <v>7740</v>
      </c>
      <c r="V848" s="8">
        <f t="shared" si="5"/>
        <v>121260</v>
      </c>
      <c r="W848" s="10">
        <f t="shared" si="6"/>
        <v>79950</v>
      </c>
      <c r="X848" s="10">
        <f t="shared" si="7"/>
        <v>41310</v>
      </c>
      <c r="Y848" s="10"/>
      <c r="Z848" s="10"/>
      <c r="AA848" s="10"/>
      <c r="AB848" s="4" t="s">
        <v>2550</v>
      </c>
      <c r="AC848" s="4" t="s">
        <v>2547</v>
      </c>
      <c r="AD848" s="4">
        <v>43717.0</v>
      </c>
      <c r="AE848" s="4">
        <v>2019.0</v>
      </c>
      <c r="AF848" s="4" t="s">
        <v>2548</v>
      </c>
      <c r="AG848" s="4" t="s">
        <v>2549</v>
      </c>
      <c r="AH848" s="4" t="s">
        <v>50</v>
      </c>
      <c r="AI848" s="4" t="s">
        <v>51</v>
      </c>
      <c r="AJ848" s="4" t="s">
        <v>151</v>
      </c>
      <c r="AK848" s="4" t="s">
        <v>92</v>
      </c>
      <c r="AL848" s="4" t="s">
        <v>99</v>
      </c>
      <c r="AM848" s="4" t="s">
        <v>36</v>
      </c>
      <c r="AN848" s="4" t="s">
        <v>37</v>
      </c>
      <c r="AO848" s="4" t="s">
        <v>38</v>
      </c>
      <c r="AP848" s="4">
        <v>43717.0</v>
      </c>
      <c r="AQ848" s="4">
        <v>79950.0</v>
      </c>
      <c r="AR848" s="4">
        <v>129000.0</v>
      </c>
      <c r="AS848" s="4">
        <v>49050.0</v>
      </c>
      <c r="AT848" s="4">
        <v>1.0</v>
      </c>
      <c r="AU848" s="4">
        <v>129000.0</v>
      </c>
      <c r="AV848" s="4">
        <v>0.06</v>
      </c>
      <c r="AW848" s="4">
        <v>7740.0</v>
      </c>
      <c r="AX848" s="4">
        <v>121260.0</v>
      </c>
      <c r="AY848" s="4">
        <v>79950.0</v>
      </c>
      <c r="AZ848" s="4">
        <v>41310.0</v>
      </c>
    </row>
    <row r="849" ht="15.75" customHeight="1">
      <c r="A849" s="3" t="s">
        <v>2551</v>
      </c>
      <c r="B849" s="5">
        <v>43719.0</v>
      </c>
      <c r="C849" s="6">
        <f t="shared" si="1"/>
        <v>2019</v>
      </c>
      <c r="D849" s="7" t="s">
        <v>2552</v>
      </c>
      <c r="E849" s="7" t="s">
        <v>2364</v>
      </c>
      <c r="F849" s="7" t="s">
        <v>50</v>
      </c>
      <c r="G849" s="5" t="s">
        <v>68</v>
      </c>
      <c r="H849" s="7" t="s">
        <v>69</v>
      </c>
      <c r="I849" s="7" t="s">
        <v>104</v>
      </c>
      <c r="J849" s="7" t="s">
        <v>677</v>
      </c>
      <c r="K849" s="7" t="s">
        <v>36</v>
      </c>
      <c r="L849" s="7" t="s">
        <v>37</v>
      </c>
      <c r="M849" s="7" t="s">
        <v>38</v>
      </c>
      <c r="N849" s="5">
        <v>43720.0</v>
      </c>
      <c r="O849" s="8">
        <v>224250.0</v>
      </c>
      <c r="P849" s="8">
        <v>521399.99999999994</v>
      </c>
      <c r="Q849" s="8">
        <f t="shared" si="2"/>
        <v>297150</v>
      </c>
      <c r="R849" s="8">
        <v>32.0</v>
      </c>
      <c r="S849" s="8">
        <f t="shared" si="3"/>
        <v>16684800</v>
      </c>
      <c r="T849" s="9">
        <v>0.02</v>
      </c>
      <c r="U849" s="8">
        <f t="shared" si="4"/>
        <v>333696</v>
      </c>
      <c r="V849" s="8">
        <f t="shared" si="5"/>
        <v>16351104</v>
      </c>
      <c r="W849" s="10">
        <f t="shared" si="6"/>
        <v>7176000</v>
      </c>
      <c r="X849" s="10">
        <f t="shared" si="7"/>
        <v>9175104</v>
      </c>
      <c r="Y849" s="10"/>
      <c r="Z849" s="10"/>
      <c r="AA849" s="10"/>
      <c r="AB849" s="4" t="s">
        <v>2553</v>
      </c>
      <c r="AC849" s="4" t="s">
        <v>2551</v>
      </c>
      <c r="AD849" s="4">
        <v>43719.0</v>
      </c>
      <c r="AE849" s="4">
        <v>2019.0</v>
      </c>
      <c r="AF849" s="4" t="s">
        <v>2552</v>
      </c>
      <c r="AG849" s="4" t="s">
        <v>2364</v>
      </c>
      <c r="AH849" s="4" t="s">
        <v>50</v>
      </c>
      <c r="AI849" s="4" t="s">
        <v>68</v>
      </c>
      <c r="AJ849" s="4" t="s">
        <v>69</v>
      </c>
      <c r="AK849" s="4" t="s">
        <v>104</v>
      </c>
      <c r="AL849" s="4" t="s">
        <v>677</v>
      </c>
      <c r="AM849" s="4" t="s">
        <v>36</v>
      </c>
      <c r="AN849" s="4" t="s">
        <v>37</v>
      </c>
      <c r="AO849" s="4" t="s">
        <v>38</v>
      </c>
      <c r="AP849" s="4">
        <v>43720.0</v>
      </c>
      <c r="AQ849" s="4">
        <v>224250.0</v>
      </c>
      <c r="AR849" s="4">
        <v>521400.0</v>
      </c>
      <c r="AS849" s="4">
        <v>297150.0</v>
      </c>
      <c r="AT849" s="4">
        <v>32.0</v>
      </c>
      <c r="AU849" s="4">
        <v>1.66848E7</v>
      </c>
      <c r="AV849" s="4">
        <v>0.02</v>
      </c>
      <c r="AW849" s="4">
        <v>333696.0</v>
      </c>
      <c r="AX849" s="4">
        <v>1.6351104E7</v>
      </c>
      <c r="AY849" s="4">
        <v>7176000.0</v>
      </c>
      <c r="AZ849" s="4">
        <v>9175104.0</v>
      </c>
    </row>
    <row r="850" ht="15.75" customHeight="1">
      <c r="A850" s="3" t="s">
        <v>2554</v>
      </c>
      <c r="B850" s="5">
        <v>43720.0</v>
      </c>
      <c r="C850" s="6">
        <f t="shared" si="1"/>
        <v>2019</v>
      </c>
      <c r="D850" s="7" t="s">
        <v>2456</v>
      </c>
      <c r="E850" s="7" t="s">
        <v>501</v>
      </c>
      <c r="F850" s="7" t="s">
        <v>289</v>
      </c>
      <c r="G850" s="5" t="s">
        <v>32</v>
      </c>
      <c r="H850" s="7" t="s">
        <v>80</v>
      </c>
      <c r="I850" s="7" t="s">
        <v>104</v>
      </c>
      <c r="J850" s="7" t="s">
        <v>490</v>
      </c>
      <c r="K850" s="7" t="s">
        <v>61</v>
      </c>
      <c r="L850" s="7" t="s">
        <v>37</v>
      </c>
      <c r="M850" s="7" t="s">
        <v>38</v>
      </c>
      <c r="N850" s="5">
        <v>43720.0</v>
      </c>
      <c r="O850" s="8">
        <v>93000.0</v>
      </c>
      <c r="P850" s="8">
        <v>464700.0</v>
      </c>
      <c r="Q850" s="8">
        <f t="shared" si="2"/>
        <v>371700</v>
      </c>
      <c r="R850" s="8">
        <v>24.0</v>
      </c>
      <c r="S850" s="8">
        <f t="shared" si="3"/>
        <v>11152800</v>
      </c>
      <c r="T850" s="9">
        <v>0.08</v>
      </c>
      <c r="U850" s="8">
        <f t="shared" si="4"/>
        <v>892224</v>
      </c>
      <c r="V850" s="8">
        <f t="shared" si="5"/>
        <v>10260576</v>
      </c>
      <c r="W850" s="10">
        <f t="shared" si="6"/>
        <v>2232000</v>
      </c>
      <c r="X850" s="10">
        <f t="shared" si="7"/>
        <v>8028576</v>
      </c>
      <c r="Y850" s="10"/>
      <c r="Z850" s="10"/>
      <c r="AA850" s="10"/>
      <c r="AB850" s="4" t="s">
        <v>2555</v>
      </c>
      <c r="AC850" s="4" t="s">
        <v>2554</v>
      </c>
      <c r="AD850" s="4">
        <v>43720.0</v>
      </c>
      <c r="AE850" s="4">
        <v>2019.0</v>
      </c>
      <c r="AF850" s="4" t="s">
        <v>2456</v>
      </c>
      <c r="AG850" s="4" t="s">
        <v>501</v>
      </c>
      <c r="AH850" s="4" t="s">
        <v>289</v>
      </c>
      <c r="AI850" s="4" t="s">
        <v>32</v>
      </c>
      <c r="AJ850" s="4" t="s">
        <v>80</v>
      </c>
      <c r="AK850" s="4" t="s">
        <v>104</v>
      </c>
      <c r="AL850" s="4" t="s">
        <v>490</v>
      </c>
      <c r="AM850" s="4" t="s">
        <v>61</v>
      </c>
      <c r="AN850" s="4" t="s">
        <v>37</v>
      </c>
      <c r="AO850" s="4" t="s">
        <v>38</v>
      </c>
      <c r="AP850" s="4">
        <v>43720.0</v>
      </c>
      <c r="AQ850" s="4">
        <v>93000.0</v>
      </c>
      <c r="AR850" s="4">
        <v>464700.0</v>
      </c>
      <c r="AS850" s="4">
        <v>371700.0</v>
      </c>
      <c r="AT850" s="4">
        <v>24.0</v>
      </c>
      <c r="AU850" s="4">
        <v>1.11528E7</v>
      </c>
      <c r="AV850" s="4">
        <v>0.08</v>
      </c>
      <c r="AW850" s="4">
        <v>892224.0</v>
      </c>
      <c r="AX850" s="4">
        <v>1.0260576E7</v>
      </c>
      <c r="AY850" s="4">
        <v>2232000.0</v>
      </c>
      <c r="AZ850" s="4">
        <v>8028576.0</v>
      </c>
    </row>
    <row r="851" ht="15.75" customHeight="1">
      <c r="A851" s="3" t="s">
        <v>2556</v>
      </c>
      <c r="B851" s="5">
        <v>43721.0</v>
      </c>
      <c r="C851" s="6">
        <f t="shared" si="1"/>
        <v>2019</v>
      </c>
      <c r="D851" s="7" t="s">
        <v>455</v>
      </c>
      <c r="E851" s="7" t="s">
        <v>456</v>
      </c>
      <c r="F851" s="7" t="s">
        <v>50</v>
      </c>
      <c r="G851" s="5" t="s">
        <v>68</v>
      </c>
      <c r="H851" s="7" t="s">
        <v>200</v>
      </c>
      <c r="I851" s="7" t="s">
        <v>74</v>
      </c>
      <c r="J851" s="7" t="s">
        <v>165</v>
      </c>
      <c r="K851" s="7" t="s">
        <v>36</v>
      </c>
      <c r="L851" s="7" t="s">
        <v>127</v>
      </c>
      <c r="M851" s="7" t="s">
        <v>38</v>
      </c>
      <c r="N851" s="5">
        <v>43723.0</v>
      </c>
      <c r="O851" s="8">
        <v>14100.0</v>
      </c>
      <c r="P851" s="8">
        <v>31200.0</v>
      </c>
      <c r="Q851" s="8">
        <f t="shared" si="2"/>
        <v>17100</v>
      </c>
      <c r="R851" s="8">
        <v>49.0</v>
      </c>
      <c r="S851" s="8">
        <f t="shared" si="3"/>
        <v>1528800</v>
      </c>
      <c r="T851" s="9">
        <v>0.08</v>
      </c>
      <c r="U851" s="8">
        <f t="shared" si="4"/>
        <v>122304</v>
      </c>
      <c r="V851" s="8">
        <f t="shared" si="5"/>
        <v>1406496</v>
      </c>
      <c r="W851" s="10">
        <f t="shared" si="6"/>
        <v>690900</v>
      </c>
      <c r="X851" s="10">
        <f t="shared" si="7"/>
        <v>715596</v>
      </c>
      <c r="Y851" s="10"/>
      <c r="Z851" s="10"/>
      <c r="AA851" s="10"/>
      <c r="AB851" s="4" t="s">
        <v>2557</v>
      </c>
      <c r="AC851" s="4" t="s">
        <v>2556</v>
      </c>
      <c r="AD851" s="4">
        <v>43721.0</v>
      </c>
      <c r="AE851" s="4">
        <v>2019.0</v>
      </c>
      <c r="AF851" s="4" t="s">
        <v>455</v>
      </c>
      <c r="AG851" s="4" t="s">
        <v>456</v>
      </c>
      <c r="AH851" s="4" t="s">
        <v>50</v>
      </c>
      <c r="AI851" s="4" t="s">
        <v>68</v>
      </c>
      <c r="AJ851" s="4" t="s">
        <v>200</v>
      </c>
      <c r="AK851" s="4" t="s">
        <v>74</v>
      </c>
      <c r="AL851" s="4" t="s">
        <v>165</v>
      </c>
      <c r="AM851" s="4" t="s">
        <v>36</v>
      </c>
      <c r="AN851" s="4" t="s">
        <v>127</v>
      </c>
      <c r="AO851" s="4" t="s">
        <v>38</v>
      </c>
      <c r="AP851" s="4">
        <v>43723.0</v>
      </c>
      <c r="AQ851" s="4">
        <v>14100.0</v>
      </c>
      <c r="AR851" s="4">
        <v>31200.0</v>
      </c>
      <c r="AS851" s="4">
        <v>17100.0</v>
      </c>
      <c r="AT851" s="4">
        <v>49.0</v>
      </c>
      <c r="AU851" s="4">
        <v>1528800.0</v>
      </c>
      <c r="AV851" s="4">
        <v>0.08</v>
      </c>
      <c r="AW851" s="4">
        <v>122304.0</v>
      </c>
      <c r="AX851" s="4">
        <v>1406496.0</v>
      </c>
      <c r="AY851" s="4">
        <v>690900.0</v>
      </c>
      <c r="AZ851" s="4">
        <v>715596.0</v>
      </c>
    </row>
    <row r="852" ht="15.75" customHeight="1">
      <c r="A852" s="3" t="s">
        <v>2558</v>
      </c>
      <c r="B852" s="5">
        <v>43721.0</v>
      </c>
      <c r="C852" s="6">
        <f t="shared" si="1"/>
        <v>2019</v>
      </c>
      <c r="D852" s="7" t="s">
        <v>1220</v>
      </c>
      <c r="E852" s="7" t="s">
        <v>364</v>
      </c>
      <c r="F852" s="7" t="s">
        <v>289</v>
      </c>
      <c r="G852" s="5" t="s">
        <v>91</v>
      </c>
      <c r="H852" s="7" t="s">
        <v>80</v>
      </c>
      <c r="I852" s="7" t="s">
        <v>34</v>
      </c>
      <c r="J852" s="7" t="s">
        <v>1261</v>
      </c>
      <c r="K852" s="7" t="s">
        <v>61</v>
      </c>
      <c r="L852" s="7" t="s">
        <v>37</v>
      </c>
      <c r="M852" s="7" t="s">
        <v>38</v>
      </c>
      <c r="N852" s="5">
        <v>43724.0</v>
      </c>
      <c r="O852" s="8">
        <v>220500.0</v>
      </c>
      <c r="P852" s="8">
        <v>449850.0</v>
      </c>
      <c r="Q852" s="8">
        <f t="shared" si="2"/>
        <v>229350</v>
      </c>
      <c r="R852" s="8">
        <v>1.0</v>
      </c>
      <c r="S852" s="8">
        <f t="shared" si="3"/>
        <v>449850</v>
      </c>
      <c r="T852" s="9">
        <v>0.04</v>
      </c>
      <c r="U852" s="8">
        <f t="shared" si="4"/>
        <v>17994</v>
      </c>
      <c r="V852" s="8">
        <f t="shared" si="5"/>
        <v>431856</v>
      </c>
      <c r="W852" s="10">
        <f t="shared" si="6"/>
        <v>220500</v>
      </c>
      <c r="X852" s="10">
        <f t="shared" si="7"/>
        <v>211356</v>
      </c>
      <c r="Y852" s="10"/>
      <c r="Z852" s="10"/>
      <c r="AA852" s="10"/>
      <c r="AB852" s="4" t="s">
        <v>2559</v>
      </c>
      <c r="AC852" s="4" t="s">
        <v>2558</v>
      </c>
      <c r="AD852" s="4">
        <v>43721.0</v>
      </c>
      <c r="AE852" s="4">
        <v>2019.0</v>
      </c>
      <c r="AF852" s="4" t="s">
        <v>1220</v>
      </c>
      <c r="AG852" s="4" t="s">
        <v>364</v>
      </c>
      <c r="AH852" s="4" t="s">
        <v>289</v>
      </c>
      <c r="AI852" s="4" t="s">
        <v>91</v>
      </c>
      <c r="AJ852" s="4" t="s">
        <v>80</v>
      </c>
      <c r="AK852" s="4" t="s">
        <v>34</v>
      </c>
      <c r="AL852" s="4" t="s">
        <v>1261</v>
      </c>
      <c r="AM852" s="4" t="s">
        <v>61</v>
      </c>
      <c r="AN852" s="4" t="s">
        <v>37</v>
      </c>
      <c r="AO852" s="4" t="s">
        <v>38</v>
      </c>
      <c r="AP852" s="4">
        <v>43724.0</v>
      </c>
      <c r="AQ852" s="4">
        <v>220500.0</v>
      </c>
      <c r="AR852" s="4">
        <v>449850.0</v>
      </c>
      <c r="AS852" s="4">
        <v>229350.0</v>
      </c>
      <c r="AT852" s="4">
        <v>1.0</v>
      </c>
      <c r="AU852" s="4">
        <v>449850.0</v>
      </c>
      <c r="AV852" s="4">
        <v>0.04</v>
      </c>
      <c r="AW852" s="4">
        <v>17994.0</v>
      </c>
      <c r="AX852" s="4">
        <v>431856.0</v>
      </c>
      <c r="AY852" s="4">
        <v>220500.0</v>
      </c>
      <c r="AZ852" s="4">
        <v>211356.0</v>
      </c>
    </row>
    <row r="853" ht="15.75" customHeight="1">
      <c r="A853" s="3" t="s">
        <v>2560</v>
      </c>
      <c r="B853" s="5">
        <v>43723.0</v>
      </c>
      <c r="C853" s="6">
        <f t="shared" si="1"/>
        <v>2019</v>
      </c>
      <c r="D853" s="7" t="s">
        <v>372</v>
      </c>
      <c r="E853" s="7" t="s">
        <v>369</v>
      </c>
      <c r="F853" s="7" t="s">
        <v>50</v>
      </c>
      <c r="G853" s="5" t="s">
        <v>68</v>
      </c>
      <c r="H853" s="7" t="s">
        <v>200</v>
      </c>
      <c r="I853" s="7" t="s">
        <v>53</v>
      </c>
      <c r="J853" s="7" t="s">
        <v>2229</v>
      </c>
      <c r="K853" s="7" t="s">
        <v>36</v>
      </c>
      <c r="L853" s="7" t="s">
        <v>45</v>
      </c>
      <c r="M853" s="7" t="s">
        <v>38</v>
      </c>
      <c r="N853" s="5">
        <v>43725.0</v>
      </c>
      <c r="O853" s="8">
        <v>59250.0</v>
      </c>
      <c r="P853" s="8">
        <v>91200.0</v>
      </c>
      <c r="Q853" s="8">
        <f t="shared" si="2"/>
        <v>31950</v>
      </c>
      <c r="R853" s="8">
        <v>50.0</v>
      </c>
      <c r="S853" s="8">
        <f t="shared" si="3"/>
        <v>4560000</v>
      </c>
      <c r="T853" s="9">
        <v>0.09</v>
      </c>
      <c r="U853" s="8">
        <f t="shared" si="4"/>
        <v>410400</v>
      </c>
      <c r="V853" s="8">
        <f t="shared" si="5"/>
        <v>4149600</v>
      </c>
      <c r="W853" s="10">
        <f t="shared" si="6"/>
        <v>2962500</v>
      </c>
      <c r="X853" s="10">
        <f t="shared" si="7"/>
        <v>1187100</v>
      </c>
      <c r="Y853" s="10"/>
      <c r="Z853" s="10"/>
      <c r="AA853" s="10"/>
      <c r="AB853" s="4" t="s">
        <v>2561</v>
      </c>
      <c r="AC853" s="4" t="s">
        <v>2560</v>
      </c>
      <c r="AD853" s="4">
        <v>43723.0</v>
      </c>
      <c r="AE853" s="4">
        <v>2019.0</v>
      </c>
      <c r="AF853" s="4" t="s">
        <v>372</v>
      </c>
      <c r="AG853" s="4" t="s">
        <v>369</v>
      </c>
      <c r="AH853" s="4" t="s">
        <v>50</v>
      </c>
      <c r="AI853" s="4" t="s">
        <v>68</v>
      </c>
      <c r="AJ853" s="4" t="s">
        <v>200</v>
      </c>
      <c r="AK853" s="4" t="s">
        <v>53</v>
      </c>
      <c r="AL853" s="4" t="s">
        <v>2229</v>
      </c>
      <c r="AM853" s="4" t="s">
        <v>36</v>
      </c>
      <c r="AN853" s="4" t="s">
        <v>45</v>
      </c>
      <c r="AO853" s="4" t="s">
        <v>38</v>
      </c>
      <c r="AP853" s="4">
        <v>43725.0</v>
      </c>
      <c r="AQ853" s="4">
        <v>59250.0</v>
      </c>
      <c r="AR853" s="4">
        <v>91200.0</v>
      </c>
      <c r="AS853" s="4">
        <v>31950.0</v>
      </c>
      <c r="AT853" s="4">
        <v>50.0</v>
      </c>
      <c r="AU853" s="4">
        <v>4560000.0</v>
      </c>
      <c r="AV853" s="4">
        <v>0.09</v>
      </c>
      <c r="AW853" s="4">
        <v>410400.0</v>
      </c>
      <c r="AX853" s="4">
        <v>4149600.0</v>
      </c>
      <c r="AY853" s="4">
        <v>2962500.0</v>
      </c>
      <c r="AZ853" s="4">
        <v>1187100.0</v>
      </c>
    </row>
    <row r="854" ht="15.75" customHeight="1">
      <c r="A854" s="3" t="s">
        <v>2562</v>
      </c>
      <c r="B854" s="5">
        <v>43724.0</v>
      </c>
      <c r="C854" s="6">
        <f t="shared" si="1"/>
        <v>2019</v>
      </c>
      <c r="D854" s="7" t="s">
        <v>281</v>
      </c>
      <c r="E854" s="7" t="s">
        <v>2179</v>
      </c>
      <c r="F854" s="7" t="s">
        <v>50</v>
      </c>
      <c r="G854" s="5" t="s">
        <v>91</v>
      </c>
      <c r="H854" s="7" t="s">
        <v>69</v>
      </c>
      <c r="I854" s="7" t="s">
        <v>53</v>
      </c>
      <c r="J854" s="7" t="s">
        <v>516</v>
      </c>
      <c r="K854" s="7" t="s">
        <v>36</v>
      </c>
      <c r="L854" s="7" t="s">
        <v>37</v>
      </c>
      <c r="M854" s="7" t="s">
        <v>38</v>
      </c>
      <c r="N854" s="5">
        <v>43725.0</v>
      </c>
      <c r="O854" s="8">
        <v>29100.0</v>
      </c>
      <c r="P854" s="8">
        <v>46200.0</v>
      </c>
      <c r="Q854" s="8">
        <f t="shared" si="2"/>
        <v>17100</v>
      </c>
      <c r="R854" s="8">
        <v>11.0</v>
      </c>
      <c r="S854" s="8">
        <f t="shared" si="3"/>
        <v>508200</v>
      </c>
      <c r="T854" s="9">
        <v>0.03</v>
      </c>
      <c r="U854" s="8">
        <f t="shared" si="4"/>
        <v>15246</v>
      </c>
      <c r="V854" s="8">
        <f t="shared" si="5"/>
        <v>492954</v>
      </c>
      <c r="W854" s="10">
        <f t="shared" si="6"/>
        <v>320100</v>
      </c>
      <c r="X854" s="10">
        <f t="shared" si="7"/>
        <v>172854</v>
      </c>
      <c r="Y854" s="10"/>
      <c r="Z854" s="10"/>
      <c r="AA854" s="10"/>
      <c r="AB854" s="4" t="s">
        <v>2563</v>
      </c>
      <c r="AC854" s="4" t="s">
        <v>2562</v>
      </c>
      <c r="AD854" s="4">
        <v>43724.0</v>
      </c>
      <c r="AE854" s="4">
        <v>2019.0</v>
      </c>
      <c r="AF854" s="4" t="s">
        <v>281</v>
      </c>
      <c r="AG854" s="4" t="s">
        <v>2179</v>
      </c>
      <c r="AH854" s="4" t="s">
        <v>50</v>
      </c>
      <c r="AI854" s="4" t="s">
        <v>91</v>
      </c>
      <c r="AJ854" s="4" t="s">
        <v>69</v>
      </c>
      <c r="AK854" s="4" t="s">
        <v>53</v>
      </c>
      <c r="AL854" s="4" t="s">
        <v>516</v>
      </c>
      <c r="AM854" s="4" t="s">
        <v>36</v>
      </c>
      <c r="AN854" s="4" t="s">
        <v>37</v>
      </c>
      <c r="AO854" s="4" t="s">
        <v>38</v>
      </c>
      <c r="AP854" s="4">
        <v>43725.0</v>
      </c>
      <c r="AQ854" s="4">
        <v>29100.0</v>
      </c>
      <c r="AR854" s="4">
        <v>46200.0</v>
      </c>
      <c r="AS854" s="4">
        <v>17100.0</v>
      </c>
      <c r="AT854" s="4">
        <v>11.0</v>
      </c>
      <c r="AU854" s="4">
        <v>508200.0</v>
      </c>
      <c r="AV854" s="4">
        <v>0.03</v>
      </c>
      <c r="AW854" s="4">
        <v>15246.0</v>
      </c>
      <c r="AX854" s="4">
        <v>492954.0</v>
      </c>
      <c r="AY854" s="4">
        <v>320100.0</v>
      </c>
      <c r="AZ854" s="4">
        <v>172854.0</v>
      </c>
    </row>
    <row r="855" ht="15.75" customHeight="1">
      <c r="A855" s="3" t="s">
        <v>2564</v>
      </c>
      <c r="B855" s="5">
        <v>43724.0</v>
      </c>
      <c r="C855" s="6">
        <f t="shared" si="1"/>
        <v>2019</v>
      </c>
      <c r="D855" s="7" t="s">
        <v>2565</v>
      </c>
      <c r="E855" s="7" t="s">
        <v>1331</v>
      </c>
      <c r="F855" s="7" t="s">
        <v>50</v>
      </c>
      <c r="G855" s="5" t="s">
        <v>91</v>
      </c>
      <c r="H855" s="7" t="s">
        <v>360</v>
      </c>
      <c r="I855" s="7" t="s">
        <v>92</v>
      </c>
      <c r="J855" s="7" t="s">
        <v>120</v>
      </c>
      <c r="K855" s="7" t="s">
        <v>36</v>
      </c>
      <c r="L855" s="7" t="s">
        <v>45</v>
      </c>
      <c r="M855" s="7" t="s">
        <v>38</v>
      </c>
      <c r="N855" s="5">
        <v>43726.0</v>
      </c>
      <c r="O855" s="8">
        <v>10650.0</v>
      </c>
      <c r="P855" s="8">
        <v>17100.0</v>
      </c>
      <c r="Q855" s="8">
        <f t="shared" si="2"/>
        <v>6450</v>
      </c>
      <c r="R855" s="8">
        <v>3.0</v>
      </c>
      <c r="S855" s="8">
        <f t="shared" si="3"/>
        <v>51300</v>
      </c>
      <c r="T855" s="9">
        <v>0.1</v>
      </c>
      <c r="U855" s="8">
        <f t="shared" si="4"/>
        <v>5130</v>
      </c>
      <c r="V855" s="8">
        <f t="shared" si="5"/>
        <v>46170</v>
      </c>
      <c r="W855" s="10">
        <f t="shared" si="6"/>
        <v>31950</v>
      </c>
      <c r="X855" s="10">
        <f t="shared" si="7"/>
        <v>14220</v>
      </c>
      <c r="Y855" s="10"/>
      <c r="Z855" s="10"/>
      <c r="AA855" s="10"/>
      <c r="AB855" s="4" t="s">
        <v>2566</v>
      </c>
      <c r="AC855" s="4" t="s">
        <v>2564</v>
      </c>
      <c r="AD855" s="4">
        <v>43724.0</v>
      </c>
      <c r="AE855" s="4">
        <v>2019.0</v>
      </c>
      <c r="AF855" s="4" t="s">
        <v>2565</v>
      </c>
      <c r="AG855" s="4" t="s">
        <v>1331</v>
      </c>
      <c r="AH855" s="4" t="s">
        <v>50</v>
      </c>
      <c r="AI855" s="4" t="s">
        <v>91</v>
      </c>
      <c r="AJ855" s="4" t="s">
        <v>360</v>
      </c>
      <c r="AK855" s="4" t="s">
        <v>92</v>
      </c>
      <c r="AL855" s="4" t="s">
        <v>120</v>
      </c>
      <c r="AM855" s="4" t="s">
        <v>36</v>
      </c>
      <c r="AN855" s="4" t="s">
        <v>45</v>
      </c>
      <c r="AO855" s="4" t="s">
        <v>38</v>
      </c>
      <c r="AP855" s="4">
        <v>43726.0</v>
      </c>
      <c r="AQ855" s="4">
        <v>10650.0</v>
      </c>
      <c r="AR855" s="4">
        <v>17100.0</v>
      </c>
      <c r="AS855" s="4">
        <v>6450.0</v>
      </c>
      <c r="AT855" s="4">
        <v>3.0</v>
      </c>
      <c r="AU855" s="4">
        <v>51300.0</v>
      </c>
      <c r="AV855" s="4">
        <v>0.1</v>
      </c>
      <c r="AW855" s="4">
        <v>5130.0</v>
      </c>
      <c r="AX855" s="4">
        <v>46170.0</v>
      </c>
      <c r="AY855" s="4">
        <v>31950.0</v>
      </c>
      <c r="AZ855" s="4">
        <v>14220.0</v>
      </c>
    </row>
    <row r="856" ht="15.75" customHeight="1">
      <c r="A856" s="3" t="s">
        <v>2567</v>
      </c>
      <c r="B856" s="5">
        <v>43732.0</v>
      </c>
      <c r="C856" s="6">
        <f t="shared" si="1"/>
        <v>2019</v>
      </c>
      <c r="D856" s="7" t="s">
        <v>1852</v>
      </c>
      <c r="E856" s="7" t="s">
        <v>716</v>
      </c>
      <c r="F856" s="7" t="s">
        <v>289</v>
      </c>
      <c r="G856" s="5" t="s">
        <v>51</v>
      </c>
      <c r="H856" s="7" t="s">
        <v>140</v>
      </c>
      <c r="I856" s="7" t="s">
        <v>53</v>
      </c>
      <c r="J856" s="7" t="s">
        <v>462</v>
      </c>
      <c r="K856" s="7" t="s">
        <v>36</v>
      </c>
      <c r="L856" s="7" t="s">
        <v>45</v>
      </c>
      <c r="M856" s="7" t="s">
        <v>38</v>
      </c>
      <c r="N856" s="5">
        <v>43733.0</v>
      </c>
      <c r="O856" s="8">
        <v>19650.0</v>
      </c>
      <c r="P856" s="8">
        <v>42600.0</v>
      </c>
      <c r="Q856" s="8">
        <f t="shared" si="2"/>
        <v>22950</v>
      </c>
      <c r="R856" s="8">
        <v>9.0</v>
      </c>
      <c r="S856" s="8">
        <f t="shared" si="3"/>
        <v>383400</v>
      </c>
      <c r="T856" s="9">
        <v>0.08</v>
      </c>
      <c r="U856" s="8">
        <f t="shared" si="4"/>
        <v>30672</v>
      </c>
      <c r="V856" s="8">
        <f t="shared" si="5"/>
        <v>352728</v>
      </c>
      <c r="W856" s="10">
        <f t="shared" si="6"/>
        <v>176850</v>
      </c>
      <c r="X856" s="10">
        <f t="shared" si="7"/>
        <v>175878</v>
      </c>
      <c r="Y856" s="10"/>
      <c r="Z856" s="10"/>
      <c r="AA856" s="10"/>
      <c r="AB856" s="4" t="s">
        <v>2568</v>
      </c>
      <c r="AC856" s="4" t="s">
        <v>2567</v>
      </c>
      <c r="AD856" s="4">
        <v>43732.0</v>
      </c>
      <c r="AE856" s="4">
        <v>2019.0</v>
      </c>
      <c r="AF856" s="4" t="s">
        <v>1852</v>
      </c>
      <c r="AG856" s="4" t="s">
        <v>716</v>
      </c>
      <c r="AH856" s="4" t="s">
        <v>289</v>
      </c>
      <c r="AI856" s="4" t="s">
        <v>51</v>
      </c>
      <c r="AJ856" s="4" t="s">
        <v>140</v>
      </c>
      <c r="AK856" s="4" t="s">
        <v>53</v>
      </c>
      <c r="AL856" s="4" t="s">
        <v>462</v>
      </c>
      <c r="AM856" s="4" t="s">
        <v>36</v>
      </c>
      <c r="AN856" s="4" t="s">
        <v>45</v>
      </c>
      <c r="AO856" s="4" t="s">
        <v>38</v>
      </c>
      <c r="AP856" s="4">
        <v>43733.0</v>
      </c>
      <c r="AQ856" s="4">
        <v>19650.0</v>
      </c>
      <c r="AR856" s="4">
        <v>42600.0</v>
      </c>
      <c r="AS856" s="4">
        <v>22950.0</v>
      </c>
      <c r="AT856" s="4">
        <v>9.0</v>
      </c>
      <c r="AU856" s="4">
        <v>383400.0</v>
      </c>
      <c r="AV856" s="4">
        <v>0.08</v>
      </c>
      <c r="AW856" s="4">
        <v>30672.0</v>
      </c>
      <c r="AX856" s="4">
        <v>352728.0</v>
      </c>
      <c r="AY856" s="4">
        <v>176850.0</v>
      </c>
      <c r="AZ856" s="4">
        <v>175878.0</v>
      </c>
    </row>
    <row r="857" ht="15.75" customHeight="1">
      <c r="A857" s="3" t="s">
        <v>2569</v>
      </c>
      <c r="B857" s="5">
        <v>43734.0</v>
      </c>
      <c r="C857" s="6">
        <f t="shared" si="1"/>
        <v>2019</v>
      </c>
      <c r="D857" s="7" t="s">
        <v>1452</v>
      </c>
      <c r="E857" s="7" t="s">
        <v>156</v>
      </c>
      <c r="F857" s="7" t="s">
        <v>50</v>
      </c>
      <c r="G857" s="5" t="s">
        <v>32</v>
      </c>
      <c r="H857" s="7" t="s">
        <v>110</v>
      </c>
      <c r="I857" s="7" t="s">
        <v>53</v>
      </c>
      <c r="J857" s="7" t="s">
        <v>195</v>
      </c>
      <c r="K857" s="7" t="s">
        <v>61</v>
      </c>
      <c r="L857" s="7" t="s">
        <v>37</v>
      </c>
      <c r="M857" s="7" t="s">
        <v>38</v>
      </c>
      <c r="N857" s="5">
        <v>43736.0</v>
      </c>
      <c r="O857" s="8">
        <v>480300.00000000006</v>
      </c>
      <c r="P857" s="8">
        <v>2287200.0</v>
      </c>
      <c r="Q857" s="8">
        <f t="shared" si="2"/>
        <v>1806900</v>
      </c>
      <c r="R857" s="8">
        <v>12.0</v>
      </c>
      <c r="S857" s="8">
        <f t="shared" si="3"/>
        <v>27446400</v>
      </c>
      <c r="T857" s="9">
        <v>0.1</v>
      </c>
      <c r="U857" s="8">
        <f t="shared" si="4"/>
        <v>2744640</v>
      </c>
      <c r="V857" s="8">
        <f t="shared" si="5"/>
        <v>24701760</v>
      </c>
      <c r="W857" s="10">
        <f t="shared" si="6"/>
        <v>5763600</v>
      </c>
      <c r="X857" s="10">
        <f t="shared" si="7"/>
        <v>18938160</v>
      </c>
      <c r="Y857" s="10"/>
      <c r="Z857" s="10"/>
      <c r="AA857" s="10"/>
      <c r="AB857" s="4" t="s">
        <v>2570</v>
      </c>
      <c r="AC857" s="4" t="s">
        <v>2569</v>
      </c>
      <c r="AD857" s="4">
        <v>43734.0</v>
      </c>
      <c r="AE857" s="4">
        <v>2019.0</v>
      </c>
      <c r="AF857" s="4" t="s">
        <v>1452</v>
      </c>
      <c r="AG857" s="4" t="s">
        <v>156</v>
      </c>
      <c r="AH857" s="4" t="s">
        <v>50</v>
      </c>
      <c r="AI857" s="4" t="s">
        <v>32</v>
      </c>
      <c r="AJ857" s="4" t="s">
        <v>110</v>
      </c>
      <c r="AK857" s="4" t="s">
        <v>53</v>
      </c>
      <c r="AL857" s="4" t="s">
        <v>195</v>
      </c>
      <c r="AM857" s="4" t="s">
        <v>61</v>
      </c>
      <c r="AN857" s="4" t="s">
        <v>37</v>
      </c>
      <c r="AO857" s="4" t="s">
        <v>38</v>
      </c>
      <c r="AP857" s="4">
        <v>43736.0</v>
      </c>
      <c r="AQ857" s="4">
        <v>480300.0</v>
      </c>
      <c r="AR857" s="4">
        <v>2287200.0</v>
      </c>
      <c r="AS857" s="4">
        <v>1806900.0</v>
      </c>
      <c r="AT857" s="4">
        <v>12.0</v>
      </c>
      <c r="AU857" s="4">
        <v>2.74464E7</v>
      </c>
      <c r="AV857" s="4">
        <v>0.1</v>
      </c>
      <c r="AW857" s="4">
        <v>2744640.0</v>
      </c>
      <c r="AX857" s="4">
        <v>2.470176E7</v>
      </c>
      <c r="AY857" s="4">
        <v>5763600.0</v>
      </c>
      <c r="AZ857" s="4">
        <v>1.893816E7</v>
      </c>
    </row>
    <row r="858" ht="15.75" customHeight="1">
      <c r="A858" s="3" t="s">
        <v>2571</v>
      </c>
      <c r="B858" s="5">
        <v>43735.0</v>
      </c>
      <c r="C858" s="6">
        <f t="shared" si="1"/>
        <v>2019</v>
      </c>
      <c r="D858" s="7" t="s">
        <v>2212</v>
      </c>
      <c r="E858" s="7" t="s">
        <v>169</v>
      </c>
      <c r="F858" s="7" t="s">
        <v>31</v>
      </c>
      <c r="G858" s="5" t="s">
        <v>32</v>
      </c>
      <c r="H858" s="7" t="s">
        <v>43</v>
      </c>
      <c r="I858" s="7" t="s">
        <v>74</v>
      </c>
      <c r="J858" s="7" t="s">
        <v>243</v>
      </c>
      <c r="K858" s="7" t="s">
        <v>61</v>
      </c>
      <c r="L858" s="7" t="s">
        <v>244</v>
      </c>
      <c r="M858" s="7" t="s">
        <v>38</v>
      </c>
      <c r="N858" s="5">
        <v>43735.0</v>
      </c>
      <c r="O858" s="8">
        <v>132300.0</v>
      </c>
      <c r="P858" s="8">
        <v>314850.0</v>
      </c>
      <c r="Q858" s="8">
        <f t="shared" si="2"/>
        <v>182550</v>
      </c>
      <c r="R858" s="8">
        <v>2.0</v>
      </c>
      <c r="S858" s="8">
        <f t="shared" si="3"/>
        <v>629700</v>
      </c>
      <c r="T858" s="9">
        <v>0.01</v>
      </c>
      <c r="U858" s="8">
        <f t="shared" si="4"/>
        <v>6297</v>
      </c>
      <c r="V858" s="8">
        <f t="shared" si="5"/>
        <v>623403</v>
      </c>
      <c r="W858" s="10">
        <f t="shared" si="6"/>
        <v>264600</v>
      </c>
      <c r="X858" s="10">
        <f t="shared" si="7"/>
        <v>358803</v>
      </c>
      <c r="Y858" s="10"/>
      <c r="Z858" s="10"/>
      <c r="AA858" s="10"/>
      <c r="AB858" s="4" t="s">
        <v>2572</v>
      </c>
      <c r="AC858" s="4" t="s">
        <v>2571</v>
      </c>
      <c r="AD858" s="4">
        <v>43735.0</v>
      </c>
      <c r="AE858" s="4">
        <v>2019.0</v>
      </c>
      <c r="AF858" s="4" t="s">
        <v>2212</v>
      </c>
      <c r="AG858" s="4" t="s">
        <v>169</v>
      </c>
      <c r="AH858" s="4" t="s">
        <v>31</v>
      </c>
      <c r="AI858" s="4" t="s">
        <v>32</v>
      </c>
      <c r="AJ858" s="4" t="s">
        <v>43</v>
      </c>
      <c r="AK858" s="4" t="s">
        <v>74</v>
      </c>
      <c r="AL858" s="4" t="s">
        <v>243</v>
      </c>
      <c r="AM858" s="4" t="s">
        <v>61</v>
      </c>
      <c r="AN858" s="4" t="s">
        <v>244</v>
      </c>
      <c r="AO858" s="4" t="s">
        <v>38</v>
      </c>
      <c r="AP858" s="4">
        <v>43735.0</v>
      </c>
      <c r="AQ858" s="4">
        <v>132300.0</v>
      </c>
      <c r="AR858" s="4">
        <v>314850.0</v>
      </c>
      <c r="AS858" s="4">
        <v>182550.0</v>
      </c>
      <c r="AT858" s="4">
        <v>2.0</v>
      </c>
      <c r="AU858" s="4">
        <v>629700.0</v>
      </c>
      <c r="AV858" s="4">
        <v>0.01</v>
      </c>
      <c r="AW858" s="4">
        <v>6297.0</v>
      </c>
      <c r="AX858" s="4">
        <v>623403.0</v>
      </c>
      <c r="AY858" s="4">
        <v>264600.0</v>
      </c>
      <c r="AZ858" s="4">
        <v>358803.0</v>
      </c>
    </row>
    <row r="859" ht="15.75" customHeight="1">
      <c r="A859" s="3" t="s">
        <v>2573</v>
      </c>
      <c r="B859" s="5">
        <v>43735.0</v>
      </c>
      <c r="C859" s="6">
        <f t="shared" si="1"/>
        <v>2019</v>
      </c>
      <c r="D859" s="7" t="s">
        <v>1038</v>
      </c>
      <c r="E859" s="7" t="s">
        <v>962</v>
      </c>
      <c r="F859" s="7" t="s">
        <v>50</v>
      </c>
      <c r="G859" s="5" t="s">
        <v>32</v>
      </c>
      <c r="H859" s="7" t="s">
        <v>80</v>
      </c>
      <c r="I859" s="7" t="s">
        <v>34</v>
      </c>
      <c r="J859" s="7" t="s">
        <v>195</v>
      </c>
      <c r="K859" s="7" t="s">
        <v>61</v>
      </c>
      <c r="L859" s="7" t="s">
        <v>37</v>
      </c>
      <c r="M859" s="7" t="s">
        <v>38</v>
      </c>
      <c r="N859" s="5">
        <v>43737.0</v>
      </c>
      <c r="O859" s="8">
        <v>480300.00000000006</v>
      </c>
      <c r="P859" s="8">
        <v>2287200.0</v>
      </c>
      <c r="Q859" s="8">
        <f t="shared" si="2"/>
        <v>1806900</v>
      </c>
      <c r="R859" s="8">
        <v>37.0</v>
      </c>
      <c r="S859" s="8">
        <f t="shared" si="3"/>
        <v>84626400</v>
      </c>
      <c r="T859" s="9">
        <v>0.1</v>
      </c>
      <c r="U859" s="8">
        <f t="shared" si="4"/>
        <v>8462640</v>
      </c>
      <c r="V859" s="8">
        <f t="shared" si="5"/>
        <v>76163760</v>
      </c>
      <c r="W859" s="10">
        <f t="shared" si="6"/>
        <v>17771100</v>
      </c>
      <c r="X859" s="10">
        <f t="shared" si="7"/>
        <v>58392660</v>
      </c>
      <c r="Y859" s="10"/>
      <c r="Z859" s="10"/>
      <c r="AA859" s="10"/>
      <c r="AB859" s="4" t="s">
        <v>2574</v>
      </c>
      <c r="AC859" s="4" t="s">
        <v>2573</v>
      </c>
      <c r="AD859" s="4">
        <v>43735.0</v>
      </c>
      <c r="AE859" s="4">
        <v>2019.0</v>
      </c>
      <c r="AF859" s="4" t="s">
        <v>1038</v>
      </c>
      <c r="AG859" s="4" t="s">
        <v>962</v>
      </c>
      <c r="AH859" s="4" t="s">
        <v>50</v>
      </c>
      <c r="AI859" s="4" t="s">
        <v>32</v>
      </c>
      <c r="AJ859" s="4" t="s">
        <v>80</v>
      </c>
      <c r="AK859" s="4" t="s">
        <v>34</v>
      </c>
      <c r="AL859" s="4" t="s">
        <v>195</v>
      </c>
      <c r="AM859" s="4" t="s">
        <v>61</v>
      </c>
      <c r="AN859" s="4" t="s">
        <v>37</v>
      </c>
      <c r="AO859" s="4" t="s">
        <v>38</v>
      </c>
      <c r="AP859" s="4">
        <v>43737.0</v>
      </c>
      <c r="AQ859" s="4">
        <v>480300.0</v>
      </c>
      <c r="AR859" s="4">
        <v>2287200.0</v>
      </c>
      <c r="AS859" s="4">
        <v>1806900.0</v>
      </c>
      <c r="AT859" s="4">
        <v>37.0</v>
      </c>
      <c r="AU859" s="4">
        <v>8.46264E7</v>
      </c>
      <c r="AV859" s="4">
        <v>0.1</v>
      </c>
      <c r="AW859" s="4">
        <v>8462640.0</v>
      </c>
      <c r="AX859" s="4">
        <v>7.616376E7</v>
      </c>
      <c r="AY859" s="4">
        <v>1.77711E7</v>
      </c>
      <c r="AZ859" s="4">
        <v>5.839266E7</v>
      </c>
    </row>
    <row r="860" ht="15.75" customHeight="1">
      <c r="A860" s="3" t="s">
        <v>2575</v>
      </c>
      <c r="B860" s="5">
        <v>43735.0</v>
      </c>
      <c r="C860" s="6">
        <f t="shared" si="1"/>
        <v>2019</v>
      </c>
      <c r="D860" s="7" t="s">
        <v>1038</v>
      </c>
      <c r="E860" s="7" t="s">
        <v>962</v>
      </c>
      <c r="F860" s="7" t="s">
        <v>50</v>
      </c>
      <c r="G860" s="5" t="s">
        <v>32</v>
      </c>
      <c r="H860" s="7" t="s">
        <v>80</v>
      </c>
      <c r="I860" s="7" t="s">
        <v>34</v>
      </c>
      <c r="J860" s="7" t="s">
        <v>339</v>
      </c>
      <c r="K860" s="7" t="s">
        <v>61</v>
      </c>
      <c r="L860" s="7" t="s">
        <v>127</v>
      </c>
      <c r="M860" s="7" t="s">
        <v>38</v>
      </c>
      <c r="N860" s="5">
        <v>43737.0</v>
      </c>
      <c r="O860" s="8">
        <v>302700.0</v>
      </c>
      <c r="P860" s="8">
        <v>531150.0</v>
      </c>
      <c r="Q860" s="8">
        <f t="shared" si="2"/>
        <v>228450</v>
      </c>
      <c r="R860" s="8">
        <v>30.0</v>
      </c>
      <c r="S860" s="8">
        <f t="shared" si="3"/>
        <v>15934500</v>
      </c>
      <c r="T860" s="9">
        <v>0.08</v>
      </c>
      <c r="U860" s="8">
        <f t="shared" si="4"/>
        <v>1274760</v>
      </c>
      <c r="V860" s="8">
        <f t="shared" si="5"/>
        <v>14659740</v>
      </c>
      <c r="W860" s="10">
        <f t="shared" si="6"/>
        <v>9081000</v>
      </c>
      <c r="X860" s="10">
        <f t="shared" si="7"/>
        <v>5578740</v>
      </c>
      <c r="Y860" s="10"/>
      <c r="Z860" s="10"/>
      <c r="AA860" s="10"/>
      <c r="AB860" s="4" t="s">
        <v>2576</v>
      </c>
      <c r="AC860" s="4" t="s">
        <v>2575</v>
      </c>
      <c r="AD860" s="4">
        <v>43735.0</v>
      </c>
      <c r="AE860" s="4">
        <v>2019.0</v>
      </c>
      <c r="AF860" s="4" t="s">
        <v>1038</v>
      </c>
      <c r="AG860" s="4" t="s">
        <v>962</v>
      </c>
      <c r="AH860" s="4" t="s">
        <v>50</v>
      </c>
      <c r="AI860" s="4" t="s">
        <v>32</v>
      </c>
      <c r="AJ860" s="4" t="s">
        <v>80</v>
      </c>
      <c r="AK860" s="4" t="s">
        <v>34</v>
      </c>
      <c r="AL860" s="4" t="s">
        <v>339</v>
      </c>
      <c r="AM860" s="4" t="s">
        <v>61</v>
      </c>
      <c r="AN860" s="4" t="s">
        <v>127</v>
      </c>
      <c r="AO860" s="4" t="s">
        <v>38</v>
      </c>
      <c r="AP860" s="4">
        <v>43737.0</v>
      </c>
      <c r="AQ860" s="4">
        <v>302700.0</v>
      </c>
      <c r="AR860" s="4">
        <v>531150.0</v>
      </c>
      <c r="AS860" s="4">
        <v>228450.0</v>
      </c>
      <c r="AT860" s="4">
        <v>30.0</v>
      </c>
      <c r="AU860" s="4">
        <v>1.59345E7</v>
      </c>
      <c r="AV860" s="4">
        <v>0.08</v>
      </c>
      <c r="AW860" s="4">
        <v>1274760.0</v>
      </c>
      <c r="AX860" s="4">
        <v>1.465974E7</v>
      </c>
      <c r="AY860" s="4">
        <v>9081000.0</v>
      </c>
      <c r="AZ860" s="4">
        <v>5578740.0</v>
      </c>
    </row>
    <row r="861" ht="15.75" customHeight="1">
      <c r="A861" s="3" t="s">
        <v>2577</v>
      </c>
      <c r="B861" s="5">
        <v>43735.0</v>
      </c>
      <c r="C861" s="6">
        <f t="shared" si="1"/>
        <v>2019</v>
      </c>
      <c r="D861" s="7" t="s">
        <v>2578</v>
      </c>
      <c r="E861" s="7" t="s">
        <v>258</v>
      </c>
      <c r="F861" s="7" t="s">
        <v>50</v>
      </c>
      <c r="G861" s="5" t="s">
        <v>51</v>
      </c>
      <c r="H861" s="7" t="s">
        <v>98</v>
      </c>
      <c r="I861" s="7" t="s">
        <v>53</v>
      </c>
      <c r="J861" s="7" t="s">
        <v>81</v>
      </c>
      <c r="K861" s="7" t="s">
        <v>36</v>
      </c>
      <c r="L861" s="7" t="s">
        <v>37</v>
      </c>
      <c r="M861" s="7" t="s">
        <v>55</v>
      </c>
      <c r="N861" s="5">
        <v>43736.0</v>
      </c>
      <c r="O861" s="8">
        <v>1490850.0</v>
      </c>
      <c r="P861" s="8">
        <v>2443950.0</v>
      </c>
      <c r="Q861" s="8">
        <f t="shared" si="2"/>
        <v>953100</v>
      </c>
      <c r="R861" s="8">
        <v>36.0</v>
      </c>
      <c r="S861" s="8">
        <f t="shared" si="3"/>
        <v>87982200</v>
      </c>
      <c r="T861" s="9">
        <v>0.05</v>
      </c>
      <c r="U861" s="8">
        <f t="shared" si="4"/>
        <v>4399110</v>
      </c>
      <c r="V861" s="8">
        <f t="shared" si="5"/>
        <v>83583090</v>
      </c>
      <c r="W861" s="10">
        <f t="shared" si="6"/>
        <v>53670600</v>
      </c>
      <c r="X861" s="10">
        <f t="shared" si="7"/>
        <v>29912490</v>
      </c>
      <c r="Y861" s="10"/>
      <c r="Z861" s="10"/>
      <c r="AA861" s="10"/>
      <c r="AB861" s="4" t="s">
        <v>2579</v>
      </c>
      <c r="AC861" s="4" t="s">
        <v>2577</v>
      </c>
      <c r="AD861" s="4">
        <v>43735.0</v>
      </c>
      <c r="AE861" s="4">
        <v>2019.0</v>
      </c>
      <c r="AF861" s="4" t="s">
        <v>2578</v>
      </c>
      <c r="AG861" s="4" t="s">
        <v>258</v>
      </c>
      <c r="AH861" s="4" t="s">
        <v>50</v>
      </c>
      <c r="AI861" s="4" t="s">
        <v>51</v>
      </c>
      <c r="AJ861" s="4" t="s">
        <v>98</v>
      </c>
      <c r="AK861" s="4" t="s">
        <v>53</v>
      </c>
      <c r="AL861" s="4" t="s">
        <v>81</v>
      </c>
      <c r="AM861" s="4" t="s">
        <v>36</v>
      </c>
      <c r="AN861" s="4" t="s">
        <v>37</v>
      </c>
      <c r="AO861" s="4" t="s">
        <v>55</v>
      </c>
      <c r="AP861" s="4">
        <v>43736.0</v>
      </c>
      <c r="AQ861" s="4">
        <v>1490850.0</v>
      </c>
      <c r="AR861" s="4">
        <v>2443950.0</v>
      </c>
      <c r="AS861" s="4">
        <v>953100.0</v>
      </c>
      <c r="AT861" s="4">
        <v>36.0</v>
      </c>
      <c r="AU861" s="4">
        <v>8.79822E7</v>
      </c>
      <c r="AV861" s="4">
        <v>0.05</v>
      </c>
      <c r="AW861" s="4">
        <v>4399110.0</v>
      </c>
      <c r="AX861" s="4">
        <v>8.358309E7</v>
      </c>
      <c r="AY861" s="4">
        <v>5.36706E7</v>
      </c>
      <c r="AZ861" s="4">
        <v>2.991249E7</v>
      </c>
    </row>
    <row r="862" ht="15.75" customHeight="1">
      <c r="A862" s="3" t="s">
        <v>2580</v>
      </c>
      <c r="B862" s="5">
        <v>43735.0</v>
      </c>
      <c r="C862" s="6">
        <f t="shared" si="1"/>
        <v>2019</v>
      </c>
      <c r="D862" s="7" t="s">
        <v>2212</v>
      </c>
      <c r="E862" s="7" t="s">
        <v>169</v>
      </c>
      <c r="F862" s="7" t="s">
        <v>31</v>
      </c>
      <c r="G862" s="5" t="s">
        <v>32</v>
      </c>
      <c r="H862" s="7" t="s">
        <v>43</v>
      </c>
      <c r="I862" s="7" t="s">
        <v>74</v>
      </c>
      <c r="J862" s="7" t="s">
        <v>120</v>
      </c>
      <c r="K862" s="7" t="s">
        <v>36</v>
      </c>
      <c r="L862" s="7" t="s">
        <v>45</v>
      </c>
      <c r="M862" s="7" t="s">
        <v>38</v>
      </c>
      <c r="N862" s="5">
        <v>43740.0</v>
      </c>
      <c r="O862" s="8">
        <v>10650.0</v>
      </c>
      <c r="P862" s="8">
        <v>17100.0</v>
      </c>
      <c r="Q862" s="8">
        <f t="shared" si="2"/>
        <v>6450</v>
      </c>
      <c r="R862" s="8">
        <v>31.0</v>
      </c>
      <c r="S862" s="8">
        <f t="shared" si="3"/>
        <v>530100</v>
      </c>
      <c r="T862" s="9">
        <v>0.07</v>
      </c>
      <c r="U862" s="8">
        <f t="shared" si="4"/>
        <v>37107</v>
      </c>
      <c r="V862" s="8">
        <f t="shared" si="5"/>
        <v>492993</v>
      </c>
      <c r="W862" s="10">
        <f t="shared" si="6"/>
        <v>330150</v>
      </c>
      <c r="X862" s="10">
        <f t="shared" si="7"/>
        <v>162843</v>
      </c>
      <c r="Y862" s="10"/>
      <c r="Z862" s="10"/>
      <c r="AA862" s="10"/>
      <c r="AB862" s="4" t="s">
        <v>2581</v>
      </c>
      <c r="AC862" s="4" t="s">
        <v>2580</v>
      </c>
      <c r="AD862" s="4">
        <v>43735.0</v>
      </c>
      <c r="AE862" s="4">
        <v>2019.0</v>
      </c>
      <c r="AF862" s="4" t="s">
        <v>2212</v>
      </c>
      <c r="AG862" s="4" t="s">
        <v>169</v>
      </c>
      <c r="AH862" s="4" t="s">
        <v>31</v>
      </c>
      <c r="AI862" s="4" t="s">
        <v>32</v>
      </c>
      <c r="AJ862" s="4" t="s">
        <v>43</v>
      </c>
      <c r="AK862" s="4" t="s">
        <v>74</v>
      </c>
      <c r="AL862" s="4" t="s">
        <v>120</v>
      </c>
      <c r="AM862" s="4" t="s">
        <v>36</v>
      </c>
      <c r="AN862" s="4" t="s">
        <v>45</v>
      </c>
      <c r="AO862" s="4" t="s">
        <v>38</v>
      </c>
      <c r="AP862" s="4">
        <v>43740.0</v>
      </c>
      <c r="AQ862" s="4">
        <v>10650.0</v>
      </c>
      <c r="AR862" s="4">
        <v>17100.0</v>
      </c>
      <c r="AS862" s="4">
        <v>6450.0</v>
      </c>
      <c r="AT862" s="4">
        <v>31.0</v>
      </c>
      <c r="AU862" s="4">
        <v>530100.0</v>
      </c>
      <c r="AV862" s="4">
        <v>0.07</v>
      </c>
      <c r="AW862" s="4">
        <v>37107.0</v>
      </c>
      <c r="AX862" s="4">
        <v>492993.0</v>
      </c>
      <c r="AY862" s="4">
        <v>330150.0</v>
      </c>
      <c r="AZ862" s="4">
        <v>162843.0</v>
      </c>
    </row>
    <row r="863" ht="15.75" customHeight="1">
      <c r="A863" s="3" t="s">
        <v>2582</v>
      </c>
      <c r="B863" s="5">
        <v>43736.0</v>
      </c>
      <c r="C863" s="6">
        <f t="shared" si="1"/>
        <v>2019</v>
      </c>
      <c r="D863" s="7" t="s">
        <v>1449</v>
      </c>
      <c r="E863" s="7" t="s">
        <v>1186</v>
      </c>
      <c r="F863" s="7" t="s">
        <v>50</v>
      </c>
      <c r="G863" s="5" t="s">
        <v>32</v>
      </c>
      <c r="H863" s="7" t="s">
        <v>80</v>
      </c>
      <c r="I863" s="7" t="s">
        <v>74</v>
      </c>
      <c r="J863" s="7" t="s">
        <v>254</v>
      </c>
      <c r="K863" s="7" t="s">
        <v>36</v>
      </c>
      <c r="L863" s="7" t="s">
        <v>37</v>
      </c>
      <c r="M863" s="7" t="s">
        <v>38</v>
      </c>
      <c r="N863" s="5">
        <v>43738.0</v>
      </c>
      <c r="O863" s="8">
        <v>208200.0</v>
      </c>
      <c r="P863" s="8">
        <v>335700.0</v>
      </c>
      <c r="Q863" s="8">
        <f t="shared" si="2"/>
        <v>127500</v>
      </c>
      <c r="R863" s="8">
        <v>11.0</v>
      </c>
      <c r="S863" s="8">
        <f t="shared" si="3"/>
        <v>3692700</v>
      </c>
      <c r="T863" s="9">
        <v>0.01</v>
      </c>
      <c r="U863" s="8">
        <f t="shared" si="4"/>
        <v>36927</v>
      </c>
      <c r="V863" s="8">
        <f t="shared" si="5"/>
        <v>3655773</v>
      </c>
      <c r="W863" s="10">
        <f t="shared" si="6"/>
        <v>2290200</v>
      </c>
      <c r="X863" s="10">
        <f t="shared" si="7"/>
        <v>1365573</v>
      </c>
      <c r="Y863" s="10"/>
      <c r="Z863" s="10"/>
      <c r="AA863" s="10"/>
      <c r="AB863" s="4" t="s">
        <v>2583</v>
      </c>
      <c r="AC863" s="4" t="s">
        <v>2582</v>
      </c>
      <c r="AD863" s="4">
        <v>43736.0</v>
      </c>
      <c r="AE863" s="4">
        <v>2019.0</v>
      </c>
      <c r="AF863" s="4" t="s">
        <v>1449</v>
      </c>
      <c r="AG863" s="4" t="s">
        <v>1186</v>
      </c>
      <c r="AH863" s="4" t="s">
        <v>50</v>
      </c>
      <c r="AI863" s="4" t="s">
        <v>32</v>
      </c>
      <c r="AJ863" s="4" t="s">
        <v>80</v>
      </c>
      <c r="AK863" s="4" t="s">
        <v>74</v>
      </c>
      <c r="AL863" s="4" t="s">
        <v>254</v>
      </c>
      <c r="AM863" s="4" t="s">
        <v>36</v>
      </c>
      <c r="AN863" s="4" t="s">
        <v>37</v>
      </c>
      <c r="AO863" s="4" t="s">
        <v>38</v>
      </c>
      <c r="AP863" s="4">
        <v>43738.0</v>
      </c>
      <c r="AQ863" s="4">
        <v>208200.0</v>
      </c>
      <c r="AR863" s="4">
        <v>335700.0</v>
      </c>
      <c r="AS863" s="4">
        <v>127500.0</v>
      </c>
      <c r="AT863" s="4">
        <v>11.0</v>
      </c>
      <c r="AU863" s="4">
        <v>3692700.0</v>
      </c>
      <c r="AV863" s="4">
        <v>0.01</v>
      </c>
      <c r="AW863" s="4">
        <v>36927.0</v>
      </c>
      <c r="AX863" s="4">
        <v>3655773.0</v>
      </c>
      <c r="AY863" s="4">
        <v>2290200.0</v>
      </c>
      <c r="AZ863" s="4">
        <v>1365573.0</v>
      </c>
    </row>
    <row r="864" ht="15.75" customHeight="1">
      <c r="A864" s="3" t="s">
        <v>2584</v>
      </c>
      <c r="B864" s="5">
        <v>43736.0</v>
      </c>
      <c r="C864" s="6">
        <f t="shared" si="1"/>
        <v>2019</v>
      </c>
      <c r="D864" s="7" t="s">
        <v>348</v>
      </c>
      <c r="E864" s="7" t="s">
        <v>228</v>
      </c>
      <c r="F864" s="7" t="s">
        <v>50</v>
      </c>
      <c r="G864" s="5" t="s">
        <v>51</v>
      </c>
      <c r="H864" s="7" t="s">
        <v>140</v>
      </c>
      <c r="I864" s="7" t="s">
        <v>92</v>
      </c>
      <c r="J864" s="7" t="s">
        <v>70</v>
      </c>
      <c r="K864" s="7" t="s">
        <v>36</v>
      </c>
      <c r="L864" s="7" t="s">
        <v>45</v>
      </c>
      <c r="M864" s="7" t="s">
        <v>55</v>
      </c>
      <c r="N864" s="5">
        <v>43738.0</v>
      </c>
      <c r="O864" s="8">
        <v>13500.0</v>
      </c>
      <c r="P864" s="8">
        <v>31500.0</v>
      </c>
      <c r="Q864" s="8">
        <f t="shared" si="2"/>
        <v>18000</v>
      </c>
      <c r="R864" s="8">
        <v>31.0</v>
      </c>
      <c r="S864" s="8">
        <f t="shared" si="3"/>
        <v>976500</v>
      </c>
      <c r="T864" s="9">
        <v>0.08</v>
      </c>
      <c r="U864" s="8">
        <f t="shared" si="4"/>
        <v>78120</v>
      </c>
      <c r="V864" s="8">
        <f t="shared" si="5"/>
        <v>898380</v>
      </c>
      <c r="W864" s="10">
        <f t="shared" si="6"/>
        <v>418500</v>
      </c>
      <c r="X864" s="10">
        <f t="shared" si="7"/>
        <v>479880</v>
      </c>
      <c r="Y864" s="10"/>
      <c r="Z864" s="10"/>
      <c r="AA864" s="10"/>
      <c r="AB864" s="4" t="s">
        <v>2585</v>
      </c>
      <c r="AC864" s="4" t="s">
        <v>2584</v>
      </c>
      <c r="AD864" s="4">
        <v>43736.0</v>
      </c>
      <c r="AE864" s="4">
        <v>2019.0</v>
      </c>
      <c r="AF864" s="4" t="s">
        <v>348</v>
      </c>
      <c r="AG864" s="4" t="s">
        <v>228</v>
      </c>
      <c r="AH864" s="4" t="s">
        <v>50</v>
      </c>
      <c r="AI864" s="4" t="s">
        <v>51</v>
      </c>
      <c r="AJ864" s="4" t="s">
        <v>140</v>
      </c>
      <c r="AK864" s="4" t="s">
        <v>92</v>
      </c>
      <c r="AL864" s="4" t="s">
        <v>70</v>
      </c>
      <c r="AM864" s="4" t="s">
        <v>36</v>
      </c>
      <c r="AN864" s="4" t="s">
        <v>45</v>
      </c>
      <c r="AO864" s="4" t="s">
        <v>55</v>
      </c>
      <c r="AP864" s="4">
        <v>43738.0</v>
      </c>
      <c r="AQ864" s="4">
        <v>13500.0</v>
      </c>
      <c r="AR864" s="4">
        <v>31500.0</v>
      </c>
      <c r="AS864" s="4">
        <v>18000.0</v>
      </c>
      <c r="AT864" s="4">
        <v>31.0</v>
      </c>
      <c r="AU864" s="4">
        <v>976500.0</v>
      </c>
      <c r="AV864" s="4">
        <v>0.08</v>
      </c>
      <c r="AW864" s="4">
        <v>78120.0</v>
      </c>
      <c r="AX864" s="4">
        <v>898380.0</v>
      </c>
      <c r="AY864" s="4">
        <v>418500.0</v>
      </c>
      <c r="AZ864" s="4">
        <v>479880.0</v>
      </c>
    </row>
    <row r="865" ht="15.75" customHeight="1">
      <c r="A865" s="3" t="s">
        <v>2586</v>
      </c>
      <c r="B865" s="5">
        <v>43739.0</v>
      </c>
      <c r="C865" s="6">
        <f t="shared" si="1"/>
        <v>2019</v>
      </c>
      <c r="D865" s="7" t="s">
        <v>2505</v>
      </c>
      <c r="E865" s="7" t="s">
        <v>312</v>
      </c>
      <c r="F865" s="7" t="s">
        <v>50</v>
      </c>
      <c r="G865" s="5" t="s">
        <v>32</v>
      </c>
      <c r="H865" s="7" t="s">
        <v>151</v>
      </c>
      <c r="I865" s="7" t="s">
        <v>74</v>
      </c>
      <c r="J865" s="7" t="s">
        <v>152</v>
      </c>
      <c r="K865" s="7" t="s">
        <v>61</v>
      </c>
      <c r="L865" s="7" t="s">
        <v>37</v>
      </c>
      <c r="M865" s="7" t="s">
        <v>38</v>
      </c>
      <c r="N865" s="5">
        <v>43741.0</v>
      </c>
      <c r="O865" s="8">
        <v>1223850.0</v>
      </c>
      <c r="P865" s="8">
        <v>2399850.0</v>
      </c>
      <c r="Q865" s="8">
        <f t="shared" si="2"/>
        <v>1176000</v>
      </c>
      <c r="R865" s="8">
        <v>31.0</v>
      </c>
      <c r="S865" s="8">
        <f t="shared" si="3"/>
        <v>74395350</v>
      </c>
      <c r="T865" s="9">
        <v>0.01</v>
      </c>
      <c r="U865" s="8">
        <f t="shared" si="4"/>
        <v>743953.5</v>
      </c>
      <c r="V865" s="8">
        <f t="shared" si="5"/>
        <v>73651396.5</v>
      </c>
      <c r="W865" s="10">
        <f t="shared" si="6"/>
        <v>37939350</v>
      </c>
      <c r="X865" s="10">
        <f t="shared" si="7"/>
        <v>35712046.5</v>
      </c>
      <c r="Y865" s="10"/>
      <c r="Z865" s="10"/>
      <c r="AA865" s="10"/>
      <c r="AB865" s="4" t="s">
        <v>2587</v>
      </c>
      <c r="AC865" s="4" t="s">
        <v>2586</v>
      </c>
      <c r="AD865" s="4">
        <v>43739.0</v>
      </c>
      <c r="AE865" s="4">
        <v>2019.0</v>
      </c>
      <c r="AF865" s="4" t="s">
        <v>2505</v>
      </c>
      <c r="AG865" s="4" t="s">
        <v>312</v>
      </c>
      <c r="AH865" s="4" t="s">
        <v>50</v>
      </c>
      <c r="AI865" s="4" t="s">
        <v>32</v>
      </c>
      <c r="AJ865" s="4" t="s">
        <v>151</v>
      </c>
      <c r="AK865" s="4" t="s">
        <v>74</v>
      </c>
      <c r="AL865" s="4" t="s">
        <v>152</v>
      </c>
      <c r="AM865" s="4" t="s">
        <v>61</v>
      </c>
      <c r="AN865" s="4" t="s">
        <v>37</v>
      </c>
      <c r="AO865" s="4" t="s">
        <v>38</v>
      </c>
      <c r="AP865" s="4">
        <v>43741.0</v>
      </c>
      <c r="AQ865" s="4">
        <v>1223850.0</v>
      </c>
      <c r="AR865" s="4">
        <v>2399850.0</v>
      </c>
      <c r="AS865" s="4">
        <v>1176000.0</v>
      </c>
      <c r="AT865" s="4">
        <v>31.0</v>
      </c>
      <c r="AU865" s="4">
        <v>7.439535E7</v>
      </c>
      <c r="AV865" s="4">
        <v>0.01</v>
      </c>
      <c r="AW865" s="4">
        <v>743953.5</v>
      </c>
      <c r="AX865" s="4">
        <v>7.36513965E7</v>
      </c>
      <c r="AY865" s="4">
        <v>3.793935E7</v>
      </c>
      <c r="AZ865" s="4">
        <v>3.57120465E7</v>
      </c>
    </row>
    <row r="866" ht="15.75" customHeight="1">
      <c r="A866" s="3" t="s">
        <v>2588</v>
      </c>
      <c r="B866" s="5">
        <v>43740.0</v>
      </c>
      <c r="C866" s="6">
        <f t="shared" si="1"/>
        <v>2019</v>
      </c>
      <c r="D866" s="7" t="s">
        <v>2589</v>
      </c>
      <c r="E866" s="7" t="s">
        <v>1719</v>
      </c>
      <c r="F866" s="7" t="s">
        <v>50</v>
      </c>
      <c r="G866" s="5" t="s">
        <v>68</v>
      </c>
      <c r="H866" s="7" t="s">
        <v>110</v>
      </c>
      <c r="I866" s="7" t="s">
        <v>104</v>
      </c>
      <c r="J866" s="7" t="s">
        <v>654</v>
      </c>
      <c r="K866" s="7" t="s">
        <v>36</v>
      </c>
      <c r="L866" s="7" t="s">
        <v>127</v>
      </c>
      <c r="M866" s="7" t="s">
        <v>38</v>
      </c>
      <c r="N866" s="5">
        <v>43741.0</v>
      </c>
      <c r="O866" s="8">
        <v>37500.0</v>
      </c>
      <c r="P866" s="8">
        <v>85200.0</v>
      </c>
      <c r="Q866" s="8">
        <f t="shared" si="2"/>
        <v>47700</v>
      </c>
      <c r="R866" s="8">
        <v>27.0</v>
      </c>
      <c r="S866" s="8">
        <f t="shared" si="3"/>
        <v>2300400</v>
      </c>
      <c r="T866" s="9">
        <v>0.03</v>
      </c>
      <c r="U866" s="8">
        <f t="shared" si="4"/>
        <v>69012</v>
      </c>
      <c r="V866" s="8">
        <f t="shared" si="5"/>
        <v>2231388</v>
      </c>
      <c r="W866" s="10">
        <f t="shared" si="6"/>
        <v>1012500</v>
      </c>
      <c r="X866" s="10">
        <f t="shared" si="7"/>
        <v>1218888</v>
      </c>
      <c r="Y866" s="10"/>
      <c r="Z866" s="10"/>
      <c r="AA866" s="10"/>
      <c r="AB866" s="4" t="s">
        <v>2590</v>
      </c>
      <c r="AC866" s="4" t="s">
        <v>2588</v>
      </c>
      <c r="AD866" s="4">
        <v>43740.0</v>
      </c>
      <c r="AE866" s="4">
        <v>2019.0</v>
      </c>
      <c r="AF866" s="4" t="s">
        <v>2589</v>
      </c>
      <c r="AG866" s="4" t="s">
        <v>1719</v>
      </c>
      <c r="AH866" s="4" t="s">
        <v>50</v>
      </c>
      <c r="AI866" s="4" t="s">
        <v>68</v>
      </c>
      <c r="AJ866" s="4" t="s">
        <v>110</v>
      </c>
      <c r="AK866" s="4" t="s">
        <v>104</v>
      </c>
      <c r="AL866" s="4" t="s">
        <v>654</v>
      </c>
      <c r="AM866" s="4" t="s">
        <v>36</v>
      </c>
      <c r="AN866" s="4" t="s">
        <v>127</v>
      </c>
      <c r="AO866" s="4" t="s">
        <v>38</v>
      </c>
      <c r="AP866" s="4">
        <v>43741.0</v>
      </c>
      <c r="AQ866" s="4">
        <v>37500.0</v>
      </c>
      <c r="AR866" s="4">
        <v>85200.0</v>
      </c>
      <c r="AS866" s="4">
        <v>47700.0</v>
      </c>
      <c r="AT866" s="4">
        <v>27.0</v>
      </c>
      <c r="AU866" s="4">
        <v>2300400.0</v>
      </c>
      <c r="AV866" s="4">
        <v>0.03</v>
      </c>
      <c r="AW866" s="4">
        <v>69012.0</v>
      </c>
      <c r="AX866" s="4">
        <v>2231388.0</v>
      </c>
      <c r="AY866" s="4">
        <v>1012500.0</v>
      </c>
      <c r="AZ866" s="4">
        <v>1218888.0</v>
      </c>
    </row>
    <row r="867" ht="15.75" customHeight="1">
      <c r="A867" s="3" t="s">
        <v>2591</v>
      </c>
      <c r="B867" s="5">
        <v>43741.0</v>
      </c>
      <c r="C867" s="6">
        <f t="shared" si="1"/>
        <v>2019</v>
      </c>
      <c r="D867" s="7" t="s">
        <v>2592</v>
      </c>
      <c r="E867" s="7" t="s">
        <v>1601</v>
      </c>
      <c r="F867" s="7" t="s">
        <v>50</v>
      </c>
      <c r="G867" s="5" t="s">
        <v>68</v>
      </c>
      <c r="H867" s="7" t="s">
        <v>344</v>
      </c>
      <c r="I867" s="7" t="s">
        <v>34</v>
      </c>
      <c r="J867" s="7" t="s">
        <v>259</v>
      </c>
      <c r="K867" s="7" t="s">
        <v>36</v>
      </c>
      <c r="L867" s="7" t="s">
        <v>45</v>
      </c>
      <c r="M867" s="7" t="s">
        <v>38</v>
      </c>
      <c r="N867" s="5">
        <v>43742.0</v>
      </c>
      <c r="O867" s="8">
        <v>323400.0</v>
      </c>
      <c r="P867" s="8">
        <v>548250.0</v>
      </c>
      <c r="Q867" s="8">
        <f t="shared" si="2"/>
        <v>224850</v>
      </c>
      <c r="R867" s="8">
        <v>34.0</v>
      </c>
      <c r="S867" s="8">
        <f t="shared" si="3"/>
        <v>18640500</v>
      </c>
      <c r="T867" s="9">
        <v>0.1</v>
      </c>
      <c r="U867" s="8">
        <f t="shared" si="4"/>
        <v>1864050</v>
      </c>
      <c r="V867" s="8">
        <f t="shared" si="5"/>
        <v>16776450</v>
      </c>
      <c r="W867" s="10">
        <f t="shared" si="6"/>
        <v>10995600</v>
      </c>
      <c r="X867" s="10">
        <f t="shared" si="7"/>
        <v>5780850</v>
      </c>
      <c r="Y867" s="10"/>
      <c r="Z867" s="10"/>
      <c r="AA867" s="10"/>
      <c r="AB867" s="4" t="s">
        <v>2593</v>
      </c>
      <c r="AC867" s="4" t="s">
        <v>2591</v>
      </c>
      <c r="AD867" s="4">
        <v>43741.0</v>
      </c>
      <c r="AE867" s="4">
        <v>2019.0</v>
      </c>
      <c r="AF867" s="4" t="s">
        <v>2592</v>
      </c>
      <c r="AG867" s="4" t="s">
        <v>1601</v>
      </c>
      <c r="AH867" s="4" t="s">
        <v>50</v>
      </c>
      <c r="AI867" s="4" t="s">
        <v>68</v>
      </c>
      <c r="AJ867" s="4" t="s">
        <v>344</v>
      </c>
      <c r="AK867" s="4" t="s">
        <v>34</v>
      </c>
      <c r="AL867" s="4" t="s">
        <v>259</v>
      </c>
      <c r="AM867" s="4" t="s">
        <v>36</v>
      </c>
      <c r="AN867" s="4" t="s">
        <v>45</v>
      </c>
      <c r="AO867" s="4" t="s">
        <v>38</v>
      </c>
      <c r="AP867" s="4">
        <v>43742.0</v>
      </c>
      <c r="AQ867" s="4">
        <v>323400.0</v>
      </c>
      <c r="AR867" s="4">
        <v>548250.0</v>
      </c>
      <c r="AS867" s="4">
        <v>224850.0</v>
      </c>
      <c r="AT867" s="4">
        <v>34.0</v>
      </c>
      <c r="AU867" s="4">
        <v>1.86405E7</v>
      </c>
      <c r="AV867" s="4">
        <v>0.1</v>
      </c>
      <c r="AW867" s="4">
        <v>1864050.0</v>
      </c>
      <c r="AX867" s="4">
        <v>1.677645E7</v>
      </c>
      <c r="AY867" s="4">
        <v>1.09956E7</v>
      </c>
      <c r="AZ867" s="4">
        <v>5780850.0</v>
      </c>
    </row>
    <row r="868" ht="15.75" customHeight="1">
      <c r="A868" s="3" t="s">
        <v>2594</v>
      </c>
      <c r="B868" s="5">
        <v>43741.0</v>
      </c>
      <c r="C868" s="6">
        <f t="shared" si="1"/>
        <v>2019</v>
      </c>
      <c r="D868" s="7" t="s">
        <v>1108</v>
      </c>
      <c r="E868" s="7" t="s">
        <v>667</v>
      </c>
      <c r="F868" s="7" t="s">
        <v>50</v>
      </c>
      <c r="G868" s="5" t="s">
        <v>68</v>
      </c>
      <c r="H868" s="7" t="s">
        <v>140</v>
      </c>
      <c r="I868" s="7" t="s">
        <v>104</v>
      </c>
      <c r="J868" s="7" t="s">
        <v>533</v>
      </c>
      <c r="K868" s="7" t="s">
        <v>36</v>
      </c>
      <c r="L868" s="7" t="s">
        <v>45</v>
      </c>
      <c r="M868" s="7" t="s">
        <v>55</v>
      </c>
      <c r="N868" s="5">
        <v>43741.0</v>
      </c>
      <c r="O868" s="8">
        <v>22950.0</v>
      </c>
      <c r="P868" s="8">
        <v>41700.0</v>
      </c>
      <c r="Q868" s="8">
        <f t="shared" si="2"/>
        <v>18750</v>
      </c>
      <c r="R868" s="8">
        <v>47.0</v>
      </c>
      <c r="S868" s="8">
        <f t="shared" si="3"/>
        <v>1959900</v>
      </c>
      <c r="T868" s="9">
        <v>0.1</v>
      </c>
      <c r="U868" s="8">
        <f t="shared" si="4"/>
        <v>195990</v>
      </c>
      <c r="V868" s="8">
        <f t="shared" si="5"/>
        <v>1763910</v>
      </c>
      <c r="W868" s="10">
        <f t="shared" si="6"/>
        <v>1078650</v>
      </c>
      <c r="X868" s="10">
        <f t="shared" si="7"/>
        <v>685260</v>
      </c>
      <c r="Y868" s="10"/>
      <c r="Z868" s="10"/>
      <c r="AA868" s="10"/>
      <c r="AB868" s="4" t="s">
        <v>2595</v>
      </c>
      <c r="AC868" s="4" t="s">
        <v>2594</v>
      </c>
      <c r="AD868" s="4">
        <v>43741.0</v>
      </c>
      <c r="AE868" s="4">
        <v>2019.0</v>
      </c>
      <c r="AF868" s="4" t="s">
        <v>1108</v>
      </c>
      <c r="AG868" s="4" t="s">
        <v>667</v>
      </c>
      <c r="AH868" s="4" t="s">
        <v>50</v>
      </c>
      <c r="AI868" s="4" t="s">
        <v>68</v>
      </c>
      <c r="AJ868" s="4" t="s">
        <v>140</v>
      </c>
      <c r="AK868" s="4" t="s">
        <v>104</v>
      </c>
      <c r="AL868" s="4" t="s">
        <v>533</v>
      </c>
      <c r="AM868" s="4" t="s">
        <v>36</v>
      </c>
      <c r="AN868" s="4" t="s">
        <v>45</v>
      </c>
      <c r="AO868" s="4" t="s">
        <v>55</v>
      </c>
      <c r="AP868" s="4">
        <v>43741.0</v>
      </c>
      <c r="AQ868" s="4">
        <v>22950.0</v>
      </c>
      <c r="AR868" s="4">
        <v>41700.0</v>
      </c>
      <c r="AS868" s="4">
        <v>18750.0</v>
      </c>
      <c r="AT868" s="4">
        <v>47.0</v>
      </c>
      <c r="AU868" s="4">
        <v>1959900.0</v>
      </c>
      <c r="AV868" s="4">
        <v>0.1</v>
      </c>
      <c r="AW868" s="4">
        <v>195990.0</v>
      </c>
      <c r="AX868" s="4">
        <v>1763910.0</v>
      </c>
      <c r="AY868" s="4">
        <v>1078650.0</v>
      </c>
      <c r="AZ868" s="4">
        <v>685260.0</v>
      </c>
    </row>
    <row r="869" ht="15.75" customHeight="1">
      <c r="A869" s="3" t="s">
        <v>2596</v>
      </c>
      <c r="B869" s="5">
        <v>43741.0</v>
      </c>
      <c r="C869" s="6">
        <f t="shared" si="1"/>
        <v>2019</v>
      </c>
      <c r="D869" s="7" t="s">
        <v>1108</v>
      </c>
      <c r="E869" s="7" t="s">
        <v>667</v>
      </c>
      <c r="F869" s="7" t="s">
        <v>50</v>
      </c>
      <c r="G869" s="5" t="s">
        <v>68</v>
      </c>
      <c r="H869" s="7" t="s">
        <v>140</v>
      </c>
      <c r="I869" s="7" t="s">
        <v>104</v>
      </c>
      <c r="J869" s="7" t="s">
        <v>394</v>
      </c>
      <c r="K869" s="7" t="s">
        <v>36</v>
      </c>
      <c r="L869" s="7" t="s">
        <v>45</v>
      </c>
      <c r="M869" s="7" t="s">
        <v>38</v>
      </c>
      <c r="N869" s="5">
        <v>43744.0</v>
      </c>
      <c r="O869" s="8">
        <v>24000.0</v>
      </c>
      <c r="P869" s="8">
        <v>39300.0</v>
      </c>
      <c r="Q869" s="8">
        <f t="shared" si="2"/>
        <v>15300</v>
      </c>
      <c r="R869" s="8">
        <v>30.0</v>
      </c>
      <c r="S869" s="8">
        <f t="shared" si="3"/>
        <v>1179000</v>
      </c>
      <c r="T869" s="9">
        <v>0.05</v>
      </c>
      <c r="U869" s="8">
        <f t="shared" si="4"/>
        <v>58950</v>
      </c>
      <c r="V869" s="8">
        <f t="shared" si="5"/>
        <v>1120050</v>
      </c>
      <c r="W869" s="10">
        <f t="shared" si="6"/>
        <v>720000</v>
      </c>
      <c r="X869" s="10">
        <f t="shared" si="7"/>
        <v>400050</v>
      </c>
      <c r="Y869" s="10"/>
      <c r="Z869" s="10"/>
      <c r="AA869" s="10"/>
      <c r="AB869" s="4" t="s">
        <v>2597</v>
      </c>
      <c r="AC869" s="4" t="s">
        <v>2596</v>
      </c>
      <c r="AD869" s="4">
        <v>43741.0</v>
      </c>
      <c r="AE869" s="4">
        <v>2019.0</v>
      </c>
      <c r="AF869" s="4" t="s">
        <v>1108</v>
      </c>
      <c r="AG869" s="4" t="s">
        <v>667</v>
      </c>
      <c r="AH869" s="4" t="s">
        <v>50</v>
      </c>
      <c r="AI869" s="4" t="s">
        <v>68</v>
      </c>
      <c r="AJ869" s="4" t="s">
        <v>140</v>
      </c>
      <c r="AK869" s="4" t="s">
        <v>104</v>
      </c>
      <c r="AL869" s="4" t="s">
        <v>394</v>
      </c>
      <c r="AM869" s="4" t="s">
        <v>36</v>
      </c>
      <c r="AN869" s="4" t="s">
        <v>45</v>
      </c>
      <c r="AO869" s="4" t="s">
        <v>38</v>
      </c>
      <c r="AP869" s="4">
        <v>43744.0</v>
      </c>
      <c r="AQ869" s="4">
        <v>24000.0</v>
      </c>
      <c r="AR869" s="4">
        <v>39300.0</v>
      </c>
      <c r="AS869" s="4">
        <v>15300.0</v>
      </c>
      <c r="AT869" s="4">
        <v>30.0</v>
      </c>
      <c r="AU869" s="4">
        <v>1179000.0</v>
      </c>
      <c r="AV869" s="4">
        <v>0.05</v>
      </c>
      <c r="AW869" s="4">
        <v>58950.0</v>
      </c>
      <c r="AX869" s="4">
        <v>1120050.0</v>
      </c>
      <c r="AY869" s="4">
        <v>720000.0</v>
      </c>
      <c r="AZ869" s="4">
        <v>400050.0</v>
      </c>
    </row>
    <row r="870" ht="15.75" customHeight="1">
      <c r="A870" s="2" t="s">
        <v>2598</v>
      </c>
      <c r="B870" s="5">
        <v>43746.0</v>
      </c>
      <c r="C870" s="6">
        <f t="shared" si="1"/>
        <v>2019</v>
      </c>
      <c r="D870" s="7" t="s">
        <v>1410</v>
      </c>
      <c r="E870" s="7" t="s">
        <v>716</v>
      </c>
      <c r="F870" s="7" t="s">
        <v>289</v>
      </c>
      <c r="G870" s="5" t="s">
        <v>51</v>
      </c>
      <c r="H870" s="7" t="s">
        <v>140</v>
      </c>
      <c r="I870" s="7" t="s">
        <v>92</v>
      </c>
      <c r="J870" s="7" t="s">
        <v>380</v>
      </c>
      <c r="K870" s="7" t="s">
        <v>36</v>
      </c>
      <c r="L870" s="7" t="s">
        <v>45</v>
      </c>
      <c r="M870" s="7" t="s">
        <v>38</v>
      </c>
      <c r="N870" s="5">
        <v>43748.0</v>
      </c>
      <c r="O870" s="8">
        <v>43500.0</v>
      </c>
      <c r="P870" s="8">
        <v>71400.0</v>
      </c>
      <c r="Q870" s="8">
        <f t="shared" si="2"/>
        <v>27900</v>
      </c>
      <c r="R870" s="8">
        <v>5.0</v>
      </c>
      <c r="S870" s="8">
        <f t="shared" si="3"/>
        <v>357000</v>
      </c>
      <c r="T870" s="9">
        <v>0.09</v>
      </c>
      <c r="U870" s="8">
        <f t="shared" si="4"/>
        <v>32130</v>
      </c>
      <c r="V870" s="8">
        <f t="shared" si="5"/>
        <v>324870</v>
      </c>
      <c r="W870" s="10">
        <f t="shared" si="6"/>
        <v>217500</v>
      </c>
      <c r="X870" s="10">
        <f t="shared" si="7"/>
        <v>107370</v>
      </c>
      <c r="Y870" s="10"/>
      <c r="Z870" s="10"/>
      <c r="AA870" s="10"/>
      <c r="AB870" s="4" t="s">
        <v>2599</v>
      </c>
      <c r="AC870" s="4" t="s">
        <v>2598</v>
      </c>
      <c r="AD870" s="4">
        <v>43746.0</v>
      </c>
      <c r="AE870" s="4">
        <v>2019.0</v>
      </c>
      <c r="AF870" s="4" t="s">
        <v>1410</v>
      </c>
      <c r="AG870" s="4" t="s">
        <v>716</v>
      </c>
      <c r="AH870" s="4" t="s">
        <v>289</v>
      </c>
      <c r="AI870" s="4" t="s">
        <v>51</v>
      </c>
      <c r="AJ870" s="4" t="s">
        <v>140</v>
      </c>
      <c r="AK870" s="4" t="s">
        <v>92</v>
      </c>
      <c r="AL870" s="4" t="s">
        <v>380</v>
      </c>
      <c r="AM870" s="4" t="s">
        <v>36</v>
      </c>
      <c r="AN870" s="4" t="s">
        <v>45</v>
      </c>
      <c r="AO870" s="4" t="s">
        <v>38</v>
      </c>
      <c r="AP870" s="4">
        <v>43748.0</v>
      </c>
      <c r="AQ870" s="4">
        <v>43500.0</v>
      </c>
      <c r="AR870" s="4">
        <v>71400.0</v>
      </c>
      <c r="AS870" s="4">
        <v>27900.0</v>
      </c>
      <c r="AT870" s="4">
        <v>5.0</v>
      </c>
      <c r="AU870" s="4">
        <v>357000.0</v>
      </c>
      <c r="AV870" s="4">
        <v>0.09</v>
      </c>
      <c r="AW870" s="4">
        <v>32130.0</v>
      </c>
      <c r="AX870" s="4">
        <v>324870.0</v>
      </c>
      <c r="AY870" s="4">
        <v>217500.0</v>
      </c>
      <c r="AZ870" s="4">
        <v>107370.0</v>
      </c>
    </row>
    <row r="871" ht="15.75" customHeight="1">
      <c r="A871" s="2" t="s">
        <v>2600</v>
      </c>
      <c r="B871" s="5">
        <v>43749.0</v>
      </c>
      <c r="C871" s="6">
        <f t="shared" si="1"/>
        <v>2019</v>
      </c>
      <c r="D871" s="7" t="s">
        <v>858</v>
      </c>
      <c r="E871" s="7" t="s">
        <v>559</v>
      </c>
      <c r="F871" s="7" t="s">
        <v>50</v>
      </c>
      <c r="G871" s="5" t="s">
        <v>51</v>
      </c>
      <c r="H871" s="7" t="s">
        <v>98</v>
      </c>
      <c r="I871" s="7" t="s">
        <v>104</v>
      </c>
      <c r="J871" s="7" t="s">
        <v>526</v>
      </c>
      <c r="K871" s="7" t="s">
        <v>36</v>
      </c>
      <c r="L871" s="7" t="s">
        <v>37</v>
      </c>
      <c r="M871" s="7" t="s">
        <v>38</v>
      </c>
      <c r="N871" s="5">
        <v>43751.0</v>
      </c>
      <c r="O871" s="8">
        <v>27600.0</v>
      </c>
      <c r="P871" s="8">
        <v>43200.0</v>
      </c>
      <c r="Q871" s="8">
        <f t="shared" si="2"/>
        <v>15600</v>
      </c>
      <c r="R871" s="8">
        <v>25.0</v>
      </c>
      <c r="S871" s="8">
        <f t="shared" si="3"/>
        <v>1080000</v>
      </c>
      <c r="T871" s="9">
        <v>0.04</v>
      </c>
      <c r="U871" s="8">
        <f t="shared" si="4"/>
        <v>43200</v>
      </c>
      <c r="V871" s="8">
        <f t="shared" si="5"/>
        <v>1036800</v>
      </c>
      <c r="W871" s="10">
        <f t="shared" si="6"/>
        <v>690000</v>
      </c>
      <c r="X871" s="10">
        <f t="shared" si="7"/>
        <v>346800</v>
      </c>
      <c r="Y871" s="10"/>
      <c r="Z871" s="10"/>
      <c r="AA871" s="10"/>
      <c r="AB871" s="4" t="s">
        <v>2601</v>
      </c>
      <c r="AC871" s="4" t="s">
        <v>2600</v>
      </c>
      <c r="AD871" s="4">
        <v>43749.0</v>
      </c>
      <c r="AE871" s="4">
        <v>2019.0</v>
      </c>
      <c r="AF871" s="4" t="s">
        <v>858</v>
      </c>
      <c r="AG871" s="4" t="s">
        <v>559</v>
      </c>
      <c r="AH871" s="4" t="s">
        <v>50</v>
      </c>
      <c r="AI871" s="4" t="s">
        <v>51</v>
      </c>
      <c r="AJ871" s="4" t="s">
        <v>98</v>
      </c>
      <c r="AK871" s="4" t="s">
        <v>104</v>
      </c>
      <c r="AL871" s="4" t="s">
        <v>526</v>
      </c>
      <c r="AM871" s="4" t="s">
        <v>36</v>
      </c>
      <c r="AN871" s="4" t="s">
        <v>37</v>
      </c>
      <c r="AO871" s="4" t="s">
        <v>38</v>
      </c>
      <c r="AP871" s="4">
        <v>43751.0</v>
      </c>
      <c r="AQ871" s="4">
        <v>27600.0</v>
      </c>
      <c r="AR871" s="4">
        <v>43200.0</v>
      </c>
      <c r="AS871" s="4">
        <v>15600.0</v>
      </c>
      <c r="AT871" s="4">
        <v>25.0</v>
      </c>
      <c r="AU871" s="4">
        <v>1080000.0</v>
      </c>
      <c r="AV871" s="4">
        <v>0.04</v>
      </c>
      <c r="AW871" s="4">
        <v>43200.0</v>
      </c>
      <c r="AX871" s="4">
        <v>1036800.0</v>
      </c>
      <c r="AY871" s="4">
        <v>690000.0</v>
      </c>
      <c r="AZ871" s="4">
        <v>346800.0</v>
      </c>
    </row>
    <row r="872" ht="15.75" customHeight="1">
      <c r="A872" s="3" t="s">
        <v>2602</v>
      </c>
      <c r="B872" s="5">
        <v>43750.0</v>
      </c>
      <c r="C872" s="6">
        <f t="shared" si="1"/>
        <v>2019</v>
      </c>
      <c r="D872" s="7" t="s">
        <v>2343</v>
      </c>
      <c r="E872" s="7" t="s">
        <v>2344</v>
      </c>
      <c r="F872" s="7" t="s">
        <v>289</v>
      </c>
      <c r="G872" s="5" t="s">
        <v>91</v>
      </c>
      <c r="H872" s="7" t="s">
        <v>80</v>
      </c>
      <c r="I872" s="7" t="s">
        <v>74</v>
      </c>
      <c r="J872" s="7" t="s">
        <v>627</v>
      </c>
      <c r="K872" s="7" t="s">
        <v>36</v>
      </c>
      <c r="L872" s="7" t="s">
        <v>45</v>
      </c>
      <c r="M872" s="7" t="s">
        <v>55</v>
      </c>
      <c r="N872" s="5">
        <v>43755.0</v>
      </c>
      <c r="O872" s="8">
        <v>49800.0</v>
      </c>
      <c r="P872" s="8">
        <v>77700.0</v>
      </c>
      <c r="Q872" s="8">
        <f t="shared" si="2"/>
        <v>27900</v>
      </c>
      <c r="R872" s="8">
        <v>1.0</v>
      </c>
      <c r="S872" s="8">
        <f t="shared" si="3"/>
        <v>77700</v>
      </c>
      <c r="T872" s="9">
        <v>0.02</v>
      </c>
      <c r="U872" s="8">
        <f t="shared" si="4"/>
        <v>1554</v>
      </c>
      <c r="V872" s="8">
        <f t="shared" si="5"/>
        <v>76146</v>
      </c>
      <c r="W872" s="10">
        <f t="shared" si="6"/>
        <v>49800</v>
      </c>
      <c r="X872" s="10">
        <f t="shared" si="7"/>
        <v>26346</v>
      </c>
      <c r="Y872" s="10"/>
      <c r="Z872" s="10"/>
      <c r="AA872" s="10"/>
      <c r="AB872" s="4" t="s">
        <v>2603</v>
      </c>
      <c r="AC872" s="4" t="s">
        <v>2602</v>
      </c>
      <c r="AD872" s="4">
        <v>43750.0</v>
      </c>
      <c r="AE872" s="4">
        <v>2019.0</v>
      </c>
      <c r="AF872" s="4" t="s">
        <v>2343</v>
      </c>
      <c r="AG872" s="4" t="s">
        <v>2344</v>
      </c>
      <c r="AH872" s="4" t="s">
        <v>289</v>
      </c>
      <c r="AI872" s="4" t="s">
        <v>91</v>
      </c>
      <c r="AJ872" s="4" t="s">
        <v>80</v>
      </c>
      <c r="AK872" s="4" t="s">
        <v>74</v>
      </c>
      <c r="AL872" s="4" t="s">
        <v>627</v>
      </c>
      <c r="AM872" s="4" t="s">
        <v>36</v>
      </c>
      <c r="AN872" s="4" t="s">
        <v>45</v>
      </c>
      <c r="AO872" s="4" t="s">
        <v>55</v>
      </c>
      <c r="AP872" s="4">
        <v>43755.0</v>
      </c>
      <c r="AQ872" s="4">
        <v>49800.0</v>
      </c>
      <c r="AR872" s="4">
        <v>77700.0</v>
      </c>
      <c r="AS872" s="4">
        <v>27900.0</v>
      </c>
      <c r="AT872" s="4">
        <v>1.0</v>
      </c>
      <c r="AU872" s="4">
        <v>77700.0</v>
      </c>
      <c r="AV872" s="4">
        <v>0.02</v>
      </c>
      <c r="AW872" s="4">
        <v>1554.0</v>
      </c>
      <c r="AX872" s="4">
        <v>76146.0</v>
      </c>
      <c r="AY872" s="4">
        <v>49800.0</v>
      </c>
      <c r="AZ872" s="4">
        <v>26346.0</v>
      </c>
    </row>
    <row r="873" ht="15.75" customHeight="1">
      <c r="A873" s="2" t="s">
        <v>2604</v>
      </c>
      <c r="B873" s="5">
        <v>43750.0</v>
      </c>
      <c r="C873" s="6">
        <f t="shared" si="1"/>
        <v>2019</v>
      </c>
      <c r="D873" s="7" t="s">
        <v>2343</v>
      </c>
      <c r="E873" s="7" t="s">
        <v>2344</v>
      </c>
      <c r="F873" s="7" t="s">
        <v>289</v>
      </c>
      <c r="G873" s="5" t="s">
        <v>91</v>
      </c>
      <c r="H873" s="7" t="s">
        <v>80</v>
      </c>
      <c r="I873" s="7" t="s">
        <v>74</v>
      </c>
      <c r="J873" s="7" t="s">
        <v>493</v>
      </c>
      <c r="K873" s="7" t="s">
        <v>36</v>
      </c>
      <c r="L873" s="7" t="s">
        <v>45</v>
      </c>
      <c r="M873" s="7" t="s">
        <v>38</v>
      </c>
      <c r="N873" s="5">
        <v>43754.0</v>
      </c>
      <c r="O873" s="8">
        <v>44700.0</v>
      </c>
      <c r="P873" s="8">
        <v>87600.0</v>
      </c>
      <c r="Q873" s="8">
        <f t="shared" si="2"/>
        <v>42900</v>
      </c>
      <c r="R873" s="8">
        <v>4.0</v>
      </c>
      <c r="S873" s="8">
        <f t="shared" si="3"/>
        <v>350400</v>
      </c>
      <c r="T873" s="9">
        <v>0.09</v>
      </c>
      <c r="U873" s="8">
        <f t="shared" si="4"/>
        <v>31536</v>
      </c>
      <c r="V873" s="8">
        <f t="shared" si="5"/>
        <v>318864</v>
      </c>
      <c r="W873" s="10">
        <f t="shared" si="6"/>
        <v>178800</v>
      </c>
      <c r="X873" s="10">
        <f t="shared" si="7"/>
        <v>140064</v>
      </c>
      <c r="Y873" s="10"/>
      <c r="Z873" s="10"/>
      <c r="AA873" s="10"/>
      <c r="AB873" s="4" t="s">
        <v>2605</v>
      </c>
      <c r="AC873" s="4" t="s">
        <v>2604</v>
      </c>
      <c r="AD873" s="4">
        <v>43750.0</v>
      </c>
      <c r="AE873" s="4">
        <v>2019.0</v>
      </c>
      <c r="AF873" s="4" t="s">
        <v>2343</v>
      </c>
      <c r="AG873" s="4" t="s">
        <v>2344</v>
      </c>
      <c r="AH873" s="4" t="s">
        <v>289</v>
      </c>
      <c r="AI873" s="4" t="s">
        <v>91</v>
      </c>
      <c r="AJ873" s="4" t="s">
        <v>80</v>
      </c>
      <c r="AK873" s="4" t="s">
        <v>74</v>
      </c>
      <c r="AL873" s="4" t="s">
        <v>493</v>
      </c>
      <c r="AM873" s="4" t="s">
        <v>36</v>
      </c>
      <c r="AN873" s="4" t="s">
        <v>45</v>
      </c>
      <c r="AO873" s="4" t="s">
        <v>38</v>
      </c>
      <c r="AP873" s="4">
        <v>43754.0</v>
      </c>
      <c r="AQ873" s="4">
        <v>44700.0</v>
      </c>
      <c r="AR873" s="4">
        <v>87600.0</v>
      </c>
      <c r="AS873" s="4">
        <v>42900.0</v>
      </c>
      <c r="AT873" s="4">
        <v>4.0</v>
      </c>
      <c r="AU873" s="4">
        <v>350400.0</v>
      </c>
      <c r="AV873" s="4">
        <v>0.09</v>
      </c>
      <c r="AW873" s="4">
        <v>31536.0</v>
      </c>
      <c r="AX873" s="4">
        <v>318864.0</v>
      </c>
      <c r="AY873" s="4">
        <v>178800.0</v>
      </c>
      <c r="AZ873" s="4">
        <v>140064.0</v>
      </c>
    </row>
    <row r="874" ht="15.75" customHeight="1">
      <c r="A874" s="3" t="s">
        <v>2606</v>
      </c>
      <c r="B874" s="5">
        <v>43750.0</v>
      </c>
      <c r="C874" s="6">
        <f t="shared" si="1"/>
        <v>2019</v>
      </c>
      <c r="D874" s="7" t="s">
        <v>1894</v>
      </c>
      <c r="E874" s="7" t="s">
        <v>150</v>
      </c>
      <c r="F874" s="7" t="s">
        <v>50</v>
      </c>
      <c r="G874" s="5" t="s">
        <v>51</v>
      </c>
      <c r="H874" s="7" t="s">
        <v>151</v>
      </c>
      <c r="I874" s="7" t="s">
        <v>53</v>
      </c>
      <c r="J874" s="7" t="s">
        <v>878</v>
      </c>
      <c r="K874" s="7" t="s">
        <v>36</v>
      </c>
      <c r="L874" s="7" t="s">
        <v>37</v>
      </c>
      <c r="M874" s="7" t="s">
        <v>38</v>
      </c>
      <c r="N874" s="5">
        <v>43752.0</v>
      </c>
      <c r="O874" s="8">
        <v>47100.0</v>
      </c>
      <c r="P874" s="8">
        <v>73650.0</v>
      </c>
      <c r="Q874" s="8">
        <f t="shared" si="2"/>
        <v>26550</v>
      </c>
      <c r="R874" s="8">
        <v>28.0</v>
      </c>
      <c r="S874" s="8">
        <f t="shared" si="3"/>
        <v>2062200</v>
      </c>
      <c r="T874" s="9">
        <v>0.08</v>
      </c>
      <c r="U874" s="8">
        <f t="shared" si="4"/>
        <v>164976</v>
      </c>
      <c r="V874" s="8">
        <f t="shared" si="5"/>
        <v>1897224</v>
      </c>
      <c r="W874" s="10">
        <f t="shared" si="6"/>
        <v>1318800</v>
      </c>
      <c r="X874" s="10">
        <f t="shared" si="7"/>
        <v>578424</v>
      </c>
      <c r="Y874" s="10"/>
      <c r="Z874" s="10"/>
      <c r="AA874" s="10"/>
      <c r="AB874" s="4" t="s">
        <v>2607</v>
      </c>
      <c r="AC874" s="4" t="s">
        <v>2606</v>
      </c>
      <c r="AD874" s="4">
        <v>43750.0</v>
      </c>
      <c r="AE874" s="4">
        <v>2019.0</v>
      </c>
      <c r="AF874" s="4" t="s">
        <v>1894</v>
      </c>
      <c r="AG874" s="4" t="s">
        <v>150</v>
      </c>
      <c r="AH874" s="4" t="s">
        <v>50</v>
      </c>
      <c r="AI874" s="4" t="s">
        <v>51</v>
      </c>
      <c r="AJ874" s="4" t="s">
        <v>151</v>
      </c>
      <c r="AK874" s="4" t="s">
        <v>53</v>
      </c>
      <c r="AL874" s="4" t="s">
        <v>878</v>
      </c>
      <c r="AM874" s="4" t="s">
        <v>36</v>
      </c>
      <c r="AN874" s="4" t="s">
        <v>37</v>
      </c>
      <c r="AO874" s="4" t="s">
        <v>38</v>
      </c>
      <c r="AP874" s="4">
        <v>43752.0</v>
      </c>
      <c r="AQ874" s="4">
        <v>47100.0</v>
      </c>
      <c r="AR874" s="4">
        <v>73650.0</v>
      </c>
      <c r="AS874" s="4">
        <v>26550.0</v>
      </c>
      <c r="AT874" s="4">
        <v>28.0</v>
      </c>
      <c r="AU874" s="4">
        <v>2062200.0</v>
      </c>
      <c r="AV874" s="4">
        <v>0.08</v>
      </c>
      <c r="AW874" s="4">
        <v>164976.0</v>
      </c>
      <c r="AX874" s="4">
        <v>1897224.0</v>
      </c>
      <c r="AY874" s="4">
        <v>1318800.0</v>
      </c>
      <c r="AZ874" s="4">
        <v>578424.0</v>
      </c>
    </row>
    <row r="875" ht="15.75" customHeight="1">
      <c r="A875" s="3" t="s">
        <v>2608</v>
      </c>
      <c r="B875" s="5">
        <v>43751.0</v>
      </c>
      <c r="C875" s="6">
        <f t="shared" si="1"/>
        <v>2019</v>
      </c>
      <c r="D875" s="7" t="s">
        <v>2609</v>
      </c>
      <c r="E875" s="7" t="s">
        <v>164</v>
      </c>
      <c r="F875" s="7" t="s">
        <v>50</v>
      </c>
      <c r="G875" s="5" t="s">
        <v>68</v>
      </c>
      <c r="H875" s="7" t="s">
        <v>69</v>
      </c>
      <c r="I875" s="7" t="s">
        <v>74</v>
      </c>
      <c r="J875" s="7" t="s">
        <v>254</v>
      </c>
      <c r="K875" s="7" t="s">
        <v>36</v>
      </c>
      <c r="L875" s="7" t="s">
        <v>37</v>
      </c>
      <c r="M875" s="7" t="s">
        <v>38</v>
      </c>
      <c r="N875" s="5">
        <v>43753.0</v>
      </c>
      <c r="O875" s="8">
        <v>208200.0</v>
      </c>
      <c r="P875" s="8">
        <v>335700.0</v>
      </c>
      <c r="Q875" s="8">
        <f t="shared" si="2"/>
        <v>127500</v>
      </c>
      <c r="R875" s="8">
        <v>9.0</v>
      </c>
      <c r="S875" s="8">
        <f t="shared" si="3"/>
        <v>3021300</v>
      </c>
      <c r="T875" s="9">
        <v>0.03</v>
      </c>
      <c r="U875" s="8">
        <f t="shared" si="4"/>
        <v>90639</v>
      </c>
      <c r="V875" s="8">
        <f t="shared" si="5"/>
        <v>2930661</v>
      </c>
      <c r="W875" s="10">
        <f t="shared" si="6"/>
        <v>1873800</v>
      </c>
      <c r="X875" s="10">
        <f t="shared" si="7"/>
        <v>1056861</v>
      </c>
      <c r="Y875" s="10"/>
      <c r="Z875" s="10"/>
      <c r="AA875" s="10"/>
      <c r="AB875" s="4" t="s">
        <v>2610</v>
      </c>
      <c r="AC875" s="4" t="s">
        <v>2608</v>
      </c>
      <c r="AD875" s="4">
        <v>43751.0</v>
      </c>
      <c r="AE875" s="4">
        <v>2019.0</v>
      </c>
      <c r="AF875" s="4" t="s">
        <v>2609</v>
      </c>
      <c r="AG875" s="4" t="s">
        <v>164</v>
      </c>
      <c r="AH875" s="4" t="s">
        <v>50</v>
      </c>
      <c r="AI875" s="4" t="s">
        <v>68</v>
      </c>
      <c r="AJ875" s="4" t="s">
        <v>69</v>
      </c>
      <c r="AK875" s="4" t="s">
        <v>74</v>
      </c>
      <c r="AL875" s="4" t="s">
        <v>254</v>
      </c>
      <c r="AM875" s="4" t="s">
        <v>36</v>
      </c>
      <c r="AN875" s="4" t="s">
        <v>37</v>
      </c>
      <c r="AO875" s="4" t="s">
        <v>38</v>
      </c>
      <c r="AP875" s="4">
        <v>43753.0</v>
      </c>
      <c r="AQ875" s="4">
        <v>208200.0</v>
      </c>
      <c r="AR875" s="4">
        <v>335700.0</v>
      </c>
      <c r="AS875" s="4">
        <v>127500.0</v>
      </c>
      <c r="AT875" s="4">
        <v>9.0</v>
      </c>
      <c r="AU875" s="4">
        <v>3021300.0</v>
      </c>
      <c r="AV875" s="4">
        <v>0.03</v>
      </c>
      <c r="AW875" s="4">
        <v>90639.0</v>
      </c>
      <c r="AX875" s="4">
        <v>2930661.0</v>
      </c>
      <c r="AY875" s="4">
        <v>1873800.0</v>
      </c>
      <c r="AZ875" s="4">
        <v>1056861.0</v>
      </c>
    </row>
    <row r="876" ht="15.75" customHeight="1">
      <c r="A876" s="3" t="s">
        <v>2611</v>
      </c>
      <c r="B876" s="5">
        <v>43751.0</v>
      </c>
      <c r="C876" s="6">
        <f t="shared" si="1"/>
        <v>2019</v>
      </c>
      <c r="D876" s="7" t="s">
        <v>1201</v>
      </c>
      <c r="E876" s="7" t="s">
        <v>823</v>
      </c>
      <c r="F876" s="7" t="s">
        <v>50</v>
      </c>
      <c r="G876" s="5" t="s">
        <v>51</v>
      </c>
      <c r="H876" s="7" t="s">
        <v>80</v>
      </c>
      <c r="I876" s="7" t="s">
        <v>34</v>
      </c>
      <c r="J876" s="7" t="s">
        <v>467</v>
      </c>
      <c r="K876" s="7" t="s">
        <v>36</v>
      </c>
      <c r="L876" s="7" t="s">
        <v>45</v>
      </c>
      <c r="M876" s="7" t="s">
        <v>38</v>
      </c>
      <c r="N876" s="5">
        <v>43752.0</v>
      </c>
      <c r="O876" s="8">
        <v>3600.0</v>
      </c>
      <c r="P876" s="8">
        <v>18900.0</v>
      </c>
      <c r="Q876" s="8">
        <f t="shared" si="2"/>
        <v>15300</v>
      </c>
      <c r="R876" s="8">
        <v>47.0</v>
      </c>
      <c r="S876" s="8">
        <f t="shared" si="3"/>
        <v>888300</v>
      </c>
      <c r="T876" s="9">
        <v>0.0</v>
      </c>
      <c r="U876" s="8">
        <f t="shared" si="4"/>
        <v>0</v>
      </c>
      <c r="V876" s="8">
        <f t="shared" si="5"/>
        <v>888300</v>
      </c>
      <c r="W876" s="10">
        <f t="shared" si="6"/>
        <v>169200</v>
      </c>
      <c r="X876" s="10">
        <f t="shared" si="7"/>
        <v>719100</v>
      </c>
      <c r="Y876" s="10"/>
      <c r="Z876" s="10"/>
      <c r="AA876" s="10"/>
      <c r="AB876" s="4" t="s">
        <v>2612</v>
      </c>
      <c r="AC876" s="4" t="s">
        <v>2611</v>
      </c>
      <c r="AD876" s="4">
        <v>43751.0</v>
      </c>
      <c r="AE876" s="4">
        <v>2019.0</v>
      </c>
      <c r="AF876" s="4" t="s">
        <v>1201</v>
      </c>
      <c r="AG876" s="4" t="s">
        <v>823</v>
      </c>
      <c r="AH876" s="4" t="s">
        <v>50</v>
      </c>
      <c r="AI876" s="4" t="s">
        <v>51</v>
      </c>
      <c r="AJ876" s="4" t="s">
        <v>80</v>
      </c>
      <c r="AK876" s="4" t="s">
        <v>34</v>
      </c>
      <c r="AL876" s="4" t="s">
        <v>467</v>
      </c>
      <c r="AM876" s="4" t="s">
        <v>36</v>
      </c>
      <c r="AN876" s="4" t="s">
        <v>45</v>
      </c>
      <c r="AO876" s="4" t="s">
        <v>38</v>
      </c>
      <c r="AP876" s="4">
        <v>43752.0</v>
      </c>
      <c r="AQ876" s="4">
        <v>3600.0</v>
      </c>
      <c r="AR876" s="4">
        <v>18900.0</v>
      </c>
      <c r="AS876" s="4">
        <v>15300.0</v>
      </c>
      <c r="AT876" s="4">
        <v>47.0</v>
      </c>
      <c r="AU876" s="4">
        <v>888300.0</v>
      </c>
      <c r="AV876" s="4">
        <v>0.0</v>
      </c>
      <c r="AW876" s="4">
        <v>0.0</v>
      </c>
      <c r="AX876" s="4">
        <v>888300.0</v>
      </c>
      <c r="AY876" s="4">
        <v>169200.0</v>
      </c>
      <c r="AZ876" s="4">
        <v>719100.0</v>
      </c>
    </row>
    <row r="877" ht="15.75" customHeight="1">
      <c r="A877" s="3" t="s">
        <v>2613</v>
      </c>
      <c r="B877" s="5">
        <v>43753.0</v>
      </c>
      <c r="C877" s="6">
        <f t="shared" si="1"/>
        <v>2019</v>
      </c>
      <c r="D877" s="7" t="s">
        <v>1753</v>
      </c>
      <c r="E877" s="7" t="s">
        <v>962</v>
      </c>
      <c r="F877" s="7" t="s">
        <v>50</v>
      </c>
      <c r="G877" s="5" t="s">
        <v>32</v>
      </c>
      <c r="H877" s="7" t="s">
        <v>80</v>
      </c>
      <c r="I877" s="7" t="s">
        <v>34</v>
      </c>
      <c r="J877" s="7" t="s">
        <v>1244</v>
      </c>
      <c r="K877" s="7" t="s">
        <v>36</v>
      </c>
      <c r="L877" s="7" t="s">
        <v>37</v>
      </c>
      <c r="M877" s="7" t="s">
        <v>38</v>
      </c>
      <c r="N877" s="5">
        <v>43755.0</v>
      </c>
      <c r="O877" s="8">
        <v>27600.0</v>
      </c>
      <c r="P877" s="8">
        <v>43200.0</v>
      </c>
      <c r="Q877" s="8">
        <f t="shared" si="2"/>
        <v>15600</v>
      </c>
      <c r="R877" s="8">
        <v>18.0</v>
      </c>
      <c r="S877" s="8">
        <f t="shared" si="3"/>
        <v>777600</v>
      </c>
      <c r="T877" s="9">
        <v>0.03</v>
      </c>
      <c r="U877" s="8">
        <f t="shared" si="4"/>
        <v>23328</v>
      </c>
      <c r="V877" s="8">
        <f t="shared" si="5"/>
        <v>754272</v>
      </c>
      <c r="W877" s="10">
        <f t="shared" si="6"/>
        <v>496800</v>
      </c>
      <c r="X877" s="10">
        <f t="shared" si="7"/>
        <v>257472</v>
      </c>
      <c r="Y877" s="10"/>
      <c r="Z877" s="10"/>
      <c r="AA877" s="10"/>
      <c r="AB877" s="4" t="s">
        <v>2614</v>
      </c>
      <c r="AC877" s="4" t="s">
        <v>2613</v>
      </c>
      <c r="AD877" s="4">
        <v>43753.0</v>
      </c>
      <c r="AE877" s="4">
        <v>2019.0</v>
      </c>
      <c r="AF877" s="4" t="s">
        <v>1753</v>
      </c>
      <c r="AG877" s="4" t="s">
        <v>962</v>
      </c>
      <c r="AH877" s="4" t="s">
        <v>50</v>
      </c>
      <c r="AI877" s="4" t="s">
        <v>32</v>
      </c>
      <c r="AJ877" s="4" t="s">
        <v>80</v>
      </c>
      <c r="AK877" s="4" t="s">
        <v>34</v>
      </c>
      <c r="AL877" s="4" t="s">
        <v>1244</v>
      </c>
      <c r="AM877" s="4" t="s">
        <v>36</v>
      </c>
      <c r="AN877" s="4" t="s">
        <v>37</v>
      </c>
      <c r="AO877" s="4" t="s">
        <v>38</v>
      </c>
      <c r="AP877" s="4">
        <v>43755.0</v>
      </c>
      <c r="AQ877" s="4">
        <v>27600.0</v>
      </c>
      <c r="AR877" s="4">
        <v>43200.0</v>
      </c>
      <c r="AS877" s="4">
        <v>15600.0</v>
      </c>
      <c r="AT877" s="4">
        <v>18.0</v>
      </c>
      <c r="AU877" s="4">
        <v>777600.0</v>
      </c>
      <c r="AV877" s="4">
        <v>0.03</v>
      </c>
      <c r="AW877" s="4">
        <v>23328.0</v>
      </c>
      <c r="AX877" s="4">
        <v>754272.0</v>
      </c>
      <c r="AY877" s="4">
        <v>496800.0</v>
      </c>
      <c r="AZ877" s="4">
        <v>257472.0</v>
      </c>
    </row>
    <row r="878" ht="15.75" customHeight="1">
      <c r="A878" s="3" t="s">
        <v>2615</v>
      </c>
      <c r="B878" s="5">
        <v>43753.0</v>
      </c>
      <c r="C878" s="6">
        <f t="shared" si="1"/>
        <v>2019</v>
      </c>
      <c r="D878" s="7" t="s">
        <v>1780</v>
      </c>
      <c r="E878" s="7" t="s">
        <v>919</v>
      </c>
      <c r="F878" s="7" t="s">
        <v>50</v>
      </c>
      <c r="G878" s="5" t="s">
        <v>51</v>
      </c>
      <c r="H878" s="7" t="s">
        <v>52</v>
      </c>
      <c r="I878" s="7" t="s">
        <v>53</v>
      </c>
      <c r="J878" s="7" t="s">
        <v>394</v>
      </c>
      <c r="K878" s="7" t="s">
        <v>36</v>
      </c>
      <c r="L878" s="7" t="s">
        <v>45</v>
      </c>
      <c r="M878" s="7" t="s">
        <v>38</v>
      </c>
      <c r="N878" s="5">
        <v>43755.0</v>
      </c>
      <c r="O878" s="8">
        <v>24000.0</v>
      </c>
      <c r="P878" s="8">
        <v>39300.0</v>
      </c>
      <c r="Q878" s="8">
        <f t="shared" si="2"/>
        <v>15300</v>
      </c>
      <c r="R878" s="8">
        <v>16.0</v>
      </c>
      <c r="S878" s="8">
        <f t="shared" si="3"/>
        <v>628800</v>
      </c>
      <c r="T878" s="9">
        <v>0.09</v>
      </c>
      <c r="U878" s="8">
        <f t="shared" si="4"/>
        <v>56592</v>
      </c>
      <c r="V878" s="8">
        <f t="shared" si="5"/>
        <v>572208</v>
      </c>
      <c r="W878" s="10">
        <f t="shared" si="6"/>
        <v>384000</v>
      </c>
      <c r="X878" s="10">
        <f t="shared" si="7"/>
        <v>188208</v>
      </c>
      <c r="Y878" s="10"/>
      <c r="Z878" s="10"/>
      <c r="AA878" s="10"/>
      <c r="AB878" s="4" t="s">
        <v>2616</v>
      </c>
      <c r="AC878" s="4" t="s">
        <v>2615</v>
      </c>
      <c r="AD878" s="4">
        <v>43753.0</v>
      </c>
      <c r="AE878" s="4">
        <v>2019.0</v>
      </c>
      <c r="AF878" s="4" t="s">
        <v>1780</v>
      </c>
      <c r="AG878" s="4" t="s">
        <v>919</v>
      </c>
      <c r="AH878" s="4" t="s">
        <v>50</v>
      </c>
      <c r="AI878" s="4" t="s">
        <v>51</v>
      </c>
      <c r="AJ878" s="4" t="s">
        <v>52</v>
      </c>
      <c r="AK878" s="4" t="s">
        <v>53</v>
      </c>
      <c r="AL878" s="4" t="s">
        <v>394</v>
      </c>
      <c r="AM878" s="4" t="s">
        <v>36</v>
      </c>
      <c r="AN878" s="4" t="s">
        <v>45</v>
      </c>
      <c r="AO878" s="4" t="s">
        <v>38</v>
      </c>
      <c r="AP878" s="4">
        <v>43755.0</v>
      </c>
      <c r="AQ878" s="4">
        <v>24000.0</v>
      </c>
      <c r="AR878" s="4">
        <v>39300.0</v>
      </c>
      <c r="AS878" s="4">
        <v>15300.0</v>
      </c>
      <c r="AT878" s="4">
        <v>16.0</v>
      </c>
      <c r="AU878" s="4">
        <v>628800.0</v>
      </c>
      <c r="AV878" s="4">
        <v>0.09</v>
      </c>
      <c r="AW878" s="4">
        <v>56592.0</v>
      </c>
      <c r="AX878" s="4">
        <v>572208.0</v>
      </c>
      <c r="AY878" s="4">
        <v>384000.0</v>
      </c>
      <c r="AZ878" s="4">
        <v>188208.0</v>
      </c>
    </row>
    <row r="879" ht="15.75" customHeight="1">
      <c r="A879" s="2" t="s">
        <v>2617</v>
      </c>
      <c r="B879" s="5">
        <v>43753.0</v>
      </c>
      <c r="C879" s="6">
        <f t="shared" si="1"/>
        <v>2019</v>
      </c>
      <c r="D879" s="7" t="s">
        <v>2618</v>
      </c>
      <c r="E879" s="7" t="s">
        <v>258</v>
      </c>
      <c r="F879" s="7" t="s">
        <v>50</v>
      </c>
      <c r="G879" s="5" t="s">
        <v>32</v>
      </c>
      <c r="H879" s="7" t="s">
        <v>98</v>
      </c>
      <c r="I879" s="7" t="s">
        <v>74</v>
      </c>
      <c r="J879" s="7" t="s">
        <v>277</v>
      </c>
      <c r="K879" s="7" t="s">
        <v>278</v>
      </c>
      <c r="L879" s="7" t="s">
        <v>127</v>
      </c>
      <c r="M879" s="7" t="s">
        <v>38</v>
      </c>
      <c r="N879" s="5">
        <v>43760.0</v>
      </c>
      <c r="O879" s="8">
        <v>82500.0</v>
      </c>
      <c r="P879" s="8">
        <v>183300.0</v>
      </c>
      <c r="Q879" s="8">
        <f t="shared" si="2"/>
        <v>100800</v>
      </c>
      <c r="R879" s="8">
        <v>46.0</v>
      </c>
      <c r="S879" s="8">
        <f t="shared" si="3"/>
        <v>8431800</v>
      </c>
      <c r="T879" s="9">
        <v>0.03</v>
      </c>
      <c r="U879" s="8">
        <f t="shared" si="4"/>
        <v>252954</v>
      </c>
      <c r="V879" s="8">
        <f t="shared" si="5"/>
        <v>8178846</v>
      </c>
      <c r="W879" s="10">
        <f t="shared" si="6"/>
        <v>3795000</v>
      </c>
      <c r="X879" s="10">
        <f t="shared" si="7"/>
        <v>4383846</v>
      </c>
      <c r="Y879" s="10"/>
      <c r="Z879" s="10"/>
      <c r="AA879" s="10"/>
      <c r="AB879" s="4" t="s">
        <v>2619</v>
      </c>
      <c r="AC879" s="4" t="s">
        <v>2617</v>
      </c>
      <c r="AD879" s="4">
        <v>43753.0</v>
      </c>
      <c r="AE879" s="4">
        <v>2019.0</v>
      </c>
      <c r="AF879" s="4" t="s">
        <v>2618</v>
      </c>
      <c r="AG879" s="4" t="s">
        <v>258</v>
      </c>
      <c r="AH879" s="4" t="s">
        <v>50</v>
      </c>
      <c r="AI879" s="4" t="s">
        <v>32</v>
      </c>
      <c r="AJ879" s="4" t="s">
        <v>98</v>
      </c>
      <c r="AK879" s="4" t="s">
        <v>74</v>
      </c>
      <c r="AL879" s="4" t="s">
        <v>277</v>
      </c>
      <c r="AM879" s="4" t="s">
        <v>278</v>
      </c>
      <c r="AN879" s="4" t="s">
        <v>127</v>
      </c>
      <c r="AO879" s="4" t="s">
        <v>38</v>
      </c>
      <c r="AP879" s="4">
        <v>43760.0</v>
      </c>
      <c r="AQ879" s="4">
        <v>82500.0</v>
      </c>
      <c r="AR879" s="4">
        <v>183300.0</v>
      </c>
      <c r="AS879" s="4">
        <v>100800.0</v>
      </c>
      <c r="AT879" s="4">
        <v>46.0</v>
      </c>
      <c r="AU879" s="4">
        <v>8431800.0</v>
      </c>
      <c r="AV879" s="4">
        <v>0.03</v>
      </c>
      <c r="AW879" s="4">
        <v>252954.0</v>
      </c>
      <c r="AX879" s="4">
        <v>8178846.0</v>
      </c>
      <c r="AY879" s="4">
        <v>3795000.0</v>
      </c>
      <c r="AZ879" s="4">
        <v>4383846.0</v>
      </c>
    </row>
    <row r="880" ht="15.75" customHeight="1">
      <c r="A880" s="3" t="s">
        <v>2620</v>
      </c>
      <c r="B880" s="5">
        <v>43754.0</v>
      </c>
      <c r="C880" s="6">
        <f t="shared" si="1"/>
        <v>2019</v>
      </c>
      <c r="D880" s="7" t="s">
        <v>899</v>
      </c>
      <c r="E880" s="7" t="s">
        <v>307</v>
      </c>
      <c r="F880" s="7" t="s">
        <v>50</v>
      </c>
      <c r="G880" s="5" t="s">
        <v>32</v>
      </c>
      <c r="H880" s="7" t="s">
        <v>140</v>
      </c>
      <c r="I880" s="7" t="s">
        <v>104</v>
      </c>
      <c r="J880" s="7" t="s">
        <v>1143</v>
      </c>
      <c r="K880" s="7" t="s">
        <v>36</v>
      </c>
      <c r="L880" s="7" t="s">
        <v>45</v>
      </c>
      <c r="M880" s="7" t="s">
        <v>38</v>
      </c>
      <c r="N880" s="5">
        <v>43756.0</v>
      </c>
      <c r="O880" s="8">
        <v>13050.0</v>
      </c>
      <c r="P880" s="8">
        <v>27150.0</v>
      </c>
      <c r="Q880" s="8">
        <f t="shared" si="2"/>
        <v>14100</v>
      </c>
      <c r="R880" s="8">
        <v>50.0</v>
      </c>
      <c r="S880" s="8">
        <f t="shared" si="3"/>
        <v>1357500</v>
      </c>
      <c r="T880" s="9">
        <v>0.08</v>
      </c>
      <c r="U880" s="8">
        <f t="shared" si="4"/>
        <v>108600</v>
      </c>
      <c r="V880" s="8">
        <f t="shared" si="5"/>
        <v>1248900</v>
      </c>
      <c r="W880" s="10">
        <f t="shared" si="6"/>
        <v>652500</v>
      </c>
      <c r="X880" s="10">
        <f t="shared" si="7"/>
        <v>596400</v>
      </c>
      <c r="Y880" s="10"/>
      <c r="Z880" s="10"/>
      <c r="AA880" s="10"/>
      <c r="AB880" s="4" t="s">
        <v>2621</v>
      </c>
      <c r="AC880" s="4" t="s">
        <v>2620</v>
      </c>
      <c r="AD880" s="4">
        <v>43754.0</v>
      </c>
      <c r="AE880" s="4">
        <v>2019.0</v>
      </c>
      <c r="AF880" s="4" t="s">
        <v>899</v>
      </c>
      <c r="AG880" s="4" t="s">
        <v>307</v>
      </c>
      <c r="AH880" s="4" t="s">
        <v>50</v>
      </c>
      <c r="AI880" s="4" t="s">
        <v>32</v>
      </c>
      <c r="AJ880" s="4" t="s">
        <v>140</v>
      </c>
      <c r="AK880" s="4" t="s">
        <v>104</v>
      </c>
      <c r="AL880" s="4" t="s">
        <v>1143</v>
      </c>
      <c r="AM880" s="4" t="s">
        <v>36</v>
      </c>
      <c r="AN880" s="4" t="s">
        <v>45</v>
      </c>
      <c r="AO880" s="4" t="s">
        <v>38</v>
      </c>
      <c r="AP880" s="4">
        <v>43756.0</v>
      </c>
      <c r="AQ880" s="4">
        <v>13050.0</v>
      </c>
      <c r="AR880" s="4">
        <v>27150.0</v>
      </c>
      <c r="AS880" s="4">
        <v>14100.0</v>
      </c>
      <c r="AT880" s="4">
        <v>50.0</v>
      </c>
      <c r="AU880" s="4">
        <v>1357500.0</v>
      </c>
      <c r="AV880" s="4">
        <v>0.08</v>
      </c>
      <c r="AW880" s="4">
        <v>108600.0</v>
      </c>
      <c r="AX880" s="4">
        <v>1248900.0</v>
      </c>
      <c r="AY880" s="4">
        <v>652500.0</v>
      </c>
      <c r="AZ880" s="4">
        <v>596400.0</v>
      </c>
    </row>
    <row r="881" ht="15.75" customHeight="1">
      <c r="A881" s="3" t="s">
        <v>2622</v>
      </c>
      <c r="B881" s="5">
        <v>43756.0</v>
      </c>
      <c r="C881" s="6">
        <f t="shared" si="1"/>
        <v>2019</v>
      </c>
      <c r="D881" s="7" t="s">
        <v>881</v>
      </c>
      <c r="E881" s="7" t="s">
        <v>276</v>
      </c>
      <c r="F881" s="7" t="s">
        <v>50</v>
      </c>
      <c r="G881" s="5" t="s">
        <v>32</v>
      </c>
      <c r="H881" s="7" t="s">
        <v>110</v>
      </c>
      <c r="I881" s="7" t="s">
        <v>92</v>
      </c>
      <c r="J881" s="7" t="s">
        <v>538</v>
      </c>
      <c r="K881" s="7" t="s">
        <v>36</v>
      </c>
      <c r="L881" s="7" t="s">
        <v>37</v>
      </c>
      <c r="M881" s="7" t="s">
        <v>55</v>
      </c>
      <c r="N881" s="5">
        <v>43758.0</v>
      </c>
      <c r="O881" s="8">
        <v>33900.0</v>
      </c>
      <c r="P881" s="8">
        <v>53700.0</v>
      </c>
      <c r="Q881" s="8">
        <f t="shared" si="2"/>
        <v>19800</v>
      </c>
      <c r="R881" s="8">
        <v>36.0</v>
      </c>
      <c r="S881" s="8">
        <f t="shared" si="3"/>
        <v>1933200</v>
      </c>
      <c r="T881" s="9">
        <v>0.04</v>
      </c>
      <c r="U881" s="8">
        <f t="shared" si="4"/>
        <v>77328</v>
      </c>
      <c r="V881" s="8">
        <f t="shared" si="5"/>
        <v>1855872</v>
      </c>
      <c r="W881" s="10">
        <f t="shared" si="6"/>
        <v>1220400</v>
      </c>
      <c r="X881" s="10">
        <f t="shared" si="7"/>
        <v>635472</v>
      </c>
      <c r="Y881" s="10"/>
      <c r="Z881" s="10"/>
      <c r="AA881" s="10"/>
      <c r="AB881" s="4" t="s">
        <v>2623</v>
      </c>
      <c r="AC881" s="4" t="s">
        <v>2622</v>
      </c>
      <c r="AD881" s="4">
        <v>43756.0</v>
      </c>
      <c r="AE881" s="4">
        <v>2019.0</v>
      </c>
      <c r="AF881" s="4" t="s">
        <v>881</v>
      </c>
      <c r="AG881" s="4" t="s">
        <v>276</v>
      </c>
      <c r="AH881" s="4" t="s">
        <v>50</v>
      </c>
      <c r="AI881" s="4" t="s">
        <v>32</v>
      </c>
      <c r="AJ881" s="4" t="s">
        <v>110</v>
      </c>
      <c r="AK881" s="4" t="s">
        <v>92</v>
      </c>
      <c r="AL881" s="4" t="s">
        <v>538</v>
      </c>
      <c r="AM881" s="4" t="s">
        <v>36</v>
      </c>
      <c r="AN881" s="4" t="s">
        <v>37</v>
      </c>
      <c r="AO881" s="4" t="s">
        <v>55</v>
      </c>
      <c r="AP881" s="4">
        <v>43758.0</v>
      </c>
      <c r="AQ881" s="4">
        <v>33900.0</v>
      </c>
      <c r="AR881" s="4">
        <v>53700.0</v>
      </c>
      <c r="AS881" s="4">
        <v>19800.0</v>
      </c>
      <c r="AT881" s="4">
        <v>36.0</v>
      </c>
      <c r="AU881" s="4">
        <v>1933200.0</v>
      </c>
      <c r="AV881" s="4">
        <v>0.04</v>
      </c>
      <c r="AW881" s="4">
        <v>77328.0</v>
      </c>
      <c r="AX881" s="4">
        <v>1855872.0</v>
      </c>
      <c r="AY881" s="4">
        <v>1220400.0</v>
      </c>
      <c r="AZ881" s="4">
        <v>635472.0</v>
      </c>
    </row>
    <row r="882" ht="15.75" customHeight="1">
      <c r="A882" s="3" t="s">
        <v>2624</v>
      </c>
      <c r="B882" s="5">
        <v>43758.0</v>
      </c>
      <c r="C882" s="6">
        <f t="shared" si="1"/>
        <v>2019</v>
      </c>
      <c r="D882" s="7" t="s">
        <v>2625</v>
      </c>
      <c r="E882" s="7" t="s">
        <v>253</v>
      </c>
      <c r="F882" s="7" t="s">
        <v>31</v>
      </c>
      <c r="G882" s="5" t="s">
        <v>32</v>
      </c>
      <c r="H882" s="7" t="s">
        <v>43</v>
      </c>
      <c r="I882" s="7" t="s">
        <v>34</v>
      </c>
      <c r="J882" s="7" t="s">
        <v>86</v>
      </c>
      <c r="K882" s="7" t="s">
        <v>36</v>
      </c>
      <c r="L882" s="7" t="s">
        <v>45</v>
      </c>
      <c r="M882" s="7" t="s">
        <v>38</v>
      </c>
      <c r="N882" s="5">
        <v>43759.0</v>
      </c>
      <c r="O882" s="8">
        <v>16350.000000000002</v>
      </c>
      <c r="P882" s="8">
        <v>25200.0</v>
      </c>
      <c r="Q882" s="8">
        <f t="shared" si="2"/>
        <v>8850</v>
      </c>
      <c r="R882" s="8">
        <v>50.0</v>
      </c>
      <c r="S882" s="8">
        <f t="shared" si="3"/>
        <v>1260000</v>
      </c>
      <c r="T882" s="9">
        <v>0.09</v>
      </c>
      <c r="U882" s="8">
        <f t="shared" si="4"/>
        <v>113400</v>
      </c>
      <c r="V882" s="8">
        <f t="shared" si="5"/>
        <v>1146600</v>
      </c>
      <c r="W882" s="10">
        <f t="shared" si="6"/>
        <v>817500</v>
      </c>
      <c r="X882" s="10">
        <f t="shared" si="7"/>
        <v>329100</v>
      </c>
      <c r="Y882" s="10"/>
      <c r="Z882" s="10"/>
      <c r="AA882" s="10"/>
      <c r="AB882" s="4" t="s">
        <v>2626</v>
      </c>
      <c r="AC882" s="4" t="s">
        <v>2624</v>
      </c>
      <c r="AD882" s="4">
        <v>43758.0</v>
      </c>
      <c r="AE882" s="4">
        <v>2019.0</v>
      </c>
      <c r="AF882" s="4" t="s">
        <v>2625</v>
      </c>
      <c r="AG882" s="4" t="s">
        <v>253</v>
      </c>
      <c r="AH882" s="4" t="s">
        <v>31</v>
      </c>
      <c r="AI882" s="4" t="s">
        <v>32</v>
      </c>
      <c r="AJ882" s="4" t="s">
        <v>43</v>
      </c>
      <c r="AK882" s="4" t="s">
        <v>34</v>
      </c>
      <c r="AL882" s="4" t="s">
        <v>86</v>
      </c>
      <c r="AM882" s="4" t="s">
        <v>36</v>
      </c>
      <c r="AN882" s="4" t="s">
        <v>45</v>
      </c>
      <c r="AO882" s="4" t="s">
        <v>38</v>
      </c>
      <c r="AP882" s="4">
        <v>43759.0</v>
      </c>
      <c r="AQ882" s="4">
        <v>16350.0</v>
      </c>
      <c r="AR882" s="4">
        <v>25200.0</v>
      </c>
      <c r="AS882" s="4">
        <v>8850.0</v>
      </c>
      <c r="AT882" s="4">
        <v>50.0</v>
      </c>
      <c r="AU882" s="4">
        <v>1260000.0</v>
      </c>
      <c r="AV882" s="4">
        <v>0.09</v>
      </c>
      <c r="AW882" s="4">
        <v>113400.0</v>
      </c>
      <c r="AX882" s="4">
        <v>1146600.0</v>
      </c>
      <c r="AY882" s="4">
        <v>817500.0</v>
      </c>
      <c r="AZ882" s="4">
        <v>329100.0</v>
      </c>
    </row>
    <row r="883" ht="15.75" customHeight="1">
      <c r="A883" s="3" t="s">
        <v>2627</v>
      </c>
      <c r="B883" s="5">
        <v>43762.0</v>
      </c>
      <c r="C883" s="6">
        <f t="shared" si="1"/>
        <v>2019</v>
      </c>
      <c r="D883" s="7" t="s">
        <v>2628</v>
      </c>
      <c r="E883" s="7" t="s">
        <v>67</v>
      </c>
      <c r="F883" s="7" t="s">
        <v>50</v>
      </c>
      <c r="G883" s="5" t="s">
        <v>32</v>
      </c>
      <c r="H883" s="7" t="s">
        <v>69</v>
      </c>
      <c r="I883" s="7" t="s">
        <v>104</v>
      </c>
      <c r="J883" s="7" t="s">
        <v>335</v>
      </c>
      <c r="K883" s="7" t="s">
        <v>36</v>
      </c>
      <c r="L883" s="7" t="s">
        <v>45</v>
      </c>
      <c r="M883" s="7" t="s">
        <v>38</v>
      </c>
      <c r="N883" s="5">
        <v>43763.0</v>
      </c>
      <c r="O883" s="8">
        <v>52200.0</v>
      </c>
      <c r="P883" s="8">
        <v>81450.0</v>
      </c>
      <c r="Q883" s="8">
        <f t="shared" si="2"/>
        <v>29250</v>
      </c>
      <c r="R883" s="8">
        <v>2.0</v>
      </c>
      <c r="S883" s="8">
        <f t="shared" si="3"/>
        <v>162900</v>
      </c>
      <c r="T883" s="9">
        <v>0.03</v>
      </c>
      <c r="U883" s="8">
        <f t="shared" si="4"/>
        <v>4887</v>
      </c>
      <c r="V883" s="8">
        <f t="shared" si="5"/>
        <v>158013</v>
      </c>
      <c r="W883" s="10">
        <f t="shared" si="6"/>
        <v>104400</v>
      </c>
      <c r="X883" s="10">
        <f t="shared" si="7"/>
        <v>53613</v>
      </c>
      <c r="Y883" s="10"/>
      <c r="Z883" s="10"/>
      <c r="AA883" s="10"/>
      <c r="AB883" s="4" t="s">
        <v>2629</v>
      </c>
      <c r="AC883" s="4" t="s">
        <v>2627</v>
      </c>
      <c r="AD883" s="4">
        <v>43762.0</v>
      </c>
      <c r="AE883" s="4">
        <v>2019.0</v>
      </c>
      <c r="AF883" s="4" t="s">
        <v>2628</v>
      </c>
      <c r="AG883" s="4" t="s">
        <v>67</v>
      </c>
      <c r="AH883" s="4" t="s">
        <v>50</v>
      </c>
      <c r="AI883" s="4" t="s">
        <v>32</v>
      </c>
      <c r="AJ883" s="4" t="s">
        <v>69</v>
      </c>
      <c r="AK883" s="4" t="s">
        <v>104</v>
      </c>
      <c r="AL883" s="4" t="s">
        <v>335</v>
      </c>
      <c r="AM883" s="4" t="s">
        <v>36</v>
      </c>
      <c r="AN883" s="4" t="s">
        <v>45</v>
      </c>
      <c r="AO883" s="4" t="s">
        <v>38</v>
      </c>
      <c r="AP883" s="4">
        <v>43763.0</v>
      </c>
      <c r="AQ883" s="4">
        <v>52200.0</v>
      </c>
      <c r="AR883" s="4">
        <v>81450.0</v>
      </c>
      <c r="AS883" s="4">
        <v>29250.0</v>
      </c>
      <c r="AT883" s="4">
        <v>2.0</v>
      </c>
      <c r="AU883" s="4">
        <v>162900.0</v>
      </c>
      <c r="AV883" s="4">
        <v>0.03</v>
      </c>
      <c r="AW883" s="4">
        <v>4887.0</v>
      </c>
      <c r="AX883" s="4">
        <v>158013.0</v>
      </c>
      <c r="AY883" s="4">
        <v>104400.0</v>
      </c>
      <c r="AZ883" s="4">
        <v>53613.0</v>
      </c>
    </row>
    <row r="884" ht="15.75" customHeight="1">
      <c r="A884" s="3" t="s">
        <v>2630</v>
      </c>
      <c r="B884" s="5">
        <v>43763.0</v>
      </c>
      <c r="C884" s="6">
        <f t="shared" si="1"/>
        <v>2019</v>
      </c>
      <c r="D884" s="7" t="s">
        <v>2631</v>
      </c>
      <c r="E884" s="7" t="s">
        <v>1069</v>
      </c>
      <c r="F884" s="7" t="s">
        <v>31</v>
      </c>
      <c r="G884" s="5" t="s">
        <v>91</v>
      </c>
      <c r="H884" s="7" t="s">
        <v>43</v>
      </c>
      <c r="I884" s="7" t="s">
        <v>104</v>
      </c>
      <c r="J884" s="7" t="s">
        <v>497</v>
      </c>
      <c r="K884" s="7" t="s">
        <v>36</v>
      </c>
      <c r="L884" s="7" t="s">
        <v>37</v>
      </c>
      <c r="M884" s="7" t="s">
        <v>38</v>
      </c>
      <c r="N884" s="5">
        <v>43764.0</v>
      </c>
      <c r="O884" s="8">
        <v>54750.0</v>
      </c>
      <c r="P884" s="8">
        <v>89700.0</v>
      </c>
      <c r="Q884" s="8">
        <f t="shared" si="2"/>
        <v>34950</v>
      </c>
      <c r="R884" s="8">
        <v>22.0</v>
      </c>
      <c r="S884" s="8">
        <f t="shared" si="3"/>
        <v>1973400</v>
      </c>
      <c r="T884" s="9">
        <v>0.07</v>
      </c>
      <c r="U884" s="8">
        <f t="shared" si="4"/>
        <v>138138</v>
      </c>
      <c r="V884" s="8">
        <f t="shared" si="5"/>
        <v>1835262</v>
      </c>
      <c r="W884" s="10">
        <f t="shared" si="6"/>
        <v>1204500</v>
      </c>
      <c r="X884" s="10">
        <f t="shared" si="7"/>
        <v>630762</v>
      </c>
      <c r="Y884" s="10"/>
      <c r="Z884" s="10"/>
      <c r="AA884" s="10"/>
      <c r="AB884" s="4" t="s">
        <v>2632</v>
      </c>
      <c r="AC884" s="4" t="s">
        <v>2630</v>
      </c>
      <c r="AD884" s="4">
        <v>43763.0</v>
      </c>
      <c r="AE884" s="4">
        <v>2019.0</v>
      </c>
      <c r="AF884" s="4" t="s">
        <v>2631</v>
      </c>
      <c r="AG884" s="4" t="s">
        <v>1069</v>
      </c>
      <c r="AH884" s="4" t="s">
        <v>31</v>
      </c>
      <c r="AI884" s="4" t="s">
        <v>91</v>
      </c>
      <c r="AJ884" s="4" t="s">
        <v>43</v>
      </c>
      <c r="AK884" s="4" t="s">
        <v>104</v>
      </c>
      <c r="AL884" s="4" t="s">
        <v>497</v>
      </c>
      <c r="AM884" s="4" t="s">
        <v>36</v>
      </c>
      <c r="AN884" s="4" t="s">
        <v>37</v>
      </c>
      <c r="AO884" s="4" t="s">
        <v>38</v>
      </c>
      <c r="AP884" s="4">
        <v>43764.0</v>
      </c>
      <c r="AQ884" s="4">
        <v>54750.0</v>
      </c>
      <c r="AR884" s="4">
        <v>89700.0</v>
      </c>
      <c r="AS884" s="4">
        <v>34950.0</v>
      </c>
      <c r="AT884" s="4">
        <v>22.0</v>
      </c>
      <c r="AU884" s="4">
        <v>1973400.0</v>
      </c>
      <c r="AV884" s="4">
        <v>0.07</v>
      </c>
      <c r="AW884" s="4">
        <v>138138.0</v>
      </c>
      <c r="AX884" s="4">
        <v>1835262.0</v>
      </c>
      <c r="AY884" s="4">
        <v>1204500.0</v>
      </c>
      <c r="AZ884" s="4">
        <v>630762.0</v>
      </c>
    </row>
    <row r="885" ht="15.75" customHeight="1">
      <c r="A885" s="3" t="s">
        <v>2633</v>
      </c>
      <c r="B885" s="5">
        <v>43767.0</v>
      </c>
      <c r="C885" s="6">
        <f t="shared" si="1"/>
        <v>2019</v>
      </c>
      <c r="D885" s="7" t="s">
        <v>676</v>
      </c>
      <c r="E885" s="7" t="s">
        <v>183</v>
      </c>
      <c r="F885" s="7" t="s">
        <v>31</v>
      </c>
      <c r="G885" s="5" t="s">
        <v>32</v>
      </c>
      <c r="H885" s="7" t="s">
        <v>43</v>
      </c>
      <c r="I885" s="7" t="s">
        <v>34</v>
      </c>
      <c r="J885" s="7" t="s">
        <v>195</v>
      </c>
      <c r="K885" s="7" t="s">
        <v>61</v>
      </c>
      <c r="L885" s="7" t="s">
        <v>37</v>
      </c>
      <c r="M885" s="7" t="s">
        <v>38</v>
      </c>
      <c r="N885" s="5">
        <v>43769.0</v>
      </c>
      <c r="O885" s="8">
        <v>480300.00000000006</v>
      </c>
      <c r="P885" s="8">
        <v>2287200.0</v>
      </c>
      <c r="Q885" s="8">
        <f t="shared" si="2"/>
        <v>1806900</v>
      </c>
      <c r="R885" s="8">
        <v>2.0</v>
      </c>
      <c r="S885" s="8">
        <f t="shared" si="3"/>
        <v>4574400</v>
      </c>
      <c r="T885" s="9">
        <v>0.03</v>
      </c>
      <c r="U885" s="8">
        <f t="shared" si="4"/>
        <v>137232</v>
      </c>
      <c r="V885" s="8">
        <f t="shared" si="5"/>
        <v>4437168</v>
      </c>
      <c r="W885" s="10">
        <f t="shared" si="6"/>
        <v>960600</v>
      </c>
      <c r="X885" s="10">
        <f t="shared" si="7"/>
        <v>3476568</v>
      </c>
      <c r="Y885" s="10"/>
      <c r="Z885" s="10"/>
      <c r="AA885" s="10"/>
      <c r="AB885" s="4" t="s">
        <v>2634</v>
      </c>
      <c r="AC885" s="4" t="s">
        <v>2633</v>
      </c>
      <c r="AD885" s="4">
        <v>43767.0</v>
      </c>
      <c r="AE885" s="4">
        <v>2019.0</v>
      </c>
      <c r="AF885" s="4" t="s">
        <v>676</v>
      </c>
      <c r="AG885" s="4" t="s">
        <v>183</v>
      </c>
      <c r="AH885" s="4" t="s">
        <v>31</v>
      </c>
      <c r="AI885" s="4" t="s">
        <v>32</v>
      </c>
      <c r="AJ885" s="4" t="s">
        <v>43</v>
      </c>
      <c r="AK885" s="4" t="s">
        <v>34</v>
      </c>
      <c r="AL885" s="4" t="s">
        <v>195</v>
      </c>
      <c r="AM885" s="4" t="s">
        <v>61</v>
      </c>
      <c r="AN885" s="4" t="s">
        <v>37</v>
      </c>
      <c r="AO885" s="4" t="s">
        <v>38</v>
      </c>
      <c r="AP885" s="4">
        <v>43769.0</v>
      </c>
      <c r="AQ885" s="4">
        <v>480300.0</v>
      </c>
      <c r="AR885" s="4">
        <v>2287200.0</v>
      </c>
      <c r="AS885" s="4">
        <v>1806900.0</v>
      </c>
      <c r="AT885" s="4">
        <v>2.0</v>
      </c>
      <c r="AU885" s="4">
        <v>4574400.0</v>
      </c>
      <c r="AV885" s="4">
        <v>0.03</v>
      </c>
      <c r="AW885" s="4">
        <v>137232.0</v>
      </c>
      <c r="AX885" s="4">
        <v>4437168.0</v>
      </c>
      <c r="AY885" s="4">
        <v>960600.0</v>
      </c>
      <c r="AZ885" s="4">
        <v>3476568.0</v>
      </c>
    </row>
    <row r="886" ht="15.75" customHeight="1">
      <c r="A886" s="3" t="s">
        <v>2635</v>
      </c>
      <c r="B886" s="5">
        <v>43768.0</v>
      </c>
      <c r="C886" s="6">
        <f t="shared" si="1"/>
        <v>2019</v>
      </c>
      <c r="D886" s="7" t="s">
        <v>1376</v>
      </c>
      <c r="E886" s="7" t="s">
        <v>1377</v>
      </c>
      <c r="F886" s="7" t="s">
        <v>289</v>
      </c>
      <c r="G886" s="5" t="s">
        <v>51</v>
      </c>
      <c r="H886" s="7" t="s">
        <v>98</v>
      </c>
      <c r="I886" s="7" t="s">
        <v>92</v>
      </c>
      <c r="J886" s="7" t="s">
        <v>843</v>
      </c>
      <c r="K886" s="7" t="s">
        <v>36</v>
      </c>
      <c r="L886" s="7" t="s">
        <v>45</v>
      </c>
      <c r="M886" s="7" t="s">
        <v>38</v>
      </c>
      <c r="N886" s="5">
        <v>43769.0</v>
      </c>
      <c r="O886" s="8">
        <v>13950.0</v>
      </c>
      <c r="P886" s="8">
        <v>24000.0</v>
      </c>
      <c r="Q886" s="8">
        <f t="shared" si="2"/>
        <v>10050</v>
      </c>
      <c r="R886" s="8">
        <v>39.0</v>
      </c>
      <c r="S886" s="8">
        <f t="shared" si="3"/>
        <v>936000</v>
      </c>
      <c r="T886" s="9">
        <v>0.1</v>
      </c>
      <c r="U886" s="8">
        <f t="shared" si="4"/>
        <v>93600</v>
      </c>
      <c r="V886" s="8">
        <f t="shared" si="5"/>
        <v>842400</v>
      </c>
      <c r="W886" s="10">
        <f t="shared" si="6"/>
        <v>544050</v>
      </c>
      <c r="X886" s="10">
        <f t="shared" si="7"/>
        <v>298350</v>
      </c>
      <c r="Y886" s="10"/>
      <c r="Z886" s="10"/>
      <c r="AA886" s="10"/>
      <c r="AB886" s="4" t="s">
        <v>2636</v>
      </c>
      <c r="AC886" s="4" t="s">
        <v>2635</v>
      </c>
      <c r="AD886" s="4">
        <v>43768.0</v>
      </c>
      <c r="AE886" s="4">
        <v>2019.0</v>
      </c>
      <c r="AF886" s="4" t="s">
        <v>1376</v>
      </c>
      <c r="AG886" s="4" t="s">
        <v>1377</v>
      </c>
      <c r="AH886" s="4" t="s">
        <v>289</v>
      </c>
      <c r="AI886" s="4" t="s">
        <v>51</v>
      </c>
      <c r="AJ886" s="4" t="s">
        <v>98</v>
      </c>
      <c r="AK886" s="4" t="s">
        <v>92</v>
      </c>
      <c r="AL886" s="4" t="s">
        <v>843</v>
      </c>
      <c r="AM886" s="4" t="s">
        <v>36</v>
      </c>
      <c r="AN886" s="4" t="s">
        <v>45</v>
      </c>
      <c r="AO886" s="4" t="s">
        <v>38</v>
      </c>
      <c r="AP886" s="4">
        <v>43769.0</v>
      </c>
      <c r="AQ886" s="4">
        <v>13950.0</v>
      </c>
      <c r="AR886" s="4">
        <v>24000.0</v>
      </c>
      <c r="AS886" s="4">
        <v>10050.0</v>
      </c>
      <c r="AT886" s="4">
        <v>39.0</v>
      </c>
      <c r="AU886" s="4">
        <v>936000.0</v>
      </c>
      <c r="AV886" s="4">
        <v>0.1</v>
      </c>
      <c r="AW886" s="4">
        <v>93600.0</v>
      </c>
      <c r="AX886" s="4">
        <v>842400.0</v>
      </c>
      <c r="AY886" s="4">
        <v>544050.0</v>
      </c>
      <c r="AZ886" s="4">
        <v>298350.0</v>
      </c>
    </row>
    <row r="887" ht="15.75" customHeight="1">
      <c r="A887" s="3" t="s">
        <v>2637</v>
      </c>
      <c r="B887" s="5">
        <v>43778.0</v>
      </c>
      <c r="C887" s="6">
        <f t="shared" si="1"/>
        <v>2019</v>
      </c>
      <c r="D887" s="7" t="s">
        <v>1979</v>
      </c>
      <c r="E887" s="7" t="s">
        <v>1813</v>
      </c>
      <c r="F887" s="7" t="s">
        <v>50</v>
      </c>
      <c r="G887" s="5" t="s">
        <v>32</v>
      </c>
      <c r="H887" s="7" t="s">
        <v>110</v>
      </c>
      <c r="I887" s="7" t="s">
        <v>53</v>
      </c>
      <c r="J887" s="7" t="s">
        <v>2638</v>
      </c>
      <c r="K887" s="7" t="s">
        <v>61</v>
      </c>
      <c r="L887" s="7" t="s">
        <v>555</v>
      </c>
      <c r="M887" s="7" t="s">
        <v>38</v>
      </c>
      <c r="N887" s="5">
        <v>43780.0</v>
      </c>
      <c r="O887" s="8">
        <v>4049850.0</v>
      </c>
      <c r="P887" s="8">
        <v>6749850.0</v>
      </c>
      <c r="Q887" s="8">
        <f t="shared" si="2"/>
        <v>2700000</v>
      </c>
      <c r="R887" s="8">
        <v>3.0</v>
      </c>
      <c r="S887" s="8">
        <f t="shared" si="3"/>
        <v>20249550</v>
      </c>
      <c r="T887" s="9">
        <v>0.06</v>
      </c>
      <c r="U887" s="8">
        <f t="shared" si="4"/>
        <v>1214973</v>
      </c>
      <c r="V887" s="8">
        <f t="shared" si="5"/>
        <v>19034577</v>
      </c>
      <c r="W887" s="10">
        <f t="shared" si="6"/>
        <v>12149550</v>
      </c>
      <c r="X887" s="10">
        <f t="shared" si="7"/>
        <v>6885027</v>
      </c>
      <c r="Y887" s="10"/>
      <c r="Z887" s="10"/>
      <c r="AA887" s="10"/>
      <c r="AB887" s="4" t="s">
        <v>2639</v>
      </c>
      <c r="AC887" s="4" t="s">
        <v>2637</v>
      </c>
      <c r="AD887" s="4">
        <v>43778.0</v>
      </c>
      <c r="AE887" s="4">
        <v>2019.0</v>
      </c>
      <c r="AF887" s="4" t="s">
        <v>1979</v>
      </c>
      <c r="AG887" s="4" t="s">
        <v>1813</v>
      </c>
      <c r="AH887" s="4" t="s">
        <v>50</v>
      </c>
      <c r="AI887" s="4" t="s">
        <v>32</v>
      </c>
      <c r="AJ887" s="4" t="s">
        <v>110</v>
      </c>
      <c r="AK887" s="4" t="s">
        <v>53</v>
      </c>
      <c r="AL887" s="4" t="s">
        <v>2638</v>
      </c>
      <c r="AM887" s="4" t="s">
        <v>61</v>
      </c>
      <c r="AN887" s="4" t="s">
        <v>555</v>
      </c>
      <c r="AO887" s="4" t="s">
        <v>38</v>
      </c>
      <c r="AP887" s="4">
        <v>43780.0</v>
      </c>
      <c r="AQ887" s="4">
        <v>4049850.0</v>
      </c>
      <c r="AR887" s="4">
        <v>6749850.0</v>
      </c>
      <c r="AS887" s="4">
        <v>2700000.0</v>
      </c>
      <c r="AT887" s="4">
        <v>3.0</v>
      </c>
      <c r="AU887" s="4">
        <v>2.024955E7</v>
      </c>
      <c r="AV887" s="4">
        <v>0.06</v>
      </c>
      <c r="AW887" s="4">
        <v>1214973.0</v>
      </c>
      <c r="AX887" s="4">
        <v>1.9034577E7</v>
      </c>
      <c r="AY887" s="4">
        <v>1.214955E7</v>
      </c>
      <c r="AZ887" s="4">
        <v>6885027.0</v>
      </c>
    </row>
    <row r="888" ht="15.75" customHeight="1">
      <c r="A888" s="3" t="s">
        <v>2640</v>
      </c>
      <c r="B888" s="5">
        <v>43779.0</v>
      </c>
      <c r="C888" s="6">
        <f t="shared" si="1"/>
        <v>2019</v>
      </c>
      <c r="D888" s="7" t="s">
        <v>1741</v>
      </c>
      <c r="E888" s="7" t="s">
        <v>312</v>
      </c>
      <c r="F888" s="7" t="s">
        <v>50</v>
      </c>
      <c r="G888" s="5" t="s">
        <v>32</v>
      </c>
      <c r="H888" s="7" t="s">
        <v>151</v>
      </c>
      <c r="I888" s="7" t="s">
        <v>104</v>
      </c>
      <c r="J888" s="7" t="s">
        <v>254</v>
      </c>
      <c r="K888" s="7" t="s">
        <v>36</v>
      </c>
      <c r="L888" s="7" t="s">
        <v>37</v>
      </c>
      <c r="M888" s="7" t="s">
        <v>38</v>
      </c>
      <c r="N888" s="5">
        <v>43781.0</v>
      </c>
      <c r="O888" s="8">
        <v>208200.0</v>
      </c>
      <c r="P888" s="8">
        <v>335700.0</v>
      </c>
      <c r="Q888" s="8">
        <f t="shared" si="2"/>
        <v>127500</v>
      </c>
      <c r="R888" s="8">
        <v>18.0</v>
      </c>
      <c r="S888" s="8">
        <f t="shared" si="3"/>
        <v>6042600</v>
      </c>
      <c r="T888" s="9">
        <v>0.05</v>
      </c>
      <c r="U888" s="8">
        <f t="shared" si="4"/>
        <v>302130</v>
      </c>
      <c r="V888" s="8">
        <f t="shared" si="5"/>
        <v>5740470</v>
      </c>
      <c r="W888" s="10">
        <f t="shared" si="6"/>
        <v>3747600</v>
      </c>
      <c r="X888" s="10">
        <f t="shared" si="7"/>
        <v>1992870</v>
      </c>
      <c r="Y888" s="10"/>
      <c r="Z888" s="10"/>
      <c r="AA888" s="10"/>
      <c r="AB888" s="4" t="s">
        <v>2641</v>
      </c>
      <c r="AC888" s="4" t="s">
        <v>2640</v>
      </c>
      <c r="AD888" s="4">
        <v>43779.0</v>
      </c>
      <c r="AE888" s="4">
        <v>2019.0</v>
      </c>
      <c r="AF888" s="4" t="s">
        <v>1741</v>
      </c>
      <c r="AG888" s="4" t="s">
        <v>312</v>
      </c>
      <c r="AH888" s="4" t="s">
        <v>50</v>
      </c>
      <c r="AI888" s="4" t="s">
        <v>32</v>
      </c>
      <c r="AJ888" s="4" t="s">
        <v>151</v>
      </c>
      <c r="AK888" s="4" t="s">
        <v>104</v>
      </c>
      <c r="AL888" s="4" t="s">
        <v>254</v>
      </c>
      <c r="AM888" s="4" t="s">
        <v>36</v>
      </c>
      <c r="AN888" s="4" t="s">
        <v>37</v>
      </c>
      <c r="AO888" s="4" t="s">
        <v>38</v>
      </c>
      <c r="AP888" s="4">
        <v>43781.0</v>
      </c>
      <c r="AQ888" s="4">
        <v>208200.0</v>
      </c>
      <c r="AR888" s="4">
        <v>335700.0</v>
      </c>
      <c r="AS888" s="4">
        <v>127500.0</v>
      </c>
      <c r="AT888" s="4">
        <v>18.0</v>
      </c>
      <c r="AU888" s="4">
        <v>6042600.0</v>
      </c>
      <c r="AV888" s="4">
        <v>0.05</v>
      </c>
      <c r="AW888" s="4">
        <v>302130.0</v>
      </c>
      <c r="AX888" s="4">
        <v>5740470.0</v>
      </c>
      <c r="AY888" s="4">
        <v>3747600.0</v>
      </c>
      <c r="AZ888" s="4">
        <v>1992870.0</v>
      </c>
    </row>
    <row r="889" ht="15.75" customHeight="1">
      <c r="A889" s="3" t="s">
        <v>2642</v>
      </c>
      <c r="B889" s="5">
        <v>43784.0</v>
      </c>
      <c r="C889" s="6">
        <f t="shared" si="1"/>
        <v>2019</v>
      </c>
      <c r="D889" s="7" t="s">
        <v>1120</v>
      </c>
      <c r="E889" s="7" t="s">
        <v>977</v>
      </c>
      <c r="F889" s="7" t="s">
        <v>31</v>
      </c>
      <c r="G889" s="5" t="s">
        <v>32</v>
      </c>
      <c r="H889" s="7" t="s">
        <v>33</v>
      </c>
      <c r="I889" s="7" t="s">
        <v>92</v>
      </c>
      <c r="J889" s="7" t="s">
        <v>365</v>
      </c>
      <c r="K889" s="7" t="s">
        <v>36</v>
      </c>
      <c r="L889" s="7" t="s">
        <v>37</v>
      </c>
      <c r="M889" s="7" t="s">
        <v>38</v>
      </c>
      <c r="N889" s="5">
        <v>43786.0</v>
      </c>
      <c r="O889" s="8">
        <v>2682450.0</v>
      </c>
      <c r="P889" s="8">
        <v>6238200.0</v>
      </c>
      <c r="Q889" s="8">
        <f t="shared" si="2"/>
        <v>3555750</v>
      </c>
      <c r="R889" s="8">
        <v>4.0</v>
      </c>
      <c r="S889" s="8">
        <f t="shared" si="3"/>
        <v>24952800</v>
      </c>
      <c r="T889" s="9">
        <v>0.04</v>
      </c>
      <c r="U889" s="8">
        <f t="shared" si="4"/>
        <v>998112</v>
      </c>
      <c r="V889" s="8">
        <f t="shared" si="5"/>
        <v>23954688</v>
      </c>
      <c r="W889" s="10">
        <f t="shared" si="6"/>
        <v>10729800</v>
      </c>
      <c r="X889" s="10">
        <f t="shared" si="7"/>
        <v>13224888</v>
      </c>
      <c r="Y889" s="10"/>
      <c r="Z889" s="10"/>
      <c r="AA889" s="10"/>
      <c r="AB889" s="4" t="s">
        <v>2643</v>
      </c>
      <c r="AC889" s="4" t="s">
        <v>2642</v>
      </c>
      <c r="AD889" s="4">
        <v>43784.0</v>
      </c>
      <c r="AE889" s="4">
        <v>2019.0</v>
      </c>
      <c r="AF889" s="4" t="s">
        <v>1120</v>
      </c>
      <c r="AG889" s="4" t="s">
        <v>977</v>
      </c>
      <c r="AH889" s="4" t="s">
        <v>31</v>
      </c>
      <c r="AI889" s="4" t="s">
        <v>32</v>
      </c>
      <c r="AJ889" s="4" t="s">
        <v>33</v>
      </c>
      <c r="AK889" s="4" t="s">
        <v>92</v>
      </c>
      <c r="AL889" s="4" t="s">
        <v>365</v>
      </c>
      <c r="AM889" s="4" t="s">
        <v>36</v>
      </c>
      <c r="AN889" s="4" t="s">
        <v>37</v>
      </c>
      <c r="AO889" s="4" t="s">
        <v>38</v>
      </c>
      <c r="AP889" s="4">
        <v>43786.0</v>
      </c>
      <c r="AQ889" s="4">
        <v>2682450.0</v>
      </c>
      <c r="AR889" s="4">
        <v>6238200.0</v>
      </c>
      <c r="AS889" s="4">
        <v>3555750.0</v>
      </c>
      <c r="AT889" s="4">
        <v>4.0</v>
      </c>
      <c r="AU889" s="4">
        <v>2.49528E7</v>
      </c>
      <c r="AV889" s="4">
        <v>0.04</v>
      </c>
      <c r="AW889" s="4">
        <v>998112.0</v>
      </c>
      <c r="AX889" s="4">
        <v>2.3954688E7</v>
      </c>
      <c r="AY889" s="4">
        <v>1.07298E7</v>
      </c>
      <c r="AZ889" s="4">
        <v>1.3224888E7</v>
      </c>
    </row>
    <row r="890" ht="15.75" customHeight="1">
      <c r="A890" s="3" t="s">
        <v>2644</v>
      </c>
      <c r="B890" s="5">
        <v>43785.0</v>
      </c>
      <c r="C890" s="6">
        <f t="shared" si="1"/>
        <v>2019</v>
      </c>
      <c r="D890" s="7" t="s">
        <v>2645</v>
      </c>
      <c r="E890" s="7" t="s">
        <v>150</v>
      </c>
      <c r="F890" s="7" t="s">
        <v>50</v>
      </c>
      <c r="G890" s="5" t="s">
        <v>91</v>
      </c>
      <c r="H890" s="7" t="s">
        <v>151</v>
      </c>
      <c r="I890" s="7" t="s">
        <v>92</v>
      </c>
      <c r="J890" s="7" t="s">
        <v>208</v>
      </c>
      <c r="K890" s="7" t="s">
        <v>36</v>
      </c>
      <c r="L890" s="7" t="s">
        <v>127</v>
      </c>
      <c r="M890" s="7" t="s">
        <v>38</v>
      </c>
      <c r="N890" s="5">
        <v>43786.0</v>
      </c>
      <c r="O890" s="8">
        <v>71850.0</v>
      </c>
      <c r="P890" s="8">
        <v>179550.0</v>
      </c>
      <c r="Q890" s="8">
        <f t="shared" si="2"/>
        <v>107700</v>
      </c>
      <c r="R890" s="8">
        <v>49.0</v>
      </c>
      <c r="S890" s="8">
        <f t="shared" si="3"/>
        <v>8797950</v>
      </c>
      <c r="T890" s="9">
        <v>0.09</v>
      </c>
      <c r="U890" s="8">
        <f t="shared" si="4"/>
        <v>791815.5</v>
      </c>
      <c r="V890" s="8">
        <f t="shared" si="5"/>
        <v>8006134.5</v>
      </c>
      <c r="W890" s="10">
        <f t="shared" si="6"/>
        <v>3520650</v>
      </c>
      <c r="X890" s="10">
        <f t="shared" si="7"/>
        <v>4485484.5</v>
      </c>
      <c r="Y890" s="10"/>
      <c r="Z890" s="10"/>
      <c r="AA890" s="10"/>
      <c r="AB890" s="4" t="s">
        <v>2646</v>
      </c>
      <c r="AC890" s="4" t="s">
        <v>2644</v>
      </c>
      <c r="AD890" s="4">
        <v>43785.0</v>
      </c>
      <c r="AE890" s="4">
        <v>2019.0</v>
      </c>
      <c r="AF890" s="4" t="s">
        <v>2645</v>
      </c>
      <c r="AG890" s="4" t="s">
        <v>150</v>
      </c>
      <c r="AH890" s="4" t="s">
        <v>50</v>
      </c>
      <c r="AI890" s="4" t="s">
        <v>91</v>
      </c>
      <c r="AJ890" s="4" t="s">
        <v>151</v>
      </c>
      <c r="AK890" s="4" t="s">
        <v>92</v>
      </c>
      <c r="AL890" s="4" t="s">
        <v>208</v>
      </c>
      <c r="AM890" s="4" t="s">
        <v>36</v>
      </c>
      <c r="AN890" s="4" t="s">
        <v>127</v>
      </c>
      <c r="AO890" s="4" t="s">
        <v>38</v>
      </c>
      <c r="AP890" s="4">
        <v>43786.0</v>
      </c>
      <c r="AQ890" s="4">
        <v>71850.0</v>
      </c>
      <c r="AR890" s="4">
        <v>179550.0</v>
      </c>
      <c r="AS890" s="4">
        <v>107700.0</v>
      </c>
      <c r="AT890" s="4">
        <v>49.0</v>
      </c>
      <c r="AU890" s="4">
        <v>8797950.0</v>
      </c>
      <c r="AV890" s="4">
        <v>0.09</v>
      </c>
      <c r="AW890" s="4">
        <v>791815.5</v>
      </c>
      <c r="AX890" s="4">
        <v>8006134.5</v>
      </c>
      <c r="AY890" s="4">
        <v>3520650.0</v>
      </c>
      <c r="AZ890" s="4">
        <v>4485484.5</v>
      </c>
    </row>
    <row r="891" ht="15.75" customHeight="1">
      <c r="A891" s="3" t="s">
        <v>2647</v>
      </c>
      <c r="B891" s="5">
        <v>43786.0</v>
      </c>
      <c r="C891" s="6">
        <f t="shared" si="1"/>
        <v>2019</v>
      </c>
      <c r="D891" s="7" t="s">
        <v>2648</v>
      </c>
      <c r="E891" s="7" t="s">
        <v>559</v>
      </c>
      <c r="F891" s="7" t="s">
        <v>50</v>
      </c>
      <c r="G891" s="5" t="s">
        <v>51</v>
      </c>
      <c r="H891" s="7" t="s">
        <v>98</v>
      </c>
      <c r="I891" s="7" t="s">
        <v>34</v>
      </c>
      <c r="J891" s="7" t="s">
        <v>473</v>
      </c>
      <c r="K891" s="7" t="s">
        <v>61</v>
      </c>
      <c r="L891" s="7" t="s">
        <v>37</v>
      </c>
      <c r="M891" s="7" t="s">
        <v>38</v>
      </c>
      <c r="N891" s="5">
        <v>43788.0</v>
      </c>
      <c r="O891" s="8">
        <v>817800.0</v>
      </c>
      <c r="P891" s="8">
        <v>1514550.0</v>
      </c>
      <c r="Q891" s="8">
        <f t="shared" si="2"/>
        <v>696750</v>
      </c>
      <c r="R891" s="8">
        <v>41.0</v>
      </c>
      <c r="S891" s="8">
        <f t="shared" si="3"/>
        <v>62096550</v>
      </c>
      <c r="T891" s="9">
        <v>0.03</v>
      </c>
      <c r="U891" s="8">
        <f t="shared" si="4"/>
        <v>1862896.5</v>
      </c>
      <c r="V891" s="8">
        <f t="shared" si="5"/>
        <v>60233653.5</v>
      </c>
      <c r="W891" s="10">
        <f t="shared" si="6"/>
        <v>33529800</v>
      </c>
      <c r="X891" s="10">
        <f t="shared" si="7"/>
        <v>26703853.5</v>
      </c>
      <c r="Y891" s="10"/>
      <c r="Z891" s="10"/>
      <c r="AA891" s="10"/>
      <c r="AB891" s="4" t="s">
        <v>2649</v>
      </c>
      <c r="AC891" s="4" t="s">
        <v>2647</v>
      </c>
      <c r="AD891" s="4">
        <v>43786.0</v>
      </c>
      <c r="AE891" s="4">
        <v>2019.0</v>
      </c>
      <c r="AF891" s="4" t="s">
        <v>2648</v>
      </c>
      <c r="AG891" s="4" t="s">
        <v>559</v>
      </c>
      <c r="AH891" s="4" t="s">
        <v>50</v>
      </c>
      <c r="AI891" s="4" t="s">
        <v>51</v>
      </c>
      <c r="AJ891" s="4" t="s">
        <v>98</v>
      </c>
      <c r="AK891" s="4" t="s">
        <v>34</v>
      </c>
      <c r="AL891" s="4" t="s">
        <v>473</v>
      </c>
      <c r="AM891" s="4" t="s">
        <v>61</v>
      </c>
      <c r="AN891" s="4" t="s">
        <v>37</v>
      </c>
      <c r="AO891" s="4" t="s">
        <v>38</v>
      </c>
      <c r="AP891" s="4">
        <v>43788.0</v>
      </c>
      <c r="AQ891" s="4">
        <v>817800.0</v>
      </c>
      <c r="AR891" s="4">
        <v>1514550.0</v>
      </c>
      <c r="AS891" s="4">
        <v>696750.0</v>
      </c>
      <c r="AT891" s="4">
        <v>41.0</v>
      </c>
      <c r="AU891" s="4">
        <v>6.209655E7</v>
      </c>
      <c r="AV891" s="4">
        <v>0.03</v>
      </c>
      <c r="AW891" s="4">
        <v>1862896.5</v>
      </c>
      <c r="AX891" s="4">
        <v>6.02336535E7</v>
      </c>
      <c r="AY891" s="4">
        <v>3.35298E7</v>
      </c>
      <c r="AZ891" s="4">
        <v>2.67038535E7</v>
      </c>
    </row>
    <row r="892" ht="15.75" customHeight="1">
      <c r="A892" s="3" t="s">
        <v>2650</v>
      </c>
      <c r="B892" s="5">
        <v>43787.0</v>
      </c>
      <c r="C892" s="6">
        <f t="shared" si="1"/>
        <v>2019</v>
      </c>
      <c r="D892" s="7" t="s">
        <v>363</v>
      </c>
      <c r="E892" s="7" t="s">
        <v>364</v>
      </c>
      <c r="F892" s="7" t="s">
        <v>50</v>
      </c>
      <c r="G892" s="5" t="s">
        <v>51</v>
      </c>
      <c r="H892" s="7" t="s">
        <v>200</v>
      </c>
      <c r="I892" s="7" t="s">
        <v>34</v>
      </c>
      <c r="J892" s="7" t="s">
        <v>533</v>
      </c>
      <c r="K892" s="7" t="s">
        <v>36</v>
      </c>
      <c r="L892" s="7" t="s">
        <v>45</v>
      </c>
      <c r="M892" s="7" t="s">
        <v>38</v>
      </c>
      <c r="N892" s="5">
        <v>43788.0</v>
      </c>
      <c r="O892" s="8">
        <v>17550.0</v>
      </c>
      <c r="P892" s="8">
        <v>41700.0</v>
      </c>
      <c r="Q892" s="8">
        <f t="shared" si="2"/>
        <v>24150</v>
      </c>
      <c r="R892" s="8">
        <v>6.0</v>
      </c>
      <c r="S892" s="8">
        <f t="shared" si="3"/>
        <v>250200</v>
      </c>
      <c r="T892" s="9">
        <v>0.01</v>
      </c>
      <c r="U892" s="8">
        <f t="shared" si="4"/>
        <v>2502</v>
      </c>
      <c r="V892" s="8">
        <f t="shared" si="5"/>
        <v>247698</v>
      </c>
      <c r="W892" s="10">
        <f t="shared" si="6"/>
        <v>105300</v>
      </c>
      <c r="X892" s="10">
        <f t="shared" si="7"/>
        <v>142398</v>
      </c>
      <c r="Y892" s="10"/>
      <c r="Z892" s="10"/>
      <c r="AA892" s="10"/>
      <c r="AB892" s="4" t="s">
        <v>2651</v>
      </c>
      <c r="AC892" s="4" t="s">
        <v>2650</v>
      </c>
      <c r="AD892" s="4">
        <v>43787.0</v>
      </c>
      <c r="AE892" s="4">
        <v>2019.0</v>
      </c>
      <c r="AF892" s="4" t="s">
        <v>363</v>
      </c>
      <c r="AG892" s="4" t="s">
        <v>364</v>
      </c>
      <c r="AH892" s="4" t="s">
        <v>50</v>
      </c>
      <c r="AI892" s="4" t="s">
        <v>51</v>
      </c>
      <c r="AJ892" s="4" t="s">
        <v>200</v>
      </c>
      <c r="AK892" s="4" t="s">
        <v>34</v>
      </c>
      <c r="AL892" s="4" t="s">
        <v>533</v>
      </c>
      <c r="AM892" s="4" t="s">
        <v>36</v>
      </c>
      <c r="AN892" s="4" t="s">
        <v>45</v>
      </c>
      <c r="AO892" s="4" t="s">
        <v>38</v>
      </c>
      <c r="AP892" s="4">
        <v>43788.0</v>
      </c>
      <c r="AQ892" s="4">
        <v>17550.0</v>
      </c>
      <c r="AR892" s="4">
        <v>41700.0</v>
      </c>
      <c r="AS892" s="4">
        <v>24150.0</v>
      </c>
      <c r="AT892" s="4">
        <v>6.0</v>
      </c>
      <c r="AU892" s="4">
        <v>250200.0</v>
      </c>
      <c r="AV892" s="4">
        <v>0.01</v>
      </c>
      <c r="AW892" s="4">
        <v>2502.0</v>
      </c>
      <c r="AX892" s="4">
        <v>247698.0</v>
      </c>
      <c r="AY892" s="4">
        <v>105300.0</v>
      </c>
      <c r="AZ892" s="4">
        <v>142398.0</v>
      </c>
    </row>
    <row r="893" ht="15.75" customHeight="1">
      <c r="A893" s="3" t="s">
        <v>2652</v>
      </c>
      <c r="B893" s="5">
        <v>43789.0</v>
      </c>
      <c r="C893" s="6">
        <f t="shared" si="1"/>
        <v>2019</v>
      </c>
      <c r="D893" s="7" t="s">
        <v>2653</v>
      </c>
      <c r="E893" s="7" t="s">
        <v>238</v>
      </c>
      <c r="F893" s="7" t="s">
        <v>50</v>
      </c>
      <c r="G893" s="5" t="s">
        <v>68</v>
      </c>
      <c r="H893" s="7" t="s">
        <v>151</v>
      </c>
      <c r="I893" s="7" t="s">
        <v>92</v>
      </c>
      <c r="J893" s="7" t="s">
        <v>1047</v>
      </c>
      <c r="K893" s="7" t="s">
        <v>36</v>
      </c>
      <c r="L893" s="7" t="s">
        <v>37</v>
      </c>
      <c r="M893" s="7" t="s">
        <v>38</v>
      </c>
      <c r="N893" s="5">
        <v>43790.0</v>
      </c>
      <c r="O893" s="8">
        <v>780600.0</v>
      </c>
      <c r="P893" s="8">
        <v>1258950.0</v>
      </c>
      <c r="Q893" s="8">
        <f t="shared" si="2"/>
        <v>478350</v>
      </c>
      <c r="R893" s="8">
        <v>37.0</v>
      </c>
      <c r="S893" s="8">
        <f t="shared" si="3"/>
        <v>46581150</v>
      </c>
      <c r="T893" s="9">
        <v>0.03</v>
      </c>
      <c r="U893" s="8">
        <f t="shared" si="4"/>
        <v>1397434.5</v>
      </c>
      <c r="V893" s="8">
        <f t="shared" si="5"/>
        <v>45183715.5</v>
      </c>
      <c r="W893" s="10">
        <f t="shared" si="6"/>
        <v>28882200</v>
      </c>
      <c r="X893" s="10">
        <f t="shared" si="7"/>
        <v>16301515.5</v>
      </c>
      <c r="Y893" s="10"/>
      <c r="Z893" s="10"/>
      <c r="AA893" s="10"/>
      <c r="AB893" s="4" t="s">
        <v>2654</v>
      </c>
      <c r="AC893" s="4" t="s">
        <v>2652</v>
      </c>
      <c r="AD893" s="4">
        <v>43789.0</v>
      </c>
      <c r="AE893" s="4">
        <v>2019.0</v>
      </c>
      <c r="AF893" s="4" t="s">
        <v>2653</v>
      </c>
      <c r="AG893" s="4" t="s">
        <v>238</v>
      </c>
      <c r="AH893" s="4" t="s">
        <v>50</v>
      </c>
      <c r="AI893" s="4" t="s">
        <v>68</v>
      </c>
      <c r="AJ893" s="4" t="s">
        <v>151</v>
      </c>
      <c r="AK893" s="4" t="s">
        <v>92</v>
      </c>
      <c r="AL893" s="4" t="s">
        <v>1047</v>
      </c>
      <c r="AM893" s="4" t="s">
        <v>36</v>
      </c>
      <c r="AN893" s="4" t="s">
        <v>37</v>
      </c>
      <c r="AO893" s="4" t="s">
        <v>38</v>
      </c>
      <c r="AP893" s="4">
        <v>43790.0</v>
      </c>
      <c r="AQ893" s="4">
        <v>780600.0</v>
      </c>
      <c r="AR893" s="4">
        <v>1258950.0</v>
      </c>
      <c r="AS893" s="4">
        <v>478350.0</v>
      </c>
      <c r="AT893" s="4">
        <v>37.0</v>
      </c>
      <c r="AU893" s="4">
        <v>4.658115E7</v>
      </c>
      <c r="AV893" s="4">
        <v>0.03</v>
      </c>
      <c r="AW893" s="4">
        <v>1397434.5</v>
      </c>
      <c r="AX893" s="4">
        <v>4.51837155E7</v>
      </c>
      <c r="AY893" s="4">
        <v>2.88822E7</v>
      </c>
      <c r="AZ893" s="4">
        <v>1.63015155E7</v>
      </c>
    </row>
    <row r="894" ht="15.75" customHeight="1">
      <c r="A894" s="3" t="s">
        <v>2655</v>
      </c>
      <c r="B894" s="5">
        <v>43790.0</v>
      </c>
      <c r="C894" s="6">
        <f t="shared" si="1"/>
        <v>2019</v>
      </c>
      <c r="D894" s="7" t="s">
        <v>2656</v>
      </c>
      <c r="E894" s="7" t="s">
        <v>216</v>
      </c>
      <c r="F894" s="7" t="s">
        <v>50</v>
      </c>
      <c r="G894" s="5" t="s">
        <v>32</v>
      </c>
      <c r="H894" s="7" t="s">
        <v>151</v>
      </c>
      <c r="I894" s="7" t="s">
        <v>34</v>
      </c>
      <c r="J894" s="7" t="s">
        <v>613</v>
      </c>
      <c r="K894" s="7" t="s">
        <v>36</v>
      </c>
      <c r="L894" s="7" t="s">
        <v>37</v>
      </c>
      <c r="M894" s="7" t="s">
        <v>38</v>
      </c>
      <c r="N894" s="5">
        <v>43791.0</v>
      </c>
      <c r="O894" s="8">
        <v>36750.0</v>
      </c>
      <c r="P894" s="8">
        <v>58350.0</v>
      </c>
      <c r="Q894" s="8">
        <f t="shared" si="2"/>
        <v>21600</v>
      </c>
      <c r="R894" s="8">
        <v>18.0</v>
      </c>
      <c r="S894" s="8">
        <f t="shared" si="3"/>
        <v>1050300</v>
      </c>
      <c r="T894" s="9">
        <v>0.04</v>
      </c>
      <c r="U894" s="8">
        <f t="shared" si="4"/>
        <v>42012</v>
      </c>
      <c r="V894" s="8">
        <f t="shared" si="5"/>
        <v>1008288</v>
      </c>
      <c r="W894" s="10">
        <f t="shared" si="6"/>
        <v>661500</v>
      </c>
      <c r="X894" s="10">
        <f t="shared" si="7"/>
        <v>346788</v>
      </c>
      <c r="Y894" s="10"/>
      <c r="Z894" s="10"/>
      <c r="AA894" s="10"/>
      <c r="AB894" s="4" t="s">
        <v>2657</v>
      </c>
      <c r="AC894" s="4" t="s">
        <v>2655</v>
      </c>
      <c r="AD894" s="4">
        <v>43790.0</v>
      </c>
      <c r="AE894" s="4">
        <v>2019.0</v>
      </c>
      <c r="AF894" s="4" t="s">
        <v>2656</v>
      </c>
      <c r="AG894" s="4" t="s">
        <v>216</v>
      </c>
      <c r="AH894" s="4" t="s">
        <v>50</v>
      </c>
      <c r="AI894" s="4" t="s">
        <v>32</v>
      </c>
      <c r="AJ894" s="4" t="s">
        <v>151</v>
      </c>
      <c r="AK894" s="4" t="s">
        <v>34</v>
      </c>
      <c r="AL894" s="4" t="s">
        <v>613</v>
      </c>
      <c r="AM894" s="4" t="s">
        <v>36</v>
      </c>
      <c r="AN894" s="4" t="s">
        <v>37</v>
      </c>
      <c r="AO894" s="4" t="s">
        <v>38</v>
      </c>
      <c r="AP894" s="4">
        <v>43791.0</v>
      </c>
      <c r="AQ894" s="4">
        <v>36750.0</v>
      </c>
      <c r="AR894" s="4">
        <v>58350.0</v>
      </c>
      <c r="AS894" s="4">
        <v>21600.0</v>
      </c>
      <c r="AT894" s="4">
        <v>18.0</v>
      </c>
      <c r="AU894" s="4">
        <v>1050300.0</v>
      </c>
      <c r="AV894" s="4">
        <v>0.04</v>
      </c>
      <c r="AW894" s="4">
        <v>42012.0</v>
      </c>
      <c r="AX894" s="4">
        <v>1008288.0</v>
      </c>
      <c r="AY894" s="4">
        <v>661500.0</v>
      </c>
      <c r="AZ894" s="4">
        <v>346788.0</v>
      </c>
    </row>
    <row r="895" ht="15.75" customHeight="1">
      <c r="A895" s="3" t="s">
        <v>2658</v>
      </c>
      <c r="B895" s="5">
        <v>43793.0</v>
      </c>
      <c r="C895" s="6">
        <f t="shared" si="1"/>
        <v>2019</v>
      </c>
      <c r="D895" s="7" t="s">
        <v>2245</v>
      </c>
      <c r="E895" s="7" t="s">
        <v>398</v>
      </c>
      <c r="F895" s="7" t="s">
        <v>50</v>
      </c>
      <c r="G895" s="5" t="s">
        <v>68</v>
      </c>
      <c r="H895" s="7" t="s">
        <v>52</v>
      </c>
      <c r="I895" s="7" t="s">
        <v>34</v>
      </c>
      <c r="J895" s="7" t="s">
        <v>771</v>
      </c>
      <c r="K895" s="7" t="s">
        <v>36</v>
      </c>
      <c r="L895" s="7" t="s">
        <v>37</v>
      </c>
      <c r="M895" s="7" t="s">
        <v>38</v>
      </c>
      <c r="N895" s="5">
        <v>43795.0</v>
      </c>
      <c r="O895" s="8">
        <v>34350.0</v>
      </c>
      <c r="P895" s="8">
        <v>55350.0</v>
      </c>
      <c r="Q895" s="8">
        <f t="shared" si="2"/>
        <v>21000</v>
      </c>
      <c r="R895" s="8">
        <v>13.0</v>
      </c>
      <c r="S895" s="8">
        <f t="shared" si="3"/>
        <v>719550</v>
      </c>
      <c r="T895" s="9">
        <v>0.04</v>
      </c>
      <c r="U895" s="8">
        <f t="shared" si="4"/>
        <v>28782</v>
      </c>
      <c r="V895" s="8">
        <f t="shared" si="5"/>
        <v>690768</v>
      </c>
      <c r="W895" s="10">
        <f t="shared" si="6"/>
        <v>446550</v>
      </c>
      <c r="X895" s="10">
        <f t="shared" si="7"/>
        <v>244218</v>
      </c>
      <c r="Y895" s="10"/>
      <c r="Z895" s="10"/>
      <c r="AA895" s="10"/>
      <c r="AB895" s="4" t="s">
        <v>2659</v>
      </c>
      <c r="AC895" s="4" t="s">
        <v>2658</v>
      </c>
      <c r="AD895" s="4">
        <v>43793.0</v>
      </c>
      <c r="AE895" s="4">
        <v>2019.0</v>
      </c>
      <c r="AF895" s="4" t="s">
        <v>2245</v>
      </c>
      <c r="AG895" s="4" t="s">
        <v>398</v>
      </c>
      <c r="AH895" s="4" t="s">
        <v>50</v>
      </c>
      <c r="AI895" s="4" t="s">
        <v>68</v>
      </c>
      <c r="AJ895" s="4" t="s">
        <v>52</v>
      </c>
      <c r="AK895" s="4" t="s">
        <v>34</v>
      </c>
      <c r="AL895" s="4" t="s">
        <v>771</v>
      </c>
      <c r="AM895" s="4" t="s">
        <v>36</v>
      </c>
      <c r="AN895" s="4" t="s">
        <v>37</v>
      </c>
      <c r="AO895" s="4" t="s">
        <v>38</v>
      </c>
      <c r="AP895" s="4">
        <v>43795.0</v>
      </c>
      <c r="AQ895" s="4">
        <v>34350.0</v>
      </c>
      <c r="AR895" s="4">
        <v>55350.0</v>
      </c>
      <c r="AS895" s="4">
        <v>21000.0</v>
      </c>
      <c r="AT895" s="4">
        <v>13.0</v>
      </c>
      <c r="AU895" s="4">
        <v>719550.0</v>
      </c>
      <c r="AV895" s="4">
        <v>0.04</v>
      </c>
      <c r="AW895" s="4">
        <v>28782.0</v>
      </c>
      <c r="AX895" s="4">
        <v>690768.0</v>
      </c>
      <c r="AY895" s="4">
        <v>446550.0</v>
      </c>
      <c r="AZ895" s="4">
        <v>244218.0</v>
      </c>
    </row>
    <row r="896" ht="15.75" customHeight="1">
      <c r="A896" s="3" t="s">
        <v>2660</v>
      </c>
      <c r="B896" s="5">
        <v>43793.0</v>
      </c>
      <c r="C896" s="6">
        <f t="shared" si="1"/>
        <v>2019</v>
      </c>
      <c r="D896" s="7" t="s">
        <v>2192</v>
      </c>
      <c r="E896" s="7" t="s">
        <v>1509</v>
      </c>
      <c r="F896" s="7" t="s">
        <v>50</v>
      </c>
      <c r="G896" s="5" t="s">
        <v>51</v>
      </c>
      <c r="H896" s="7" t="s">
        <v>52</v>
      </c>
      <c r="I896" s="7" t="s">
        <v>104</v>
      </c>
      <c r="J896" s="7" t="s">
        <v>467</v>
      </c>
      <c r="K896" s="7" t="s">
        <v>36</v>
      </c>
      <c r="L896" s="7" t="s">
        <v>45</v>
      </c>
      <c r="M896" s="7" t="s">
        <v>38</v>
      </c>
      <c r="N896" s="5">
        <v>43795.0</v>
      </c>
      <c r="O896" s="8">
        <v>3600.0</v>
      </c>
      <c r="P896" s="8">
        <v>18900.0</v>
      </c>
      <c r="Q896" s="8">
        <f t="shared" si="2"/>
        <v>15300</v>
      </c>
      <c r="R896" s="8">
        <v>34.0</v>
      </c>
      <c r="S896" s="8">
        <f t="shared" si="3"/>
        <v>642600</v>
      </c>
      <c r="T896" s="9">
        <v>0.0</v>
      </c>
      <c r="U896" s="8">
        <f t="shared" si="4"/>
        <v>0</v>
      </c>
      <c r="V896" s="8">
        <f t="shared" si="5"/>
        <v>642600</v>
      </c>
      <c r="W896" s="10">
        <f t="shared" si="6"/>
        <v>122400</v>
      </c>
      <c r="X896" s="10">
        <f t="shared" si="7"/>
        <v>520200</v>
      </c>
      <c r="Y896" s="10"/>
      <c r="Z896" s="10"/>
      <c r="AA896" s="10"/>
      <c r="AB896" s="4" t="s">
        <v>2661</v>
      </c>
      <c r="AC896" s="4" t="s">
        <v>2660</v>
      </c>
      <c r="AD896" s="4">
        <v>43793.0</v>
      </c>
      <c r="AE896" s="4">
        <v>2019.0</v>
      </c>
      <c r="AF896" s="4" t="s">
        <v>2192</v>
      </c>
      <c r="AG896" s="4" t="s">
        <v>1509</v>
      </c>
      <c r="AH896" s="4" t="s">
        <v>50</v>
      </c>
      <c r="AI896" s="4" t="s">
        <v>51</v>
      </c>
      <c r="AJ896" s="4" t="s">
        <v>52</v>
      </c>
      <c r="AK896" s="4" t="s">
        <v>104</v>
      </c>
      <c r="AL896" s="4" t="s">
        <v>467</v>
      </c>
      <c r="AM896" s="4" t="s">
        <v>36</v>
      </c>
      <c r="AN896" s="4" t="s">
        <v>45</v>
      </c>
      <c r="AO896" s="4" t="s">
        <v>38</v>
      </c>
      <c r="AP896" s="4">
        <v>43795.0</v>
      </c>
      <c r="AQ896" s="4">
        <v>3600.0</v>
      </c>
      <c r="AR896" s="4">
        <v>18900.0</v>
      </c>
      <c r="AS896" s="4">
        <v>15300.0</v>
      </c>
      <c r="AT896" s="4">
        <v>34.0</v>
      </c>
      <c r="AU896" s="4">
        <v>642600.0</v>
      </c>
      <c r="AV896" s="4">
        <v>0.0</v>
      </c>
      <c r="AW896" s="4">
        <v>0.0</v>
      </c>
      <c r="AX896" s="4">
        <v>642600.0</v>
      </c>
      <c r="AY896" s="4">
        <v>122400.0</v>
      </c>
      <c r="AZ896" s="4">
        <v>520200.0</v>
      </c>
    </row>
    <row r="897" ht="15.75" customHeight="1">
      <c r="A897" s="3" t="s">
        <v>2662</v>
      </c>
      <c r="B897" s="5">
        <v>43797.0</v>
      </c>
      <c r="C897" s="6">
        <f t="shared" si="1"/>
        <v>2019</v>
      </c>
      <c r="D897" s="7" t="s">
        <v>1611</v>
      </c>
      <c r="E897" s="7" t="s">
        <v>591</v>
      </c>
      <c r="F897" s="7" t="s">
        <v>50</v>
      </c>
      <c r="G897" s="5" t="s">
        <v>51</v>
      </c>
      <c r="H897" s="7" t="s">
        <v>189</v>
      </c>
      <c r="I897" s="7" t="s">
        <v>74</v>
      </c>
      <c r="J897" s="7" t="s">
        <v>613</v>
      </c>
      <c r="K897" s="7" t="s">
        <v>36</v>
      </c>
      <c r="L897" s="7" t="s">
        <v>37</v>
      </c>
      <c r="M897" s="7" t="s">
        <v>55</v>
      </c>
      <c r="N897" s="5">
        <v>43802.0</v>
      </c>
      <c r="O897" s="8">
        <v>36750.0</v>
      </c>
      <c r="P897" s="8">
        <v>58350.0</v>
      </c>
      <c r="Q897" s="8">
        <f t="shared" si="2"/>
        <v>21600</v>
      </c>
      <c r="R897" s="8">
        <v>30.0</v>
      </c>
      <c r="S897" s="8">
        <f t="shared" si="3"/>
        <v>1750500</v>
      </c>
      <c r="T897" s="9">
        <v>0.09</v>
      </c>
      <c r="U897" s="8">
        <f t="shared" si="4"/>
        <v>157545</v>
      </c>
      <c r="V897" s="8">
        <f t="shared" si="5"/>
        <v>1592955</v>
      </c>
      <c r="W897" s="10">
        <f t="shared" si="6"/>
        <v>1102500</v>
      </c>
      <c r="X897" s="10">
        <f t="shared" si="7"/>
        <v>490455</v>
      </c>
      <c r="Y897" s="10"/>
      <c r="Z897" s="10"/>
      <c r="AA897" s="10"/>
      <c r="AB897" s="4" t="s">
        <v>2663</v>
      </c>
      <c r="AC897" s="4" t="s">
        <v>2662</v>
      </c>
      <c r="AD897" s="4">
        <v>43797.0</v>
      </c>
      <c r="AE897" s="4">
        <v>2019.0</v>
      </c>
      <c r="AF897" s="4" t="s">
        <v>1611</v>
      </c>
      <c r="AG897" s="4" t="s">
        <v>591</v>
      </c>
      <c r="AH897" s="4" t="s">
        <v>50</v>
      </c>
      <c r="AI897" s="4" t="s">
        <v>51</v>
      </c>
      <c r="AJ897" s="4" t="s">
        <v>189</v>
      </c>
      <c r="AK897" s="4" t="s">
        <v>74</v>
      </c>
      <c r="AL897" s="4" t="s">
        <v>613</v>
      </c>
      <c r="AM897" s="4" t="s">
        <v>36</v>
      </c>
      <c r="AN897" s="4" t="s">
        <v>37</v>
      </c>
      <c r="AO897" s="4" t="s">
        <v>55</v>
      </c>
      <c r="AP897" s="4">
        <v>43802.0</v>
      </c>
      <c r="AQ897" s="4">
        <v>36750.0</v>
      </c>
      <c r="AR897" s="4">
        <v>58350.0</v>
      </c>
      <c r="AS897" s="4">
        <v>21600.0</v>
      </c>
      <c r="AT897" s="4">
        <v>30.0</v>
      </c>
      <c r="AU897" s="4">
        <v>1750500.0</v>
      </c>
      <c r="AV897" s="4">
        <v>0.09</v>
      </c>
      <c r="AW897" s="4">
        <v>157545.0</v>
      </c>
      <c r="AX897" s="4">
        <v>1592955.0</v>
      </c>
      <c r="AY897" s="4">
        <v>1102500.0</v>
      </c>
      <c r="AZ897" s="4">
        <v>490455.0</v>
      </c>
    </row>
    <row r="898" ht="15.75" customHeight="1">
      <c r="A898" s="3" t="s">
        <v>2664</v>
      </c>
      <c r="B898" s="5">
        <v>43799.0</v>
      </c>
      <c r="C898" s="6">
        <f t="shared" si="1"/>
        <v>2019</v>
      </c>
      <c r="D898" s="7" t="s">
        <v>1500</v>
      </c>
      <c r="E898" s="7" t="s">
        <v>1069</v>
      </c>
      <c r="F898" s="7" t="s">
        <v>31</v>
      </c>
      <c r="G898" s="5" t="s">
        <v>68</v>
      </c>
      <c r="H898" s="7" t="s">
        <v>43</v>
      </c>
      <c r="I898" s="7" t="s">
        <v>34</v>
      </c>
      <c r="J898" s="7" t="s">
        <v>380</v>
      </c>
      <c r="K898" s="7" t="s">
        <v>36</v>
      </c>
      <c r="L898" s="7" t="s">
        <v>45</v>
      </c>
      <c r="M898" s="7" t="s">
        <v>38</v>
      </c>
      <c r="N898" s="5">
        <v>43800.0</v>
      </c>
      <c r="O898" s="8">
        <v>43500.0</v>
      </c>
      <c r="P898" s="8">
        <v>71400.0</v>
      </c>
      <c r="Q898" s="8">
        <f t="shared" si="2"/>
        <v>27900</v>
      </c>
      <c r="R898" s="8">
        <v>1.0</v>
      </c>
      <c r="S898" s="8">
        <f t="shared" si="3"/>
        <v>71400</v>
      </c>
      <c r="T898" s="9">
        <v>0.02</v>
      </c>
      <c r="U898" s="8">
        <f t="shared" si="4"/>
        <v>1428</v>
      </c>
      <c r="V898" s="8">
        <f t="shared" si="5"/>
        <v>69972</v>
      </c>
      <c r="W898" s="10">
        <f t="shared" si="6"/>
        <v>43500</v>
      </c>
      <c r="X898" s="10">
        <f t="shared" si="7"/>
        <v>26472</v>
      </c>
      <c r="Y898" s="10"/>
      <c r="Z898" s="10"/>
      <c r="AA898" s="10"/>
      <c r="AB898" s="4" t="s">
        <v>2665</v>
      </c>
      <c r="AC898" s="4" t="s">
        <v>2664</v>
      </c>
      <c r="AD898" s="4">
        <v>43799.0</v>
      </c>
      <c r="AE898" s="4">
        <v>2019.0</v>
      </c>
      <c r="AF898" s="4" t="s">
        <v>1500</v>
      </c>
      <c r="AG898" s="4" t="s">
        <v>1069</v>
      </c>
      <c r="AH898" s="4" t="s">
        <v>31</v>
      </c>
      <c r="AI898" s="4" t="s">
        <v>68</v>
      </c>
      <c r="AJ898" s="4" t="s">
        <v>43</v>
      </c>
      <c r="AK898" s="4" t="s">
        <v>34</v>
      </c>
      <c r="AL898" s="4" t="s">
        <v>380</v>
      </c>
      <c r="AM898" s="4" t="s">
        <v>36</v>
      </c>
      <c r="AN898" s="4" t="s">
        <v>45</v>
      </c>
      <c r="AO898" s="4" t="s">
        <v>38</v>
      </c>
      <c r="AP898" s="4">
        <v>43800.0</v>
      </c>
      <c r="AQ898" s="4">
        <v>43500.0</v>
      </c>
      <c r="AR898" s="4">
        <v>71400.0</v>
      </c>
      <c r="AS898" s="4">
        <v>27900.0</v>
      </c>
      <c r="AT898" s="4">
        <v>1.0</v>
      </c>
      <c r="AU898" s="4">
        <v>71400.0</v>
      </c>
      <c r="AV898" s="4">
        <v>0.02</v>
      </c>
      <c r="AW898" s="4">
        <v>1428.0</v>
      </c>
      <c r="AX898" s="4">
        <v>69972.0</v>
      </c>
      <c r="AY898" s="4">
        <v>43500.0</v>
      </c>
      <c r="AZ898" s="4">
        <v>26472.0</v>
      </c>
    </row>
    <row r="899" ht="15.75" customHeight="1">
      <c r="A899" s="3" t="s">
        <v>2666</v>
      </c>
      <c r="B899" s="5">
        <v>43800.0</v>
      </c>
      <c r="C899" s="6">
        <f t="shared" si="1"/>
        <v>2019</v>
      </c>
      <c r="D899" s="7" t="s">
        <v>2456</v>
      </c>
      <c r="E899" s="7" t="s">
        <v>501</v>
      </c>
      <c r="F899" s="7" t="s">
        <v>289</v>
      </c>
      <c r="G899" s="5" t="s">
        <v>32</v>
      </c>
      <c r="H899" s="7" t="s">
        <v>80</v>
      </c>
      <c r="I899" s="7" t="s">
        <v>34</v>
      </c>
      <c r="J899" s="7" t="s">
        <v>739</v>
      </c>
      <c r="K899" s="7" t="s">
        <v>36</v>
      </c>
      <c r="L899" s="7" t="s">
        <v>37</v>
      </c>
      <c r="M899" s="7" t="s">
        <v>55</v>
      </c>
      <c r="N899" s="5">
        <v>43802.0</v>
      </c>
      <c r="O899" s="8">
        <v>67950.0</v>
      </c>
      <c r="P899" s="8">
        <v>109500.0</v>
      </c>
      <c r="Q899" s="8">
        <f t="shared" si="2"/>
        <v>41550</v>
      </c>
      <c r="R899" s="8">
        <v>41.0</v>
      </c>
      <c r="S899" s="8">
        <f t="shared" si="3"/>
        <v>4489500</v>
      </c>
      <c r="T899" s="9">
        <v>0.05</v>
      </c>
      <c r="U899" s="8">
        <f t="shared" si="4"/>
        <v>224475</v>
      </c>
      <c r="V899" s="8">
        <f t="shared" si="5"/>
        <v>4265025</v>
      </c>
      <c r="W899" s="10">
        <f t="shared" si="6"/>
        <v>2785950</v>
      </c>
      <c r="X899" s="10">
        <f t="shared" si="7"/>
        <v>1479075</v>
      </c>
      <c r="Y899" s="10"/>
      <c r="Z899" s="10"/>
      <c r="AA899" s="10"/>
      <c r="AB899" s="4" t="s">
        <v>2667</v>
      </c>
      <c r="AC899" s="4" t="s">
        <v>2666</v>
      </c>
      <c r="AD899" s="4">
        <v>43800.0</v>
      </c>
      <c r="AE899" s="4">
        <v>2019.0</v>
      </c>
      <c r="AF899" s="4" t="s">
        <v>2456</v>
      </c>
      <c r="AG899" s="4" t="s">
        <v>501</v>
      </c>
      <c r="AH899" s="4" t="s">
        <v>289</v>
      </c>
      <c r="AI899" s="4" t="s">
        <v>32</v>
      </c>
      <c r="AJ899" s="4" t="s">
        <v>80</v>
      </c>
      <c r="AK899" s="4" t="s">
        <v>34</v>
      </c>
      <c r="AL899" s="4" t="s">
        <v>739</v>
      </c>
      <c r="AM899" s="4" t="s">
        <v>36</v>
      </c>
      <c r="AN899" s="4" t="s">
        <v>37</v>
      </c>
      <c r="AO899" s="4" t="s">
        <v>55</v>
      </c>
      <c r="AP899" s="4">
        <v>43802.0</v>
      </c>
      <c r="AQ899" s="4">
        <v>67950.0</v>
      </c>
      <c r="AR899" s="4">
        <v>109500.0</v>
      </c>
      <c r="AS899" s="4">
        <v>41550.0</v>
      </c>
      <c r="AT899" s="4">
        <v>41.0</v>
      </c>
      <c r="AU899" s="4">
        <v>4489500.0</v>
      </c>
      <c r="AV899" s="4">
        <v>0.05</v>
      </c>
      <c r="AW899" s="4">
        <v>224475.0</v>
      </c>
      <c r="AX899" s="4">
        <v>4265025.0</v>
      </c>
      <c r="AY899" s="4">
        <v>2785950.0</v>
      </c>
      <c r="AZ899" s="4">
        <v>1479075.0</v>
      </c>
    </row>
    <row r="900" ht="15.75" customHeight="1">
      <c r="A900" s="3" t="s">
        <v>2668</v>
      </c>
      <c r="B900" s="5">
        <v>43800.0</v>
      </c>
      <c r="C900" s="6">
        <f t="shared" si="1"/>
        <v>2019</v>
      </c>
      <c r="D900" s="7" t="s">
        <v>2212</v>
      </c>
      <c r="E900" s="7" t="s">
        <v>169</v>
      </c>
      <c r="F900" s="7" t="s">
        <v>31</v>
      </c>
      <c r="G900" s="5" t="s">
        <v>32</v>
      </c>
      <c r="H900" s="7" t="s">
        <v>43</v>
      </c>
      <c r="I900" s="7" t="s">
        <v>74</v>
      </c>
      <c r="J900" s="7" t="s">
        <v>318</v>
      </c>
      <c r="K900" s="7" t="s">
        <v>36</v>
      </c>
      <c r="L900" s="7" t="s">
        <v>37</v>
      </c>
      <c r="M900" s="7" t="s">
        <v>38</v>
      </c>
      <c r="N900" s="5">
        <v>43804.0</v>
      </c>
      <c r="O900" s="8">
        <v>33750.0</v>
      </c>
      <c r="P900" s="8">
        <v>55350.0</v>
      </c>
      <c r="Q900" s="8">
        <f t="shared" si="2"/>
        <v>21600</v>
      </c>
      <c r="R900" s="8">
        <v>16.0</v>
      </c>
      <c r="S900" s="8">
        <f t="shared" si="3"/>
        <v>885600</v>
      </c>
      <c r="T900" s="9">
        <v>0.02</v>
      </c>
      <c r="U900" s="8">
        <f t="shared" si="4"/>
        <v>17712</v>
      </c>
      <c r="V900" s="8">
        <f t="shared" si="5"/>
        <v>867888</v>
      </c>
      <c r="W900" s="10">
        <f t="shared" si="6"/>
        <v>540000</v>
      </c>
      <c r="X900" s="10">
        <f t="shared" si="7"/>
        <v>327888</v>
      </c>
      <c r="Y900" s="10"/>
      <c r="Z900" s="10"/>
      <c r="AA900" s="10"/>
      <c r="AB900" s="4" t="s">
        <v>2669</v>
      </c>
      <c r="AC900" s="4" t="s">
        <v>2668</v>
      </c>
      <c r="AD900" s="4">
        <v>43800.0</v>
      </c>
      <c r="AE900" s="4">
        <v>2019.0</v>
      </c>
      <c r="AF900" s="4" t="s">
        <v>2212</v>
      </c>
      <c r="AG900" s="4" t="s">
        <v>169</v>
      </c>
      <c r="AH900" s="4" t="s">
        <v>31</v>
      </c>
      <c r="AI900" s="4" t="s">
        <v>32</v>
      </c>
      <c r="AJ900" s="4" t="s">
        <v>43</v>
      </c>
      <c r="AK900" s="4" t="s">
        <v>74</v>
      </c>
      <c r="AL900" s="4" t="s">
        <v>318</v>
      </c>
      <c r="AM900" s="4" t="s">
        <v>36</v>
      </c>
      <c r="AN900" s="4" t="s">
        <v>37</v>
      </c>
      <c r="AO900" s="4" t="s">
        <v>38</v>
      </c>
      <c r="AP900" s="4">
        <v>43804.0</v>
      </c>
      <c r="AQ900" s="4">
        <v>33750.0</v>
      </c>
      <c r="AR900" s="4">
        <v>55350.0</v>
      </c>
      <c r="AS900" s="4">
        <v>21600.0</v>
      </c>
      <c r="AT900" s="4">
        <v>16.0</v>
      </c>
      <c r="AU900" s="4">
        <v>885600.0</v>
      </c>
      <c r="AV900" s="4">
        <v>0.02</v>
      </c>
      <c r="AW900" s="4">
        <v>17712.0</v>
      </c>
      <c r="AX900" s="4">
        <v>867888.0</v>
      </c>
      <c r="AY900" s="4">
        <v>540000.0</v>
      </c>
      <c r="AZ900" s="4">
        <v>327888.0</v>
      </c>
    </row>
    <row r="901" ht="15.75" customHeight="1">
      <c r="A901" s="3" t="s">
        <v>2670</v>
      </c>
      <c r="B901" s="5">
        <v>43802.0</v>
      </c>
      <c r="C901" s="6">
        <f t="shared" si="1"/>
        <v>2019</v>
      </c>
      <c r="D901" s="7" t="s">
        <v>1327</v>
      </c>
      <c r="E901" s="7" t="s">
        <v>30</v>
      </c>
      <c r="F901" s="7" t="s">
        <v>31</v>
      </c>
      <c r="G901" s="5" t="s">
        <v>68</v>
      </c>
      <c r="H901" s="7" t="s">
        <v>33</v>
      </c>
      <c r="I901" s="7" t="s">
        <v>74</v>
      </c>
      <c r="J901" s="7" t="s">
        <v>903</v>
      </c>
      <c r="K901" s="7" t="s">
        <v>36</v>
      </c>
      <c r="L901" s="7" t="s">
        <v>45</v>
      </c>
      <c r="M901" s="7" t="s">
        <v>38</v>
      </c>
      <c r="N901" s="5">
        <v>43807.0</v>
      </c>
      <c r="O901" s="8">
        <v>34650.0</v>
      </c>
      <c r="P901" s="8">
        <v>56700.0</v>
      </c>
      <c r="Q901" s="8">
        <f t="shared" si="2"/>
        <v>22050</v>
      </c>
      <c r="R901" s="8">
        <v>28.0</v>
      </c>
      <c r="S901" s="8">
        <f t="shared" si="3"/>
        <v>1587600</v>
      </c>
      <c r="T901" s="9">
        <v>0.06</v>
      </c>
      <c r="U901" s="8">
        <f t="shared" si="4"/>
        <v>95256</v>
      </c>
      <c r="V901" s="8">
        <f t="shared" si="5"/>
        <v>1492344</v>
      </c>
      <c r="W901" s="10">
        <f t="shared" si="6"/>
        <v>970200</v>
      </c>
      <c r="X901" s="10">
        <f t="shared" si="7"/>
        <v>522144</v>
      </c>
      <c r="Y901" s="10"/>
      <c r="Z901" s="10"/>
      <c r="AA901" s="10"/>
      <c r="AB901" s="4" t="s">
        <v>2671</v>
      </c>
      <c r="AC901" s="4" t="s">
        <v>2670</v>
      </c>
      <c r="AD901" s="4">
        <v>43802.0</v>
      </c>
      <c r="AE901" s="4">
        <v>2019.0</v>
      </c>
      <c r="AF901" s="4" t="s">
        <v>1327</v>
      </c>
      <c r="AG901" s="4" t="s">
        <v>30</v>
      </c>
      <c r="AH901" s="4" t="s">
        <v>31</v>
      </c>
      <c r="AI901" s="4" t="s">
        <v>68</v>
      </c>
      <c r="AJ901" s="4" t="s">
        <v>33</v>
      </c>
      <c r="AK901" s="4" t="s">
        <v>74</v>
      </c>
      <c r="AL901" s="4" t="s">
        <v>903</v>
      </c>
      <c r="AM901" s="4" t="s">
        <v>36</v>
      </c>
      <c r="AN901" s="4" t="s">
        <v>45</v>
      </c>
      <c r="AO901" s="4" t="s">
        <v>38</v>
      </c>
      <c r="AP901" s="4">
        <v>43807.0</v>
      </c>
      <c r="AQ901" s="4">
        <v>34650.0</v>
      </c>
      <c r="AR901" s="4">
        <v>56700.0</v>
      </c>
      <c r="AS901" s="4">
        <v>22050.0</v>
      </c>
      <c r="AT901" s="4">
        <v>28.0</v>
      </c>
      <c r="AU901" s="4">
        <v>1587600.0</v>
      </c>
      <c r="AV901" s="4">
        <v>0.06</v>
      </c>
      <c r="AW901" s="4">
        <v>95256.0</v>
      </c>
      <c r="AX901" s="4">
        <v>1492344.0</v>
      </c>
      <c r="AY901" s="4">
        <v>970200.0</v>
      </c>
      <c r="AZ901" s="4">
        <v>522144.0</v>
      </c>
    </row>
    <row r="902" ht="15.75" customHeight="1">
      <c r="A902" s="3" t="s">
        <v>2672</v>
      </c>
      <c r="B902" s="5">
        <v>43805.0</v>
      </c>
      <c r="C902" s="6">
        <f t="shared" si="1"/>
        <v>2019</v>
      </c>
      <c r="D902" s="7" t="s">
        <v>1311</v>
      </c>
      <c r="E902" s="7" t="s">
        <v>1312</v>
      </c>
      <c r="F902" s="7" t="s">
        <v>50</v>
      </c>
      <c r="G902" s="5" t="s">
        <v>51</v>
      </c>
      <c r="H902" s="7" t="s">
        <v>200</v>
      </c>
      <c r="I902" s="7" t="s">
        <v>92</v>
      </c>
      <c r="J902" s="7" t="s">
        <v>404</v>
      </c>
      <c r="K902" s="7" t="s">
        <v>36</v>
      </c>
      <c r="L902" s="7" t="s">
        <v>45</v>
      </c>
      <c r="M902" s="7" t="s">
        <v>38</v>
      </c>
      <c r="N902" s="5">
        <v>43807.0</v>
      </c>
      <c r="O902" s="8">
        <v>166650.0</v>
      </c>
      <c r="P902" s="8">
        <v>297600.0</v>
      </c>
      <c r="Q902" s="8">
        <f t="shared" si="2"/>
        <v>130950</v>
      </c>
      <c r="R902" s="8">
        <v>22.0</v>
      </c>
      <c r="S902" s="8">
        <f t="shared" si="3"/>
        <v>6547200</v>
      </c>
      <c r="T902" s="9">
        <v>0.06</v>
      </c>
      <c r="U902" s="8">
        <f t="shared" si="4"/>
        <v>392832</v>
      </c>
      <c r="V902" s="8">
        <f t="shared" si="5"/>
        <v>6154368</v>
      </c>
      <c r="W902" s="10">
        <f t="shared" si="6"/>
        <v>3666300</v>
      </c>
      <c r="X902" s="10">
        <f t="shared" si="7"/>
        <v>2488068</v>
      </c>
      <c r="Y902" s="10"/>
      <c r="Z902" s="10"/>
      <c r="AA902" s="10"/>
      <c r="AB902" s="4" t="s">
        <v>2673</v>
      </c>
      <c r="AC902" s="4" t="s">
        <v>2672</v>
      </c>
      <c r="AD902" s="4">
        <v>43805.0</v>
      </c>
      <c r="AE902" s="4">
        <v>2019.0</v>
      </c>
      <c r="AF902" s="4" t="s">
        <v>1311</v>
      </c>
      <c r="AG902" s="4" t="s">
        <v>1312</v>
      </c>
      <c r="AH902" s="4" t="s">
        <v>50</v>
      </c>
      <c r="AI902" s="4" t="s">
        <v>51</v>
      </c>
      <c r="AJ902" s="4" t="s">
        <v>200</v>
      </c>
      <c r="AK902" s="4" t="s">
        <v>92</v>
      </c>
      <c r="AL902" s="4" t="s">
        <v>404</v>
      </c>
      <c r="AM902" s="4" t="s">
        <v>36</v>
      </c>
      <c r="AN902" s="4" t="s">
        <v>45</v>
      </c>
      <c r="AO902" s="4" t="s">
        <v>38</v>
      </c>
      <c r="AP902" s="4">
        <v>43807.0</v>
      </c>
      <c r="AQ902" s="4">
        <v>166650.0</v>
      </c>
      <c r="AR902" s="4">
        <v>297600.0</v>
      </c>
      <c r="AS902" s="4">
        <v>130950.0</v>
      </c>
      <c r="AT902" s="4">
        <v>22.0</v>
      </c>
      <c r="AU902" s="4">
        <v>6547200.0</v>
      </c>
      <c r="AV902" s="4">
        <v>0.06</v>
      </c>
      <c r="AW902" s="4">
        <v>392832.0</v>
      </c>
      <c r="AX902" s="4">
        <v>6154368.0</v>
      </c>
      <c r="AY902" s="4">
        <v>3666300.0</v>
      </c>
      <c r="AZ902" s="4">
        <v>2488068.0</v>
      </c>
    </row>
    <row r="903" ht="15.75" customHeight="1">
      <c r="A903" s="3" t="s">
        <v>2674</v>
      </c>
      <c r="B903" s="5">
        <v>43806.0</v>
      </c>
      <c r="C903" s="6">
        <f t="shared" si="1"/>
        <v>2019</v>
      </c>
      <c r="D903" s="7" t="s">
        <v>1496</v>
      </c>
      <c r="E903" s="7" t="s">
        <v>1497</v>
      </c>
      <c r="F903" s="7" t="s">
        <v>50</v>
      </c>
      <c r="G903" s="5" t="s">
        <v>32</v>
      </c>
      <c r="H903" s="7" t="s">
        <v>69</v>
      </c>
      <c r="I903" s="7" t="s">
        <v>74</v>
      </c>
      <c r="J903" s="7" t="s">
        <v>264</v>
      </c>
      <c r="K903" s="7" t="s">
        <v>61</v>
      </c>
      <c r="L903" s="7" t="s">
        <v>37</v>
      </c>
      <c r="M903" s="7" t="s">
        <v>38</v>
      </c>
      <c r="N903" s="5">
        <v>43806.0</v>
      </c>
      <c r="O903" s="8">
        <v>296700.0</v>
      </c>
      <c r="P903" s="8">
        <v>689850.0</v>
      </c>
      <c r="Q903" s="8">
        <f t="shared" si="2"/>
        <v>393150</v>
      </c>
      <c r="R903" s="8">
        <v>46.0</v>
      </c>
      <c r="S903" s="8">
        <f t="shared" si="3"/>
        <v>31733100</v>
      </c>
      <c r="T903" s="9">
        <v>0.1</v>
      </c>
      <c r="U903" s="8">
        <f t="shared" si="4"/>
        <v>3173310</v>
      </c>
      <c r="V903" s="8">
        <f t="shared" si="5"/>
        <v>28559790</v>
      </c>
      <c r="W903" s="10">
        <f t="shared" si="6"/>
        <v>13648200</v>
      </c>
      <c r="X903" s="10">
        <f t="shared" si="7"/>
        <v>14911590</v>
      </c>
      <c r="Y903" s="10"/>
      <c r="Z903" s="10"/>
      <c r="AA903" s="10"/>
      <c r="AB903" s="4" t="s">
        <v>2675</v>
      </c>
      <c r="AC903" s="4" t="s">
        <v>2674</v>
      </c>
      <c r="AD903" s="4">
        <v>43806.0</v>
      </c>
      <c r="AE903" s="4">
        <v>2019.0</v>
      </c>
      <c r="AF903" s="4" t="s">
        <v>1496</v>
      </c>
      <c r="AG903" s="4" t="s">
        <v>1497</v>
      </c>
      <c r="AH903" s="4" t="s">
        <v>50</v>
      </c>
      <c r="AI903" s="4" t="s">
        <v>32</v>
      </c>
      <c r="AJ903" s="4" t="s">
        <v>69</v>
      </c>
      <c r="AK903" s="4" t="s">
        <v>74</v>
      </c>
      <c r="AL903" s="4" t="s">
        <v>264</v>
      </c>
      <c r="AM903" s="4" t="s">
        <v>61</v>
      </c>
      <c r="AN903" s="4" t="s">
        <v>37</v>
      </c>
      <c r="AO903" s="4" t="s">
        <v>38</v>
      </c>
      <c r="AP903" s="4">
        <v>43806.0</v>
      </c>
      <c r="AQ903" s="4">
        <v>296700.0</v>
      </c>
      <c r="AR903" s="4">
        <v>689850.0</v>
      </c>
      <c r="AS903" s="4">
        <v>393150.0</v>
      </c>
      <c r="AT903" s="4">
        <v>46.0</v>
      </c>
      <c r="AU903" s="4">
        <v>3.17331E7</v>
      </c>
      <c r="AV903" s="4">
        <v>0.1</v>
      </c>
      <c r="AW903" s="4">
        <v>3173310.0</v>
      </c>
      <c r="AX903" s="4">
        <v>2.855979E7</v>
      </c>
      <c r="AY903" s="4">
        <v>1.36482E7</v>
      </c>
      <c r="AZ903" s="4">
        <v>1.491159E7</v>
      </c>
    </row>
    <row r="904" ht="15.75" customHeight="1">
      <c r="A904" s="3" t="s">
        <v>2676</v>
      </c>
      <c r="B904" s="5">
        <v>43806.0</v>
      </c>
      <c r="C904" s="6">
        <f t="shared" si="1"/>
        <v>2019</v>
      </c>
      <c r="D904" s="7" t="s">
        <v>866</v>
      </c>
      <c r="E904" s="7" t="s">
        <v>537</v>
      </c>
      <c r="F904" s="7" t="s">
        <v>31</v>
      </c>
      <c r="G904" s="5" t="s">
        <v>91</v>
      </c>
      <c r="H904" s="7" t="s">
        <v>33</v>
      </c>
      <c r="I904" s="7" t="s">
        <v>92</v>
      </c>
      <c r="J904" s="7" t="s">
        <v>184</v>
      </c>
      <c r="K904" s="7" t="s">
        <v>36</v>
      </c>
      <c r="L904" s="7" t="s">
        <v>37</v>
      </c>
      <c r="M904" s="7" t="s">
        <v>38</v>
      </c>
      <c r="N904" s="5">
        <v>43809.0</v>
      </c>
      <c r="O904" s="8">
        <v>23850.0</v>
      </c>
      <c r="P904" s="8">
        <v>39150.0</v>
      </c>
      <c r="Q904" s="8">
        <f t="shared" si="2"/>
        <v>15300</v>
      </c>
      <c r="R904" s="8">
        <v>34.0</v>
      </c>
      <c r="S904" s="8">
        <f t="shared" si="3"/>
        <v>1331100</v>
      </c>
      <c r="T904" s="9">
        <v>0.0</v>
      </c>
      <c r="U904" s="8">
        <f t="shared" si="4"/>
        <v>0</v>
      </c>
      <c r="V904" s="8">
        <f t="shared" si="5"/>
        <v>1331100</v>
      </c>
      <c r="W904" s="10">
        <f t="shared" si="6"/>
        <v>810900</v>
      </c>
      <c r="X904" s="10">
        <f t="shared" si="7"/>
        <v>520200</v>
      </c>
      <c r="Y904" s="10"/>
      <c r="Z904" s="10"/>
      <c r="AA904" s="10"/>
      <c r="AB904" s="4" t="s">
        <v>2677</v>
      </c>
      <c r="AC904" s="4" t="s">
        <v>2676</v>
      </c>
      <c r="AD904" s="4">
        <v>43806.0</v>
      </c>
      <c r="AE904" s="4">
        <v>2019.0</v>
      </c>
      <c r="AF904" s="4" t="s">
        <v>866</v>
      </c>
      <c r="AG904" s="4" t="s">
        <v>537</v>
      </c>
      <c r="AH904" s="4" t="s">
        <v>31</v>
      </c>
      <c r="AI904" s="4" t="s">
        <v>91</v>
      </c>
      <c r="AJ904" s="4" t="s">
        <v>33</v>
      </c>
      <c r="AK904" s="4" t="s">
        <v>92</v>
      </c>
      <c r="AL904" s="4" t="s">
        <v>184</v>
      </c>
      <c r="AM904" s="4" t="s">
        <v>36</v>
      </c>
      <c r="AN904" s="4" t="s">
        <v>37</v>
      </c>
      <c r="AO904" s="4" t="s">
        <v>38</v>
      </c>
      <c r="AP904" s="4">
        <v>43809.0</v>
      </c>
      <c r="AQ904" s="4">
        <v>23850.0</v>
      </c>
      <c r="AR904" s="4">
        <v>39150.0</v>
      </c>
      <c r="AS904" s="4">
        <v>15300.0</v>
      </c>
      <c r="AT904" s="4">
        <v>34.0</v>
      </c>
      <c r="AU904" s="4">
        <v>1331100.0</v>
      </c>
      <c r="AV904" s="4">
        <v>0.0</v>
      </c>
      <c r="AW904" s="4">
        <v>0.0</v>
      </c>
      <c r="AX904" s="4">
        <v>1331100.0</v>
      </c>
      <c r="AY904" s="4">
        <v>810900.0</v>
      </c>
      <c r="AZ904" s="4">
        <v>520200.0</v>
      </c>
    </row>
    <row r="905" ht="15.75" customHeight="1">
      <c r="A905" s="3" t="s">
        <v>2678</v>
      </c>
      <c r="B905" s="5">
        <v>43806.0</v>
      </c>
      <c r="C905" s="6">
        <f t="shared" si="1"/>
        <v>2019</v>
      </c>
      <c r="D905" s="7" t="s">
        <v>652</v>
      </c>
      <c r="E905" s="7" t="s">
        <v>653</v>
      </c>
      <c r="F905" s="7" t="s">
        <v>289</v>
      </c>
      <c r="G905" s="5" t="s">
        <v>32</v>
      </c>
      <c r="H905" s="7" t="s">
        <v>360</v>
      </c>
      <c r="I905" s="7" t="s">
        <v>74</v>
      </c>
      <c r="J905" s="7" t="s">
        <v>978</v>
      </c>
      <c r="K905" s="7" t="s">
        <v>61</v>
      </c>
      <c r="L905" s="7" t="s">
        <v>555</v>
      </c>
      <c r="M905" s="7" t="s">
        <v>38</v>
      </c>
      <c r="N905" s="5">
        <v>43815.0</v>
      </c>
      <c r="O905" s="8">
        <v>5669850.0</v>
      </c>
      <c r="P905" s="8">
        <v>8999850.0</v>
      </c>
      <c r="Q905" s="8">
        <f t="shared" si="2"/>
        <v>3330000</v>
      </c>
      <c r="R905" s="8">
        <v>16.0</v>
      </c>
      <c r="S905" s="8">
        <f t="shared" si="3"/>
        <v>143997600</v>
      </c>
      <c r="T905" s="9">
        <v>0.0</v>
      </c>
      <c r="U905" s="8">
        <f t="shared" si="4"/>
        <v>0</v>
      </c>
      <c r="V905" s="8">
        <f t="shared" si="5"/>
        <v>143997600</v>
      </c>
      <c r="W905" s="10">
        <f t="shared" si="6"/>
        <v>90717600</v>
      </c>
      <c r="X905" s="10">
        <f t="shared" si="7"/>
        <v>53280000</v>
      </c>
      <c r="Y905" s="10"/>
      <c r="Z905" s="10"/>
      <c r="AA905" s="10"/>
      <c r="AB905" s="4" t="s">
        <v>2679</v>
      </c>
      <c r="AC905" s="4" t="s">
        <v>2678</v>
      </c>
      <c r="AD905" s="4">
        <v>43806.0</v>
      </c>
      <c r="AE905" s="4">
        <v>2019.0</v>
      </c>
      <c r="AF905" s="4" t="s">
        <v>652</v>
      </c>
      <c r="AG905" s="4" t="s">
        <v>653</v>
      </c>
      <c r="AH905" s="4" t="s">
        <v>289</v>
      </c>
      <c r="AI905" s="4" t="s">
        <v>32</v>
      </c>
      <c r="AJ905" s="4" t="s">
        <v>360</v>
      </c>
      <c r="AK905" s="4" t="s">
        <v>74</v>
      </c>
      <c r="AL905" s="4" t="s">
        <v>978</v>
      </c>
      <c r="AM905" s="4" t="s">
        <v>61</v>
      </c>
      <c r="AN905" s="4" t="s">
        <v>555</v>
      </c>
      <c r="AO905" s="4" t="s">
        <v>38</v>
      </c>
      <c r="AP905" s="4">
        <v>43815.0</v>
      </c>
      <c r="AQ905" s="4">
        <v>5669850.0</v>
      </c>
      <c r="AR905" s="4">
        <v>8999850.0</v>
      </c>
      <c r="AS905" s="4">
        <v>3330000.0</v>
      </c>
      <c r="AT905" s="4">
        <v>16.0</v>
      </c>
      <c r="AU905" s="4">
        <v>1.439976E8</v>
      </c>
      <c r="AV905" s="4">
        <v>0.0</v>
      </c>
      <c r="AW905" s="4">
        <v>0.0</v>
      </c>
      <c r="AX905" s="4">
        <v>1.439976E8</v>
      </c>
      <c r="AY905" s="4">
        <v>9.07176E7</v>
      </c>
      <c r="AZ905" s="4">
        <v>5.328E7</v>
      </c>
    </row>
    <row r="906" ht="15.75" customHeight="1">
      <c r="A906" s="3" t="s">
        <v>2680</v>
      </c>
      <c r="B906" s="5">
        <v>43806.0</v>
      </c>
      <c r="C906" s="6">
        <f t="shared" si="1"/>
        <v>2019</v>
      </c>
      <c r="D906" s="7" t="s">
        <v>652</v>
      </c>
      <c r="E906" s="7" t="s">
        <v>653</v>
      </c>
      <c r="F906" s="7" t="s">
        <v>289</v>
      </c>
      <c r="G906" s="5" t="s">
        <v>32</v>
      </c>
      <c r="H906" s="7" t="s">
        <v>360</v>
      </c>
      <c r="I906" s="7" t="s">
        <v>74</v>
      </c>
      <c r="J906" s="7" t="s">
        <v>404</v>
      </c>
      <c r="K906" s="7" t="s">
        <v>36</v>
      </c>
      <c r="L906" s="7" t="s">
        <v>45</v>
      </c>
      <c r="M906" s="7" t="s">
        <v>38</v>
      </c>
      <c r="N906" s="5">
        <v>43815.0</v>
      </c>
      <c r="O906" s="8">
        <v>166650.0</v>
      </c>
      <c r="P906" s="8">
        <v>297600.0</v>
      </c>
      <c r="Q906" s="8">
        <f t="shared" si="2"/>
        <v>130950</v>
      </c>
      <c r="R906" s="8">
        <v>39.0</v>
      </c>
      <c r="S906" s="8">
        <f t="shared" si="3"/>
        <v>11606400</v>
      </c>
      <c r="T906" s="9">
        <v>0.01</v>
      </c>
      <c r="U906" s="8">
        <f t="shared" si="4"/>
        <v>116064</v>
      </c>
      <c r="V906" s="8">
        <f t="shared" si="5"/>
        <v>11490336</v>
      </c>
      <c r="W906" s="10">
        <f t="shared" si="6"/>
        <v>6499350</v>
      </c>
      <c r="X906" s="10">
        <f t="shared" si="7"/>
        <v>4990986</v>
      </c>
      <c r="Y906" s="10"/>
      <c r="Z906" s="10"/>
      <c r="AA906" s="10"/>
      <c r="AB906" s="4" t="s">
        <v>2681</v>
      </c>
      <c r="AC906" s="4" t="s">
        <v>2680</v>
      </c>
      <c r="AD906" s="4">
        <v>43806.0</v>
      </c>
      <c r="AE906" s="4">
        <v>2019.0</v>
      </c>
      <c r="AF906" s="4" t="s">
        <v>652</v>
      </c>
      <c r="AG906" s="4" t="s">
        <v>653</v>
      </c>
      <c r="AH906" s="4" t="s">
        <v>289</v>
      </c>
      <c r="AI906" s="4" t="s">
        <v>32</v>
      </c>
      <c r="AJ906" s="4" t="s">
        <v>360</v>
      </c>
      <c r="AK906" s="4" t="s">
        <v>74</v>
      </c>
      <c r="AL906" s="4" t="s">
        <v>404</v>
      </c>
      <c r="AM906" s="4" t="s">
        <v>36</v>
      </c>
      <c r="AN906" s="4" t="s">
        <v>45</v>
      </c>
      <c r="AO906" s="4" t="s">
        <v>38</v>
      </c>
      <c r="AP906" s="4">
        <v>43815.0</v>
      </c>
      <c r="AQ906" s="4">
        <v>166650.0</v>
      </c>
      <c r="AR906" s="4">
        <v>297600.0</v>
      </c>
      <c r="AS906" s="4">
        <v>130950.0</v>
      </c>
      <c r="AT906" s="4">
        <v>39.0</v>
      </c>
      <c r="AU906" s="4">
        <v>1.16064E7</v>
      </c>
      <c r="AV906" s="4">
        <v>0.01</v>
      </c>
      <c r="AW906" s="4">
        <v>116064.0</v>
      </c>
      <c r="AX906" s="4">
        <v>1.1490336E7</v>
      </c>
      <c r="AY906" s="4">
        <v>6499350.0</v>
      </c>
      <c r="AZ906" s="4">
        <v>4990986.0</v>
      </c>
    </row>
    <row r="907" ht="15.75" customHeight="1">
      <c r="A907" s="3" t="s">
        <v>2682</v>
      </c>
      <c r="B907" s="5">
        <v>43806.0</v>
      </c>
      <c r="C907" s="6">
        <f t="shared" si="1"/>
        <v>2019</v>
      </c>
      <c r="D907" s="7" t="s">
        <v>2382</v>
      </c>
      <c r="E907" s="7" t="s">
        <v>1933</v>
      </c>
      <c r="F907" s="7" t="s">
        <v>50</v>
      </c>
      <c r="G907" s="5" t="s">
        <v>91</v>
      </c>
      <c r="H907" s="7" t="s">
        <v>110</v>
      </c>
      <c r="I907" s="7" t="s">
        <v>104</v>
      </c>
      <c r="J907" s="7" t="s">
        <v>533</v>
      </c>
      <c r="K907" s="7" t="s">
        <v>36</v>
      </c>
      <c r="L907" s="7" t="s">
        <v>45</v>
      </c>
      <c r="M907" s="7" t="s">
        <v>38</v>
      </c>
      <c r="N907" s="5">
        <v>43806.0</v>
      </c>
      <c r="O907" s="8">
        <v>22950.0</v>
      </c>
      <c r="P907" s="8">
        <v>41700.0</v>
      </c>
      <c r="Q907" s="8">
        <f t="shared" si="2"/>
        <v>18750</v>
      </c>
      <c r="R907" s="8">
        <v>23.0</v>
      </c>
      <c r="S907" s="8">
        <f t="shared" si="3"/>
        <v>959100</v>
      </c>
      <c r="T907" s="9">
        <v>0.01</v>
      </c>
      <c r="U907" s="8">
        <f t="shared" si="4"/>
        <v>9591</v>
      </c>
      <c r="V907" s="8">
        <f t="shared" si="5"/>
        <v>949509</v>
      </c>
      <c r="W907" s="10">
        <f t="shared" si="6"/>
        <v>527850</v>
      </c>
      <c r="X907" s="10">
        <f t="shared" si="7"/>
        <v>421659</v>
      </c>
      <c r="Y907" s="10"/>
      <c r="Z907" s="10"/>
      <c r="AA907" s="10"/>
      <c r="AB907" s="4" t="s">
        <v>2683</v>
      </c>
      <c r="AC907" s="4" t="s">
        <v>2682</v>
      </c>
      <c r="AD907" s="4">
        <v>43806.0</v>
      </c>
      <c r="AE907" s="4">
        <v>2019.0</v>
      </c>
      <c r="AF907" s="4" t="s">
        <v>2382</v>
      </c>
      <c r="AG907" s="4" t="s">
        <v>1933</v>
      </c>
      <c r="AH907" s="4" t="s">
        <v>50</v>
      </c>
      <c r="AI907" s="4" t="s">
        <v>91</v>
      </c>
      <c r="AJ907" s="4" t="s">
        <v>110</v>
      </c>
      <c r="AK907" s="4" t="s">
        <v>104</v>
      </c>
      <c r="AL907" s="4" t="s">
        <v>533</v>
      </c>
      <c r="AM907" s="4" t="s">
        <v>36</v>
      </c>
      <c r="AN907" s="4" t="s">
        <v>45</v>
      </c>
      <c r="AO907" s="4" t="s">
        <v>38</v>
      </c>
      <c r="AP907" s="4">
        <v>43806.0</v>
      </c>
      <c r="AQ907" s="4">
        <v>22950.0</v>
      </c>
      <c r="AR907" s="4">
        <v>41700.0</v>
      </c>
      <c r="AS907" s="4">
        <v>18750.0</v>
      </c>
      <c r="AT907" s="4">
        <v>23.0</v>
      </c>
      <c r="AU907" s="4">
        <v>959100.0</v>
      </c>
      <c r="AV907" s="4">
        <v>0.01</v>
      </c>
      <c r="AW907" s="4">
        <v>9591.0</v>
      </c>
      <c r="AX907" s="4">
        <v>949509.0</v>
      </c>
      <c r="AY907" s="4">
        <v>527850.0</v>
      </c>
      <c r="AZ907" s="4">
        <v>421659.0</v>
      </c>
    </row>
    <row r="908" ht="15.75" customHeight="1">
      <c r="A908" s="2" t="s">
        <v>2684</v>
      </c>
      <c r="B908" s="5">
        <v>43806.0</v>
      </c>
      <c r="C908" s="6">
        <f t="shared" si="1"/>
        <v>2019</v>
      </c>
      <c r="D908" s="7" t="s">
        <v>193</v>
      </c>
      <c r="E908" s="7" t="s">
        <v>194</v>
      </c>
      <c r="F908" s="7" t="s">
        <v>31</v>
      </c>
      <c r="G908" s="5" t="s">
        <v>51</v>
      </c>
      <c r="H908" s="7" t="s">
        <v>33</v>
      </c>
      <c r="I908" s="7" t="s">
        <v>104</v>
      </c>
      <c r="J908" s="7" t="s">
        <v>433</v>
      </c>
      <c r="K908" s="7" t="s">
        <v>36</v>
      </c>
      <c r="L908" s="7" t="s">
        <v>37</v>
      </c>
      <c r="M908" s="7" t="s">
        <v>38</v>
      </c>
      <c r="N908" s="5">
        <v>43807.0</v>
      </c>
      <c r="O908" s="8">
        <v>252750.00000000003</v>
      </c>
      <c r="P908" s="8">
        <v>407700.0</v>
      </c>
      <c r="Q908" s="8">
        <f t="shared" si="2"/>
        <v>154950</v>
      </c>
      <c r="R908" s="8">
        <v>50.0</v>
      </c>
      <c r="S908" s="8">
        <f t="shared" si="3"/>
        <v>20385000</v>
      </c>
      <c r="T908" s="9">
        <v>0.02</v>
      </c>
      <c r="U908" s="8">
        <f t="shared" si="4"/>
        <v>407700</v>
      </c>
      <c r="V908" s="8">
        <f t="shared" si="5"/>
        <v>19977300</v>
      </c>
      <c r="W908" s="10">
        <f t="shared" si="6"/>
        <v>12637500</v>
      </c>
      <c r="X908" s="10">
        <f t="shared" si="7"/>
        <v>7339800</v>
      </c>
      <c r="Y908" s="10"/>
      <c r="Z908" s="10"/>
      <c r="AA908" s="10"/>
      <c r="AB908" s="4" t="s">
        <v>2685</v>
      </c>
      <c r="AC908" s="4" t="s">
        <v>2684</v>
      </c>
      <c r="AD908" s="4">
        <v>43806.0</v>
      </c>
      <c r="AE908" s="4">
        <v>2019.0</v>
      </c>
      <c r="AF908" s="4" t="s">
        <v>193</v>
      </c>
      <c r="AG908" s="4" t="s">
        <v>194</v>
      </c>
      <c r="AH908" s="4" t="s">
        <v>31</v>
      </c>
      <c r="AI908" s="4" t="s">
        <v>51</v>
      </c>
      <c r="AJ908" s="4" t="s">
        <v>33</v>
      </c>
      <c r="AK908" s="4" t="s">
        <v>104</v>
      </c>
      <c r="AL908" s="4" t="s">
        <v>433</v>
      </c>
      <c r="AM908" s="4" t="s">
        <v>36</v>
      </c>
      <c r="AN908" s="4" t="s">
        <v>37</v>
      </c>
      <c r="AO908" s="4" t="s">
        <v>38</v>
      </c>
      <c r="AP908" s="4">
        <v>43807.0</v>
      </c>
      <c r="AQ908" s="4">
        <v>252750.0</v>
      </c>
      <c r="AR908" s="4">
        <v>407700.0</v>
      </c>
      <c r="AS908" s="4">
        <v>154950.0</v>
      </c>
      <c r="AT908" s="4">
        <v>50.0</v>
      </c>
      <c r="AU908" s="4">
        <v>2.0385E7</v>
      </c>
      <c r="AV908" s="4">
        <v>0.02</v>
      </c>
      <c r="AW908" s="4">
        <v>407700.0</v>
      </c>
      <c r="AX908" s="4">
        <v>1.99773E7</v>
      </c>
      <c r="AY908" s="4">
        <v>1.26375E7</v>
      </c>
      <c r="AZ908" s="4">
        <v>7339800.0</v>
      </c>
    </row>
    <row r="909" ht="15.75" customHeight="1">
      <c r="A909" s="3" t="s">
        <v>2686</v>
      </c>
      <c r="B909" s="5">
        <v>43809.0</v>
      </c>
      <c r="C909" s="6">
        <f t="shared" si="1"/>
        <v>2019</v>
      </c>
      <c r="D909" s="7" t="s">
        <v>2053</v>
      </c>
      <c r="E909" s="7" t="s">
        <v>156</v>
      </c>
      <c r="F909" s="7" t="s">
        <v>50</v>
      </c>
      <c r="G909" s="5" t="s">
        <v>51</v>
      </c>
      <c r="H909" s="7" t="s">
        <v>110</v>
      </c>
      <c r="I909" s="7" t="s">
        <v>34</v>
      </c>
      <c r="J909" s="7" t="s">
        <v>595</v>
      </c>
      <c r="K909" s="7" t="s">
        <v>36</v>
      </c>
      <c r="L909" s="7" t="s">
        <v>127</v>
      </c>
      <c r="M909" s="7" t="s">
        <v>55</v>
      </c>
      <c r="N909" s="5">
        <v>43810.0</v>
      </c>
      <c r="O909" s="8">
        <v>77850.0</v>
      </c>
      <c r="P909" s="8">
        <v>194700.0</v>
      </c>
      <c r="Q909" s="8">
        <f t="shared" si="2"/>
        <v>116850</v>
      </c>
      <c r="R909" s="8">
        <v>42.0</v>
      </c>
      <c r="S909" s="8">
        <f t="shared" si="3"/>
        <v>8177400</v>
      </c>
      <c r="T909" s="9">
        <v>0.05</v>
      </c>
      <c r="U909" s="8">
        <f t="shared" si="4"/>
        <v>408870</v>
      </c>
      <c r="V909" s="8">
        <f t="shared" si="5"/>
        <v>7768530</v>
      </c>
      <c r="W909" s="10">
        <f t="shared" si="6"/>
        <v>3269700</v>
      </c>
      <c r="X909" s="10">
        <f t="shared" si="7"/>
        <v>4498830</v>
      </c>
      <c r="Y909" s="10"/>
      <c r="Z909" s="10"/>
      <c r="AA909" s="10"/>
      <c r="AB909" s="4" t="s">
        <v>2687</v>
      </c>
      <c r="AC909" s="4" t="s">
        <v>2686</v>
      </c>
      <c r="AD909" s="4">
        <v>43809.0</v>
      </c>
      <c r="AE909" s="4">
        <v>2019.0</v>
      </c>
      <c r="AF909" s="4" t="s">
        <v>2053</v>
      </c>
      <c r="AG909" s="4" t="s">
        <v>156</v>
      </c>
      <c r="AH909" s="4" t="s">
        <v>50</v>
      </c>
      <c r="AI909" s="4" t="s">
        <v>51</v>
      </c>
      <c r="AJ909" s="4" t="s">
        <v>110</v>
      </c>
      <c r="AK909" s="4" t="s">
        <v>34</v>
      </c>
      <c r="AL909" s="4" t="s">
        <v>595</v>
      </c>
      <c r="AM909" s="4" t="s">
        <v>36</v>
      </c>
      <c r="AN909" s="4" t="s">
        <v>127</v>
      </c>
      <c r="AO909" s="4" t="s">
        <v>55</v>
      </c>
      <c r="AP909" s="4">
        <v>43810.0</v>
      </c>
      <c r="AQ909" s="4">
        <v>77850.0</v>
      </c>
      <c r="AR909" s="4">
        <v>194700.0</v>
      </c>
      <c r="AS909" s="4">
        <v>116850.0</v>
      </c>
      <c r="AT909" s="4">
        <v>42.0</v>
      </c>
      <c r="AU909" s="4">
        <v>8177400.0</v>
      </c>
      <c r="AV909" s="4">
        <v>0.05</v>
      </c>
      <c r="AW909" s="4">
        <v>408870.0</v>
      </c>
      <c r="AX909" s="4">
        <v>7768530.0</v>
      </c>
      <c r="AY909" s="4">
        <v>3269700.0</v>
      </c>
      <c r="AZ909" s="4">
        <v>4498830.0</v>
      </c>
    </row>
    <row r="910" ht="15.75" customHeight="1">
      <c r="A910" s="3" t="s">
        <v>2688</v>
      </c>
      <c r="B910" s="5">
        <v>43813.0</v>
      </c>
      <c r="C910" s="6">
        <f t="shared" si="1"/>
        <v>2019</v>
      </c>
      <c r="D910" s="7" t="s">
        <v>2592</v>
      </c>
      <c r="E910" s="7" t="s">
        <v>1601</v>
      </c>
      <c r="F910" s="7" t="s">
        <v>50</v>
      </c>
      <c r="G910" s="5" t="s">
        <v>68</v>
      </c>
      <c r="H910" s="7" t="s">
        <v>344</v>
      </c>
      <c r="I910" s="7" t="s">
        <v>53</v>
      </c>
      <c r="J910" s="7" t="s">
        <v>627</v>
      </c>
      <c r="K910" s="7" t="s">
        <v>36</v>
      </c>
      <c r="L910" s="7" t="s">
        <v>45</v>
      </c>
      <c r="M910" s="7" t="s">
        <v>38</v>
      </c>
      <c r="N910" s="5">
        <v>43815.0</v>
      </c>
      <c r="O910" s="8">
        <v>49800.0</v>
      </c>
      <c r="P910" s="8">
        <v>77700.0</v>
      </c>
      <c r="Q910" s="8">
        <f t="shared" si="2"/>
        <v>27900</v>
      </c>
      <c r="R910" s="8">
        <v>32.0</v>
      </c>
      <c r="S910" s="8">
        <f t="shared" si="3"/>
        <v>2486400</v>
      </c>
      <c r="T910" s="9">
        <v>0.06</v>
      </c>
      <c r="U910" s="8">
        <f t="shared" si="4"/>
        <v>149184</v>
      </c>
      <c r="V910" s="8">
        <f t="shared" si="5"/>
        <v>2337216</v>
      </c>
      <c r="W910" s="10">
        <f t="shared" si="6"/>
        <v>1593600</v>
      </c>
      <c r="X910" s="10">
        <f t="shared" si="7"/>
        <v>743616</v>
      </c>
      <c r="Y910" s="10"/>
      <c r="Z910" s="10"/>
      <c r="AA910" s="10"/>
      <c r="AB910" s="4" t="s">
        <v>2689</v>
      </c>
      <c r="AC910" s="4" t="s">
        <v>2688</v>
      </c>
      <c r="AD910" s="4">
        <v>43813.0</v>
      </c>
      <c r="AE910" s="4">
        <v>2019.0</v>
      </c>
      <c r="AF910" s="4" t="s">
        <v>2592</v>
      </c>
      <c r="AG910" s="4" t="s">
        <v>1601</v>
      </c>
      <c r="AH910" s="4" t="s">
        <v>50</v>
      </c>
      <c r="AI910" s="4" t="s">
        <v>68</v>
      </c>
      <c r="AJ910" s="4" t="s">
        <v>344</v>
      </c>
      <c r="AK910" s="4" t="s">
        <v>53</v>
      </c>
      <c r="AL910" s="4" t="s">
        <v>627</v>
      </c>
      <c r="AM910" s="4" t="s">
        <v>36</v>
      </c>
      <c r="AN910" s="4" t="s">
        <v>45</v>
      </c>
      <c r="AO910" s="4" t="s">
        <v>38</v>
      </c>
      <c r="AP910" s="4">
        <v>43815.0</v>
      </c>
      <c r="AQ910" s="4">
        <v>49800.0</v>
      </c>
      <c r="AR910" s="4">
        <v>77700.0</v>
      </c>
      <c r="AS910" s="4">
        <v>27900.0</v>
      </c>
      <c r="AT910" s="4">
        <v>32.0</v>
      </c>
      <c r="AU910" s="4">
        <v>2486400.0</v>
      </c>
      <c r="AV910" s="4">
        <v>0.06</v>
      </c>
      <c r="AW910" s="4">
        <v>149184.0</v>
      </c>
      <c r="AX910" s="4">
        <v>2337216.0</v>
      </c>
      <c r="AY910" s="4">
        <v>1593600.0</v>
      </c>
      <c r="AZ910" s="4">
        <v>743616.0</v>
      </c>
    </row>
    <row r="911" ht="15.75" customHeight="1">
      <c r="A911" s="3" t="s">
        <v>2690</v>
      </c>
      <c r="B911" s="5">
        <v>43816.0</v>
      </c>
      <c r="C911" s="6">
        <f t="shared" si="1"/>
        <v>2019</v>
      </c>
      <c r="D911" s="7" t="s">
        <v>2691</v>
      </c>
      <c r="E911" s="7" t="s">
        <v>795</v>
      </c>
      <c r="F911" s="7" t="s">
        <v>50</v>
      </c>
      <c r="G911" s="5" t="s">
        <v>51</v>
      </c>
      <c r="H911" s="7" t="s">
        <v>344</v>
      </c>
      <c r="I911" s="7" t="s">
        <v>92</v>
      </c>
      <c r="J911" s="7" t="s">
        <v>204</v>
      </c>
      <c r="K911" s="7" t="s">
        <v>61</v>
      </c>
      <c r="L911" s="7" t="s">
        <v>37</v>
      </c>
      <c r="M911" s="7" t="s">
        <v>38</v>
      </c>
      <c r="N911" s="5">
        <v>43818.0</v>
      </c>
      <c r="O911" s="8">
        <v>151050.0</v>
      </c>
      <c r="P911" s="8">
        <v>239700.0</v>
      </c>
      <c r="Q911" s="8">
        <f t="shared" si="2"/>
        <v>88650</v>
      </c>
      <c r="R911" s="8">
        <v>30.0</v>
      </c>
      <c r="S911" s="8">
        <f t="shared" si="3"/>
        <v>7191000</v>
      </c>
      <c r="T911" s="9">
        <v>0.08</v>
      </c>
      <c r="U911" s="8">
        <f t="shared" si="4"/>
        <v>575280</v>
      </c>
      <c r="V911" s="8">
        <f t="shared" si="5"/>
        <v>6615720</v>
      </c>
      <c r="W911" s="10">
        <f t="shared" si="6"/>
        <v>4531500</v>
      </c>
      <c r="X911" s="10">
        <f t="shared" si="7"/>
        <v>2084220</v>
      </c>
      <c r="Y911" s="10"/>
      <c r="Z911" s="10"/>
      <c r="AA911" s="10"/>
      <c r="AB911" s="4" t="s">
        <v>2692</v>
      </c>
      <c r="AC911" s="4" t="s">
        <v>2690</v>
      </c>
      <c r="AD911" s="4">
        <v>43816.0</v>
      </c>
      <c r="AE911" s="4">
        <v>2019.0</v>
      </c>
      <c r="AF911" s="4" t="s">
        <v>2691</v>
      </c>
      <c r="AG911" s="4" t="s">
        <v>795</v>
      </c>
      <c r="AH911" s="4" t="s">
        <v>50</v>
      </c>
      <c r="AI911" s="4" t="s">
        <v>51</v>
      </c>
      <c r="AJ911" s="4" t="s">
        <v>344</v>
      </c>
      <c r="AK911" s="4" t="s">
        <v>92</v>
      </c>
      <c r="AL911" s="4" t="s">
        <v>204</v>
      </c>
      <c r="AM911" s="4" t="s">
        <v>61</v>
      </c>
      <c r="AN911" s="4" t="s">
        <v>37</v>
      </c>
      <c r="AO911" s="4" t="s">
        <v>38</v>
      </c>
      <c r="AP911" s="4">
        <v>43818.0</v>
      </c>
      <c r="AQ911" s="4">
        <v>151050.0</v>
      </c>
      <c r="AR911" s="4">
        <v>239700.0</v>
      </c>
      <c r="AS911" s="4">
        <v>88650.0</v>
      </c>
      <c r="AT911" s="4">
        <v>30.0</v>
      </c>
      <c r="AU911" s="4">
        <v>7191000.0</v>
      </c>
      <c r="AV911" s="4">
        <v>0.08</v>
      </c>
      <c r="AW911" s="4">
        <v>575280.0</v>
      </c>
      <c r="AX911" s="4">
        <v>6615720.0</v>
      </c>
      <c r="AY911" s="4">
        <v>4531500.0</v>
      </c>
      <c r="AZ911" s="4">
        <v>2084220.0</v>
      </c>
    </row>
    <row r="912" ht="15.75" customHeight="1">
      <c r="A912" s="3" t="s">
        <v>2693</v>
      </c>
      <c r="B912" s="5">
        <v>43817.0</v>
      </c>
      <c r="C912" s="6">
        <f t="shared" si="1"/>
        <v>2019</v>
      </c>
      <c r="D912" s="7" t="s">
        <v>2694</v>
      </c>
      <c r="E912" s="7" t="s">
        <v>1312</v>
      </c>
      <c r="F912" s="7" t="s">
        <v>50</v>
      </c>
      <c r="G912" s="5" t="s">
        <v>91</v>
      </c>
      <c r="H912" s="7" t="s">
        <v>200</v>
      </c>
      <c r="I912" s="7" t="s">
        <v>104</v>
      </c>
      <c r="J912" s="7" t="s">
        <v>303</v>
      </c>
      <c r="K912" s="7" t="s">
        <v>36</v>
      </c>
      <c r="L912" s="7" t="s">
        <v>37</v>
      </c>
      <c r="M912" s="7" t="s">
        <v>38</v>
      </c>
      <c r="N912" s="5">
        <v>43820.0</v>
      </c>
      <c r="O912" s="8">
        <v>57600.0</v>
      </c>
      <c r="P912" s="8">
        <v>94500.0</v>
      </c>
      <c r="Q912" s="8">
        <f t="shared" si="2"/>
        <v>36900</v>
      </c>
      <c r="R912" s="8">
        <v>40.0</v>
      </c>
      <c r="S912" s="8">
        <f t="shared" si="3"/>
        <v>3780000</v>
      </c>
      <c r="T912" s="9">
        <v>0.04</v>
      </c>
      <c r="U912" s="8">
        <f t="shared" si="4"/>
        <v>151200</v>
      </c>
      <c r="V912" s="8">
        <f t="shared" si="5"/>
        <v>3628800</v>
      </c>
      <c r="W912" s="10">
        <f t="shared" si="6"/>
        <v>2304000</v>
      </c>
      <c r="X912" s="10">
        <f t="shared" si="7"/>
        <v>1324800</v>
      </c>
      <c r="Y912" s="10"/>
      <c r="Z912" s="10"/>
      <c r="AA912" s="10"/>
      <c r="AB912" s="4" t="s">
        <v>2695</v>
      </c>
      <c r="AC912" s="4" t="s">
        <v>2693</v>
      </c>
      <c r="AD912" s="4">
        <v>43817.0</v>
      </c>
      <c r="AE912" s="4">
        <v>2019.0</v>
      </c>
      <c r="AF912" s="4" t="s">
        <v>2694</v>
      </c>
      <c r="AG912" s="4" t="s">
        <v>1312</v>
      </c>
      <c r="AH912" s="4" t="s">
        <v>50</v>
      </c>
      <c r="AI912" s="4" t="s">
        <v>91</v>
      </c>
      <c r="AJ912" s="4" t="s">
        <v>200</v>
      </c>
      <c r="AK912" s="4" t="s">
        <v>104</v>
      </c>
      <c r="AL912" s="4" t="s">
        <v>303</v>
      </c>
      <c r="AM912" s="4" t="s">
        <v>36</v>
      </c>
      <c r="AN912" s="4" t="s">
        <v>37</v>
      </c>
      <c r="AO912" s="4" t="s">
        <v>38</v>
      </c>
      <c r="AP912" s="4">
        <v>43820.0</v>
      </c>
      <c r="AQ912" s="4">
        <v>57600.0</v>
      </c>
      <c r="AR912" s="4">
        <v>94500.0</v>
      </c>
      <c r="AS912" s="4">
        <v>36900.0</v>
      </c>
      <c r="AT912" s="4">
        <v>40.0</v>
      </c>
      <c r="AU912" s="4">
        <v>3780000.0</v>
      </c>
      <c r="AV912" s="4">
        <v>0.04</v>
      </c>
      <c r="AW912" s="4">
        <v>151200.0</v>
      </c>
      <c r="AX912" s="4">
        <v>3628800.0</v>
      </c>
      <c r="AY912" s="4">
        <v>2304000.0</v>
      </c>
      <c r="AZ912" s="4">
        <v>1324800.0</v>
      </c>
    </row>
    <row r="913" ht="15.75" customHeight="1">
      <c r="A913" s="3" t="s">
        <v>2696</v>
      </c>
      <c r="B913" s="5">
        <v>43818.0</v>
      </c>
      <c r="C913" s="6">
        <f t="shared" si="1"/>
        <v>2019</v>
      </c>
      <c r="D913" s="7" t="s">
        <v>760</v>
      </c>
      <c r="E913" s="7" t="s">
        <v>738</v>
      </c>
      <c r="F913" s="7" t="s">
        <v>50</v>
      </c>
      <c r="G913" s="5" t="s">
        <v>68</v>
      </c>
      <c r="H913" s="7" t="s">
        <v>200</v>
      </c>
      <c r="I913" s="7" t="s">
        <v>104</v>
      </c>
      <c r="J913" s="7" t="s">
        <v>903</v>
      </c>
      <c r="K913" s="7" t="s">
        <v>36</v>
      </c>
      <c r="L913" s="7" t="s">
        <v>45</v>
      </c>
      <c r="M913" s="7" t="s">
        <v>38</v>
      </c>
      <c r="N913" s="5">
        <v>43820.0</v>
      </c>
      <c r="O913" s="8">
        <v>34650.0</v>
      </c>
      <c r="P913" s="8">
        <v>56700.0</v>
      </c>
      <c r="Q913" s="8">
        <f t="shared" si="2"/>
        <v>22050</v>
      </c>
      <c r="R913" s="8">
        <v>38.0</v>
      </c>
      <c r="S913" s="8">
        <f t="shared" si="3"/>
        <v>2154600</v>
      </c>
      <c r="T913" s="9">
        <v>0.03</v>
      </c>
      <c r="U913" s="8">
        <f t="shared" si="4"/>
        <v>64638</v>
      </c>
      <c r="V913" s="8">
        <f t="shared" si="5"/>
        <v>2089962</v>
      </c>
      <c r="W913" s="10">
        <f t="shared" si="6"/>
        <v>1316700</v>
      </c>
      <c r="X913" s="10">
        <f t="shared" si="7"/>
        <v>773262</v>
      </c>
      <c r="Y913" s="10"/>
      <c r="Z913" s="10"/>
      <c r="AA913" s="10"/>
      <c r="AB913" s="4" t="s">
        <v>2697</v>
      </c>
      <c r="AC913" s="4" t="s">
        <v>2696</v>
      </c>
      <c r="AD913" s="4">
        <v>43818.0</v>
      </c>
      <c r="AE913" s="4">
        <v>2019.0</v>
      </c>
      <c r="AF913" s="4" t="s">
        <v>760</v>
      </c>
      <c r="AG913" s="4" t="s">
        <v>738</v>
      </c>
      <c r="AH913" s="4" t="s">
        <v>50</v>
      </c>
      <c r="AI913" s="4" t="s">
        <v>68</v>
      </c>
      <c r="AJ913" s="4" t="s">
        <v>200</v>
      </c>
      <c r="AK913" s="4" t="s">
        <v>104</v>
      </c>
      <c r="AL913" s="4" t="s">
        <v>903</v>
      </c>
      <c r="AM913" s="4" t="s">
        <v>36</v>
      </c>
      <c r="AN913" s="4" t="s">
        <v>45</v>
      </c>
      <c r="AO913" s="4" t="s">
        <v>38</v>
      </c>
      <c r="AP913" s="4">
        <v>43820.0</v>
      </c>
      <c r="AQ913" s="4">
        <v>34650.0</v>
      </c>
      <c r="AR913" s="4">
        <v>56700.0</v>
      </c>
      <c r="AS913" s="4">
        <v>22050.0</v>
      </c>
      <c r="AT913" s="4">
        <v>38.0</v>
      </c>
      <c r="AU913" s="4">
        <v>2154600.0</v>
      </c>
      <c r="AV913" s="4">
        <v>0.03</v>
      </c>
      <c r="AW913" s="4">
        <v>64638.0</v>
      </c>
      <c r="AX913" s="4">
        <v>2089962.0</v>
      </c>
      <c r="AY913" s="4">
        <v>1316700.0</v>
      </c>
      <c r="AZ913" s="4">
        <v>773262.0</v>
      </c>
    </row>
    <row r="914" ht="15.75" customHeight="1">
      <c r="A914" s="3" t="s">
        <v>2698</v>
      </c>
      <c r="B914" s="5">
        <v>43819.0</v>
      </c>
      <c r="C914" s="6">
        <f t="shared" si="1"/>
        <v>2019</v>
      </c>
      <c r="D914" s="7" t="s">
        <v>945</v>
      </c>
      <c r="E914" s="7" t="s">
        <v>667</v>
      </c>
      <c r="F914" s="7" t="s">
        <v>50</v>
      </c>
      <c r="G914" s="5" t="s">
        <v>32</v>
      </c>
      <c r="H914" s="7" t="s">
        <v>140</v>
      </c>
      <c r="I914" s="7" t="s">
        <v>104</v>
      </c>
      <c r="J914" s="7" t="s">
        <v>717</v>
      </c>
      <c r="K914" s="7" t="s">
        <v>61</v>
      </c>
      <c r="L914" s="7" t="s">
        <v>37</v>
      </c>
      <c r="M914" s="7" t="s">
        <v>55</v>
      </c>
      <c r="N914" s="5">
        <v>43821.0</v>
      </c>
      <c r="O914" s="8">
        <v>936000.0</v>
      </c>
      <c r="P914" s="8">
        <v>2339850.0</v>
      </c>
      <c r="Q914" s="8">
        <f t="shared" si="2"/>
        <v>1403850</v>
      </c>
      <c r="R914" s="8">
        <v>22.0</v>
      </c>
      <c r="S914" s="8">
        <f t="shared" si="3"/>
        <v>51476700</v>
      </c>
      <c r="T914" s="9">
        <v>0.02</v>
      </c>
      <c r="U914" s="8">
        <f t="shared" si="4"/>
        <v>1029534</v>
      </c>
      <c r="V914" s="8">
        <f t="shared" si="5"/>
        <v>50447166</v>
      </c>
      <c r="W914" s="10">
        <f t="shared" si="6"/>
        <v>20592000</v>
      </c>
      <c r="X914" s="10">
        <f t="shared" si="7"/>
        <v>29855166</v>
      </c>
      <c r="Y914" s="10"/>
      <c r="Z914" s="10"/>
      <c r="AA914" s="10"/>
      <c r="AB914" s="4" t="s">
        <v>2699</v>
      </c>
      <c r="AC914" s="4" t="s">
        <v>2698</v>
      </c>
      <c r="AD914" s="4">
        <v>43819.0</v>
      </c>
      <c r="AE914" s="4">
        <v>2019.0</v>
      </c>
      <c r="AF914" s="4" t="s">
        <v>945</v>
      </c>
      <c r="AG914" s="4" t="s">
        <v>667</v>
      </c>
      <c r="AH914" s="4" t="s">
        <v>50</v>
      </c>
      <c r="AI914" s="4" t="s">
        <v>32</v>
      </c>
      <c r="AJ914" s="4" t="s">
        <v>140</v>
      </c>
      <c r="AK914" s="4" t="s">
        <v>104</v>
      </c>
      <c r="AL914" s="4" t="s">
        <v>717</v>
      </c>
      <c r="AM914" s="4" t="s">
        <v>61</v>
      </c>
      <c r="AN914" s="4" t="s">
        <v>37</v>
      </c>
      <c r="AO914" s="4" t="s">
        <v>55</v>
      </c>
      <c r="AP914" s="4">
        <v>43821.0</v>
      </c>
      <c r="AQ914" s="4">
        <v>936000.0</v>
      </c>
      <c r="AR914" s="4">
        <v>2339850.0</v>
      </c>
      <c r="AS914" s="4">
        <v>1403850.0</v>
      </c>
      <c r="AT914" s="4">
        <v>22.0</v>
      </c>
      <c r="AU914" s="4">
        <v>5.14767E7</v>
      </c>
      <c r="AV914" s="4">
        <v>0.02</v>
      </c>
      <c r="AW914" s="4">
        <v>1029534.0</v>
      </c>
      <c r="AX914" s="4">
        <v>5.0447166E7</v>
      </c>
      <c r="AY914" s="4">
        <v>2.0592E7</v>
      </c>
      <c r="AZ914" s="4">
        <v>2.9855166E7</v>
      </c>
    </row>
    <row r="915" ht="15.75" customHeight="1">
      <c r="A915" s="2" t="s">
        <v>2700</v>
      </c>
      <c r="B915" s="5">
        <v>43819.0</v>
      </c>
      <c r="C915" s="6">
        <f t="shared" si="1"/>
        <v>2019</v>
      </c>
      <c r="D915" s="7" t="s">
        <v>330</v>
      </c>
      <c r="E915" s="7" t="s">
        <v>139</v>
      </c>
      <c r="F915" s="7" t="s">
        <v>50</v>
      </c>
      <c r="G915" s="5" t="s">
        <v>91</v>
      </c>
      <c r="H915" s="7" t="s">
        <v>140</v>
      </c>
      <c r="I915" s="7" t="s">
        <v>34</v>
      </c>
      <c r="J915" s="7" t="s">
        <v>863</v>
      </c>
      <c r="K915" s="7" t="s">
        <v>36</v>
      </c>
      <c r="L915" s="7" t="s">
        <v>45</v>
      </c>
      <c r="M915" s="7" t="s">
        <v>38</v>
      </c>
      <c r="N915" s="5">
        <v>43821.0</v>
      </c>
      <c r="O915" s="8">
        <v>28800.0</v>
      </c>
      <c r="P915" s="8">
        <v>48900.0</v>
      </c>
      <c r="Q915" s="8">
        <f t="shared" si="2"/>
        <v>20100</v>
      </c>
      <c r="R915" s="8">
        <v>38.0</v>
      </c>
      <c r="S915" s="8">
        <f t="shared" si="3"/>
        <v>1858200</v>
      </c>
      <c r="T915" s="9">
        <v>0.02</v>
      </c>
      <c r="U915" s="8">
        <f t="shared" si="4"/>
        <v>37164</v>
      </c>
      <c r="V915" s="8">
        <f t="shared" si="5"/>
        <v>1821036</v>
      </c>
      <c r="W915" s="10">
        <f t="shared" si="6"/>
        <v>1094400</v>
      </c>
      <c r="X915" s="10">
        <f t="shared" si="7"/>
        <v>726636</v>
      </c>
      <c r="Y915" s="10"/>
      <c r="Z915" s="10"/>
      <c r="AA915" s="10"/>
      <c r="AB915" s="4" t="s">
        <v>2701</v>
      </c>
      <c r="AC915" s="4" t="s">
        <v>2700</v>
      </c>
      <c r="AD915" s="4">
        <v>43819.0</v>
      </c>
      <c r="AE915" s="4">
        <v>2019.0</v>
      </c>
      <c r="AF915" s="4" t="s">
        <v>330</v>
      </c>
      <c r="AG915" s="4" t="s">
        <v>139</v>
      </c>
      <c r="AH915" s="4" t="s">
        <v>50</v>
      </c>
      <c r="AI915" s="4" t="s">
        <v>91</v>
      </c>
      <c r="AJ915" s="4" t="s">
        <v>140</v>
      </c>
      <c r="AK915" s="4" t="s">
        <v>34</v>
      </c>
      <c r="AL915" s="4" t="s">
        <v>863</v>
      </c>
      <c r="AM915" s="4" t="s">
        <v>36</v>
      </c>
      <c r="AN915" s="4" t="s">
        <v>45</v>
      </c>
      <c r="AO915" s="4" t="s">
        <v>38</v>
      </c>
      <c r="AP915" s="4">
        <v>43821.0</v>
      </c>
      <c r="AQ915" s="4">
        <v>28800.0</v>
      </c>
      <c r="AR915" s="4">
        <v>48900.0</v>
      </c>
      <c r="AS915" s="4">
        <v>20100.0</v>
      </c>
      <c r="AT915" s="4">
        <v>38.0</v>
      </c>
      <c r="AU915" s="4">
        <v>1858200.0</v>
      </c>
      <c r="AV915" s="4">
        <v>0.02</v>
      </c>
      <c r="AW915" s="4">
        <v>37164.0</v>
      </c>
      <c r="AX915" s="4">
        <v>1821036.0</v>
      </c>
      <c r="AY915" s="4">
        <v>1094400.0</v>
      </c>
      <c r="AZ915" s="4">
        <v>726636.0</v>
      </c>
    </row>
    <row r="916" ht="15.75" customHeight="1">
      <c r="A916" s="3" t="s">
        <v>2702</v>
      </c>
      <c r="B916" s="5">
        <v>43826.0</v>
      </c>
      <c r="C916" s="6">
        <f t="shared" si="1"/>
        <v>2019</v>
      </c>
      <c r="D916" s="7" t="s">
        <v>138</v>
      </c>
      <c r="E916" s="7" t="s">
        <v>139</v>
      </c>
      <c r="F916" s="7" t="s">
        <v>50</v>
      </c>
      <c r="G916" s="5" t="s">
        <v>91</v>
      </c>
      <c r="H916" s="7" t="s">
        <v>140</v>
      </c>
      <c r="I916" s="7" t="s">
        <v>74</v>
      </c>
      <c r="J916" s="7" t="s">
        <v>1351</v>
      </c>
      <c r="K916" s="7" t="s">
        <v>36</v>
      </c>
      <c r="L916" s="7" t="s">
        <v>37</v>
      </c>
      <c r="M916" s="7" t="s">
        <v>55</v>
      </c>
      <c r="N916" s="5">
        <v>43833.0</v>
      </c>
      <c r="O916" s="8">
        <v>60450.00000000001</v>
      </c>
      <c r="P916" s="8">
        <v>140700.0</v>
      </c>
      <c r="Q916" s="8">
        <f t="shared" si="2"/>
        <v>80250</v>
      </c>
      <c r="R916" s="8">
        <v>46.0</v>
      </c>
      <c r="S916" s="8">
        <f t="shared" si="3"/>
        <v>6472200</v>
      </c>
      <c r="T916" s="9">
        <v>0.09</v>
      </c>
      <c r="U916" s="8">
        <f t="shared" si="4"/>
        <v>582498</v>
      </c>
      <c r="V916" s="8">
        <f t="shared" si="5"/>
        <v>5889702</v>
      </c>
      <c r="W916" s="10">
        <f t="shared" si="6"/>
        <v>2780700</v>
      </c>
      <c r="X916" s="10">
        <f t="shared" si="7"/>
        <v>3109002</v>
      </c>
      <c r="Y916" s="10"/>
      <c r="Z916" s="10"/>
      <c r="AA916" s="10"/>
      <c r="AB916" s="4" t="s">
        <v>2703</v>
      </c>
      <c r="AC916" s="4" t="s">
        <v>2702</v>
      </c>
      <c r="AD916" s="4">
        <v>43826.0</v>
      </c>
      <c r="AE916" s="4">
        <v>2019.0</v>
      </c>
      <c r="AF916" s="4" t="s">
        <v>138</v>
      </c>
      <c r="AG916" s="4" t="s">
        <v>139</v>
      </c>
      <c r="AH916" s="4" t="s">
        <v>50</v>
      </c>
      <c r="AI916" s="4" t="s">
        <v>91</v>
      </c>
      <c r="AJ916" s="4" t="s">
        <v>140</v>
      </c>
      <c r="AK916" s="4" t="s">
        <v>74</v>
      </c>
      <c r="AL916" s="4" t="s">
        <v>1351</v>
      </c>
      <c r="AM916" s="4" t="s">
        <v>36</v>
      </c>
      <c r="AN916" s="4" t="s">
        <v>37</v>
      </c>
      <c r="AO916" s="4" t="s">
        <v>55</v>
      </c>
      <c r="AP916" s="4">
        <v>43833.0</v>
      </c>
      <c r="AQ916" s="4">
        <v>60450.0</v>
      </c>
      <c r="AR916" s="4">
        <v>140700.0</v>
      </c>
      <c r="AS916" s="4">
        <v>80250.0</v>
      </c>
      <c r="AT916" s="4">
        <v>46.0</v>
      </c>
      <c r="AU916" s="4">
        <v>6472200.0</v>
      </c>
      <c r="AV916" s="4">
        <v>0.09</v>
      </c>
      <c r="AW916" s="4">
        <v>582498.0</v>
      </c>
      <c r="AX916" s="4">
        <v>5889702.0</v>
      </c>
      <c r="AY916" s="4">
        <v>2780700.0</v>
      </c>
      <c r="AZ916" s="4">
        <v>3109002.0</v>
      </c>
    </row>
    <row r="917" ht="15.75" customHeight="1">
      <c r="A917" s="3" t="s">
        <v>2704</v>
      </c>
      <c r="B917" s="5">
        <v>43827.0</v>
      </c>
      <c r="C917" s="6">
        <f t="shared" si="1"/>
        <v>2019</v>
      </c>
      <c r="D917" s="7" t="s">
        <v>2705</v>
      </c>
      <c r="E917" s="7" t="s">
        <v>30</v>
      </c>
      <c r="F917" s="7" t="s">
        <v>31</v>
      </c>
      <c r="G917" s="5" t="s">
        <v>32</v>
      </c>
      <c r="H917" s="7" t="s">
        <v>33</v>
      </c>
      <c r="I917" s="7" t="s">
        <v>34</v>
      </c>
      <c r="J917" s="7" t="s">
        <v>796</v>
      </c>
      <c r="K917" s="7" t="s">
        <v>36</v>
      </c>
      <c r="L917" s="7" t="s">
        <v>45</v>
      </c>
      <c r="M917" s="7" t="s">
        <v>38</v>
      </c>
      <c r="N917" s="5">
        <v>43829.0</v>
      </c>
      <c r="O917" s="8">
        <v>26400.0</v>
      </c>
      <c r="P917" s="8">
        <v>44100.0</v>
      </c>
      <c r="Q917" s="8">
        <f t="shared" si="2"/>
        <v>17700</v>
      </c>
      <c r="R917" s="8">
        <v>26.0</v>
      </c>
      <c r="S917" s="8">
        <f t="shared" si="3"/>
        <v>1146600</v>
      </c>
      <c r="T917" s="9">
        <v>0.03</v>
      </c>
      <c r="U917" s="8">
        <f t="shared" si="4"/>
        <v>34398</v>
      </c>
      <c r="V917" s="8">
        <f t="shared" si="5"/>
        <v>1112202</v>
      </c>
      <c r="W917" s="10">
        <f t="shared" si="6"/>
        <v>686400</v>
      </c>
      <c r="X917" s="10">
        <f t="shared" si="7"/>
        <v>425802</v>
      </c>
      <c r="Y917" s="10"/>
      <c r="Z917" s="10"/>
      <c r="AA917" s="10"/>
      <c r="AB917" s="4" t="s">
        <v>2706</v>
      </c>
      <c r="AC917" s="4" t="s">
        <v>2704</v>
      </c>
      <c r="AD917" s="4">
        <v>43827.0</v>
      </c>
      <c r="AE917" s="4">
        <v>2019.0</v>
      </c>
      <c r="AF917" s="4" t="s">
        <v>2705</v>
      </c>
      <c r="AG917" s="4" t="s">
        <v>30</v>
      </c>
      <c r="AH917" s="4" t="s">
        <v>31</v>
      </c>
      <c r="AI917" s="4" t="s">
        <v>32</v>
      </c>
      <c r="AJ917" s="4" t="s">
        <v>33</v>
      </c>
      <c r="AK917" s="4" t="s">
        <v>34</v>
      </c>
      <c r="AL917" s="4" t="s">
        <v>796</v>
      </c>
      <c r="AM917" s="4" t="s">
        <v>36</v>
      </c>
      <c r="AN917" s="4" t="s">
        <v>45</v>
      </c>
      <c r="AO917" s="4" t="s">
        <v>38</v>
      </c>
      <c r="AP917" s="4">
        <v>43829.0</v>
      </c>
      <c r="AQ917" s="4">
        <v>26400.0</v>
      </c>
      <c r="AR917" s="4">
        <v>44100.0</v>
      </c>
      <c r="AS917" s="4">
        <v>17700.0</v>
      </c>
      <c r="AT917" s="4">
        <v>26.0</v>
      </c>
      <c r="AU917" s="4">
        <v>1146600.0</v>
      </c>
      <c r="AV917" s="4">
        <v>0.03</v>
      </c>
      <c r="AW917" s="4">
        <v>34398.0</v>
      </c>
      <c r="AX917" s="4">
        <v>1112202.0</v>
      </c>
      <c r="AY917" s="4">
        <v>686400.0</v>
      </c>
      <c r="AZ917" s="4">
        <v>425802.0</v>
      </c>
    </row>
    <row r="918" ht="15.75" customHeight="1">
      <c r="A918" s="3" t="s">
        <v>2707</v>
      </c>
      <c r="B918" s="5">
        <v>43828.0</v>
      </c>
      <c r="C918" s="6">
        <f t="shared" si="1"/>
        <v>2019</v>
      </c>
      <c r="D918" s="7" t="s">
        <v>965</v>
      </c>
      <c r="E918" s="7" t="s">
        <v>550</v>
      </c>
      <c r="F918" s="7" t="s">
        <v>50</v>
      </c>
      <c r="G918" s="5" t="s">
        <v>91</v>
      </c>
      <c r="H918" s="7" t="s">
        <v>151</v>
      </c>
      <c r="I918" s="7" t="s">
        <v>34</v>
      </c>
      <c r="J918" s="7" t="s">
        <v>931</v>
      </c>
      <c r="K918" s="7" t="s">
        <v>61</v>
      </c>
      <c r="L918" s="7" t="s">
        <v>62</v>
      </c>
      <c r="M918" s="7" t="s">
        <v>63</v>
      </c>
      <c r="N918" s="5">
        <v>43829.0</v>
      </c>
      <c r="O918" s="8">
        <v>3294150.0</v>
      </c>
      <c r="P918" s="8">
        <v>8034600.0</v>
      </c>
      <c r="Q918" s="8">
        <f t="shared" si="2"/>
        <v>4740450</v>
      </c>
      <c r="R918" s="8">
        <v>44.0</v>
      </c>
      <c r="S918" s="8">
        <f t="shared" si="3"/>
        <v>353522400</v>
      </c>
      <c r="T918" s="9">
        <v>0.03</v>
      </c>
      <c r="U918" s="8">
        <f t="shared" si="4"/>
        <v>10605672</v>
      </c>
      <c r="V918" s="8">
        <f t="shared" si="5"/>
        <v>342916728</v>
      </c>
      <c r="W918" s="10">
        <f t="shared" si="6"/>
        <v>144942600</v>
      </c>
      <c r="X918" s="10">
        <f t="shared" si="7"/>
        <v>197974128</v>
      </c>
      <c r="Y918" s="10"/>
      <c r="Z918" s="10"/>
      <c r="AA918" s="10"/>
      <c r="AB918" s="4" t="s">
        <v>2708</v>
      </c>
      <c r="AC918" s="4" t="s">
        <v>2707</v>
      </c>
      <c r="AD918" s="4">
        <v>43828.0</v>
      </c>
      <c r="AE918" s="4">
        <v>2019.0</v>
      </c>
      <c r="AF918" s="4" t="s">
        <v>965</v>
      </c>
      <c r="AG918" s="4" t="s">
        <v>550</v>
      </c>
      <c r="AH918" s="4" t="s">
        <v>50</v>
      </c>
      <c r="AI918" s="4" t="s">
        <v>91</v>
      </c>
      <c r="AJ918" s="4" t="s">
        <v>151</v>
      </c>
      <c r="AK918" s="4" t="s">
        <v>34</v>
      </c>
      <c r="AL918" s="4" t="s">
        <v>931</v>
      </c>
      <c r="AM918" s="4" t="s">
        <v>61</v>
      </c>
      <c r="AN918" s="4" t="s">
        <v>62</v>
      </c>
      <c r="AO918" s="4" t="s">
        <v>63</v>
      </c>
      <c r="AP918" s="4">
        <v>43829.0</v>
      </c>
      <c r="AQ918" s="4">
        <v>3294150.0</v>
      </c>
      <c r="AR918" s="4">
        <v>8034600.0</v>
      </c>
      <c r="AS918" s="4">
        <v>4740450.0</v>
      </c>
      <c r="AT918" s="4">
        <v>44.0</v>
      </c>
      <c r="AU918" s="4">
        <v>3.535224E8</v>
      </c>
      <c r="AV918" s="4">
        <v>0.03</v>
      </c>
      <c r="AW918" s="4">
        <v>1.0605672E7</v>
      </c>
      <c r="AX918" s="4">
        <v>3.42916728E8</v>
      </c>
      <c r="AY918" s="4">
        <v>1.449426E8</v>
      </c>
      <c r="AZ918" s="4">
        <v>1.97974128E8</v>
      </c>
    </row>
    <row r="919" ht="15.75" customHeight="1">
      <c r="A919" s="3" t="s">
        <v>2709</v>
      </c>
      <c r="B919" s="5">
        <v>43830.0</v>
      </c>
      <c r="C919" s="6">
        <f t="shared" si="1"/>
        <v>2019</v>
      </c>
      <c r="D919" s="7" t="s">
        <v>1416</v>
      </c>
      <c r="E919" s="7" t="s">
        <v>432</v>
      </c>
      <c r="F919" s="7" t="s">
        <v>50</v>
      </c>
      <c r="G919" s="5" t="s">
        <v>32</v>
      </c>
      <c r="H919" s="7" t="s">
        <v>140</v>
      </c>
      <c r="I919" s="7" t="s">
        <v>74</v>
      </c>
      <c r="J919" s="7" t="s">
        <v>190</v>
      </c>
      <c r="K919" s="7" t="s">
        <v>61</v>
      </c>
      <c r="L919" s="7" t="s">
        <v>37</v>
      </c>
      <c r="M919" s="7" t="s">
        <v>38</v>
      </c>
      <c r="N919" s="5">
        <v>43832.0</v>
      </c>
      <c r="O919" s="8">
        <v>95850.0</v>
      </c>
      <c r="P919" s="8">
        <v>299700.0</v>
      </c>
      <c r="Q919" s="8">
        <f t="shared" si="2"/>
        <v>203850</v>
      </c>
      <c r="R919" s="8">
        <v>44.0</v>
      </c>
      <c r="S919" s="8">
        <f t="shared" si="3"/>
        <v>13186800</v>
      </c>
      <c r="T919" s="9">
        <v>0.03</v>
      </c>
      <c r="U919" s="8">
        <f t="shared" si="4"/>
        <v>395604</v>
      </c>
      <c r="V919" s="8">
        <f t="shared" si="5"/>
        <v>12791196</v>
      </c>
      <c r="W919" s="10">
        <f t="shared" si="6"/>
        <v>4217400</v>
      </c>
      <c r="X919" s="10">
        <f t="shared" si="7"/>
        <v>8573796</v>
      </c>
      <c r="Y919" s="10"/>
      <c r="Z919" s="10"/>
      <c r="AA919" s="10"/>
      <c r="AB919" s="4" t="s">
        <v>2710</v>
      </c>
      <c r="AC919" s="4" t="s">
        <v>2709</v>
      </c>
      <c r="AD919" s="4">
        <v>43830.0</v>
      </c>
      <c r="AE919" s="4">
        <v>2019.0</v>
      </c>
      <c r="AF919" s="4" t="s">
        <v>1416</v>
      </c>
      <c r="AG919" s="4" t="s">
        <v>432</v>
      </c>
      <c r="AH919" s="4" t="s">
        <v>50</v>
      </c>
      <c r="AI919" s="4" t="s">
        <v>32</v>
      </c>
      <c r="AJ919" s="4" t="s">
        <v>140</v>
      </c>
      <c r="AK919" s="4" t="s">
        <v>74</v>
      </c>
      <c r="AL919" s="4" t="s">
        <v>190</v>
      </c>
      <c r="AM919" s="4" t="s">
        <v>61</v>
      </c>
      <c r="AN919" s="4" t="s">
        <v>37</v>
      </c>
      <c r="AO919" s="4" t="s">
        <v>38</v>
      </c>
      <c r="AP919" s="4">
        <v>43832.0</v>
      </c>
      <c r="AQ919" s="4">
        <v>95850.0</v>
      </c>
      <c r="AR919" s="4">
        <v>299700.0</v>
      </c>
      <c r="AS919" s="4">
        <v>203850.0</v>
      </c>
      <c r="AT919" s="4">
        <v>44.0</v>
      </c>
      <c r="AU919" s="4">
        <v>1.31868E7</v>
      </c>
      <c r="AV919" s="4">
        <v>0.03</v>
      </c>
      <c r="AW919" s="4">
        <v>395604.0</v>
      </c>
      <c r="AX919" s="4">
        <v>1.2791196E7</v>
      </c>
      <c r="AY919" s="4">
        <v>4217400.0</v>
      </c>
      <c r="AZ919" s="4">
        <v>8573796.0</v>
      </c>
    </row>
    <row r="920" ht="15.75" customHeight="1">
      <c r="A920" s="3" t="s">
        <v>2711</v>
      </c>
      <c r="B920" s="5">
        <v>43831.0</v>
      </c>
      <c r="C920" s="6">
        <v>2020.0</v>
      </c>
      <c r="D920" s="7" t="s">
        <v>601</v>
      </c>
      <c r="E920" s="7" t="s">
        <v>602</v>
      </c>
      <c r="F920" s="7" t="s">
        <v>50</v>
      </c>
      <c r="G920" s="5" t="s">
        <v>68</v>
      </c>
      <c r="H920" s="7" t="s">
        <v>98</v>
      </c>
      <c r="I920" s="7" t="s">
        <v>74</v>
      </c>
      <c r="J920" s="7" t="s">
        <v>878</v>
      </c>
      <c r="K920" s="7" t="s">
        <v>36</v>
      </c>
      <c r="L920" s="7" t="s">
        <v>37</v>
      </c>
      <c r="M920" s="7" t="s">
        <v>38</v>
      </c>
      <c r="N920" s="5">
        <v>43831.0</v>
      </c>
      <c r="O920" s="8">
        <v>47100.0</v>
      </c>
      <c r="P920" s="8">
        <v>73650.0</v>
      </c>
      <c r="Q920" s="8">
        <v>26550.0</v>
      </c>
      <c r="R920" s="8">
        <v>13.0</v>
      </c>
      <c r="S920" s="8">
        <v>957450.0</v>
      </c>
      <c r="T920" s="9">
        <v>0.01</v>
      </c>
      <c r="U920" s="8">
        <v>9574.5</v>
      </c>
      <c r="V920" s="8">
        <v>947875.5</v>
      </c>
      <c r="W920" s="10">
        <v>612300.0</v>
      </c>
      <c r="X920" s="10">
        <v>335575.5</v>
      </c>
    </row>
    <row r="921" ht="15.75" customHeight="1">
      <c r="A921" s="3" t="s">
        <v>2712</v>
      </c>
      <c r="B921" s="5">
        <v>43831.0</v>
      </c>
      <c r="C921" s="6">
        <v>2020.0</v>
      </c>
      <c r="D921" s="7" t="s">
        <v>2073</v>
      </c>
      <c r="E921" s="7" t="s">
        <v>1601</v>
      </c>
      <c r="F921" s="7" t="s">
        <v>50</v>
      </c>
      <c r="G921" s="5" t="s">
        <v>91</v>
      </c>
      <c r="H921" s="7" t="s">
        <v>344</v>
      </c>
      <c r="I921" s="7" t="s">
        <v>104</v>
      </c>
      <c r="J921" s="7" t="s">
        <v>99</v>
      </c>
      <c r="K921" s="7" t="s">
        <v>36</v>
      </c>
      <c r="L921" s="7" t="s">
        <v>37</v>
      </c>
      <c r="M921" s="7" t="s">
        <v>38</v>
      </c>
      <c r="N921" s="5">
        <v>43833.0</v>
      </c>
      <c r="O921" s="8">
        <v>79950.0</v>
      </c>
      <c r="P921" s="8">
        <v>129000.0</v>
      </c>
      <c r="Q921" s="8">
        <v>49050.0</v>
      </c>
      <c r="R921" s="8">
        <v>2.0</v>
      </c>
      <c r="S921" s="8">
        <v>258000.0</v>
      </c>
      <c r="T921" s="9">
        <v>0.03</v>
      </c>
      <c r="U921" s="8">
        <v>7740.0</v>
      </c>
      <c r="V921" s="8">
        <v>250260.0</v>
      </c>
      <c r="W921" s="10">
        <v>159900.0</v>
      </c>
      <c r="X921" s="10">
        <v>90360.0</v>
      </c>
    </row>
    <row r="922" ht="15.75" customHeight="1">
      <c r="A922" s="3" t="s">
        <v>2713</v>
      </c>
      <c r="B922" s="5">
        <v>43831.0</v>
      </c>
      <c r="C922" s="6">
        <v>2020.0</v>
      </c>
      <c r="D922" s="7" t="s">
        <v>2073</v>
      </c>
      <c r="E922" s="7" t="s">
        <v>1601</v>
      </c>
      <c r="F922" s="7" t="s">
        <v>50</v>
      </c>
      <c r="G922" s="5" t="s">
        <v>91</v>
      </c>
      <c r="H922" s="7" t="s">
        <v>344</v>
      </c>
      <c r="I922" s="7" t="s">
        <v>104</v>
      </c>
      <c r="J922" s="7" t="s">
        <v>571</v>
      </c>
      <c r="K922" s="7" t="s">
        <v>36</v>
      </c>
      <c r="L922" s="7" t="s">
        <v>37</v>
      </c>
      <c r="M922" s="7" t="s">
        <v>38</v>
      </c>
      <c r="N922" s="5">
        <v>43832.0</v>
      </c>
      <c r="O922" s="8">
        <v>1015950.0000000001</v>
      </c>
      <c r="P922" s="8">
        <v>2478000.0</v>
      </c>
      <c r="Q922" s="8">
        <v>1462050.0</v>
      </c>
      <c r="R922" s="8">
        <v>10.0</v>
      </c>
      <c r="S922" s="8">
        <v>2.478E7</v>
      </c>
      <c r="T922" s="9">
        <v>0.08</v>
      </c>
      <c r="U922" s="8">
        <v>1982400.0</v>
      </c>
      <c r="V922" s="8">
        <v>2.27976E7</v>
      </c>
      <c r="W922" s="10">
        <v>1.0159500000000002E7</v>
      </c>
      <c r="X922" s="10">
        <v>1.2638099999999998E7</v>
      </c>
    </row>
    <row r="923" ht="15.75" customHeight="1">
      <c r="A923" s="3" t="s">
        <v>2714</v>
      </c>
      <c r="B923" s="5">
        <v>43833.0</v>
      </c>
      <c r="C923" s="6">
        <v>2020.0</v>
      </c>
      <c r="D923" s="7" t="s">
        <v>918</v>
      </c>
      <c r="E923" s="7" t="s">
        <v>919</v>
      </c>
      <c r="F923" s="7" t="s">
        <v>31</v>
      </c>
      <c r="G923" s="5" t="s">
        <v>91</v>
      </c>
      <c r="H923" s="7" t="s">
        <v>43</v>
      </c>
      <c r="I923" s="7" t="s">
        <v>74</v>
      </c>
      <c r="J923" s="7" t="s">
        <v>208</v>
      </c>
      <c r="K923" s="7" t="s">
        <v>36</v>
      </c>
      <c r="L923" s="7" t="s">
        <v>127</v>
      </c>
      <c r="M923" s="7" t="s">
        <v>38</v>
      </c>
      <c r="N923" s="5">
        <v>43833.0</v>
      </c>
      <c r="O923" s="8">
        <v>71850.0</v>
      </c>
      <c r="P923" s="8">
        <v>179550.0</v>
      </c>
      <c r="Q923" s="8">
        <v>107700.0</v>
      </c>
      <c r="R923" s="8">
        <v>38.0</v>
      </c>
      <c r="S923" s="8">
        <v>6822900.0</v>
      </c>
      <c r="T923" s="9">
        <v>0.02</v>
      </c>
      <c r="U923" s="8">
        <v>136458.0</v>
      </c>
      <c r="V923" s="8">
        <v>6686442.0</v>
      </c>
      <c r="W923" s="10">
        <v>2730300.0</v>
      </c>
      <c r="X923" s="10">
        <v>3956142.0</v>
      </c>
    </row>
    <row r="924" ht="15.75" customHeight="1">
      <c r="A924" s="3" t="s">
        <v>2715</v>
      </c>
      <c r="B924" s="5">
        <v>43833.0</v>
      </c>
      <c r="C924" s="6">
        <v>2020.0</v>
      </c>
      <c r="D924" s="7" t="s">
        <v>2609</v>
      </c>
      <c r="E924" s="7" t="s">
        <v>164</v>
      </c>
      <c r="F924" s="7" t="s">
        <v>50</v>
      </c>
      <c r="G924" s="5" t="s">
        <v>68</v>
      </c>
      <c r="H924" s="7" t="s">
        <v>69</v>
      </c>
      <c r="I924" s="7" t="s">
        <v>74</v>
      </c>
      <c r="J924" s="7" t="s">
        <v>335</v>
      </c>
      <c r="K924" s="7" t="s">
        <v>36</v>
      </c>
      <c r="L924" s="7" t="s">
        <v>45</v>
      </c>
      <c r="M924" s="7" t="s">
        <v>38</v>
      </c>
      <c r="N924" s="5">
        <v>43833.0</v>
      </c>
      <c r="O924" s="8">
        <v>52200.0</v>
      </c>
      <c r="P924" s="8">
        <v>81450.0</v>
      </c>
      <c r="Q924" s="8">
        <v>29250.0</v>
      </c>
      <c r="R924" s="8">
        <v>12.0</v>
      </c>
      <c r="S924" s="8">
        <v>977400.0</v>
      </c>
      <c r="T924" s="9">
        <v>0.01</v>
      </c>
      <c r="U924" s="8">
        <v>9774.0</v>
      </c>
      <c r="V924" s="8">
        <v>967626.0</v>
      </c>
      <c r="W924" s="10">
        <v>626400.0</v>
      </c>
      <c r="X924" s="10">
        <v>341226.0</v>
      </c>
    </row>
    <row r="925" ht="15.75" customHeight="1">
      <c r="A925" s="3" t="s">
        <v>2716</v>
      </c>
      <c r="B925" s="5">
        <v>43834.0</v>
      </c>
      <c r="C925" s="6">
        <v>2020.0</v>
      </c>
      <c r="D925" s="7" t="s">
        <v>742</v>
      </c>
      <c r="E925" s="7" t="s">
        <v>726</v>
      </c>
      <c r="F925" s="7" t="s">
        <v>50</v>
      </c>
      <c r="G925" s="5" t="s">
        <v>51</v>
      </c>
      <c r="H925" s="7" t="s">
        <v>52</v>
      </c>
      <c r="I925" s="7" t="s">
        <v>104</v>
      </c>
      <c r="J925" s="7" t="s">
        <v>613</v>
      </c>
      <c r="K925" s="7" t="s">
        <v>36</v>
      </c>
      <c r="L925" s="7" t="s">
        <v>37</v>
      </c>
      <c r="M925" s="7" t="s">
        <v>38</v>
      </c>
      <c r="N925" s="5">
        <v>43834.0</v>
      </c>
      <c r="O925" s="8">
        <v>36750.0</v>
      </c>
      <c r="P925" s="8">
        <v>58350.0</v>
      </c>
      <c r="Q925" s="8">
        <v>21600.0</v>
      </c>
      <c r="R925" s="8">
        <v>50.0</v>
      </c>
      <c r="S925" s="8">
        <v>2917500.0</v>
      </c>
      <c r="T925" s="9">
        <v>0.08</v>
      </c>
      <c r="U925" s="8">
        <v>233400.0</v>
      </c>
      <c r="V925" s="8">
        <v>2684100.0</v>
      </c>
      <c r="W925" s="10">
        <v>1837500.0</v>
      </c>
      <c r="X925" s="10">
        <v>846600.0</v>
      </c>
    </row>
    <row r="926" ht="15.75" customHeight="1">
      <c r="A926" s="3" t="s">
        <v>2717</v>
      </c>
      <c r="B926" s="5">
        <v>43835.0</v>
      </c>
      <c r="C926" s="6">
        <v>2020.0</v>
      </c>
      <c r="D926" s="7" t="s">
        <v>1953</v>
      </c>
      <c r="E926" s="7" t="s">
        <v>393</v>
      </c>
      <c r="F926" s="7" t="s">
        <v>31</v>
      </c>
      <c r="G926" s="5" t="s">
        <v>91</v>
      </c>
      <c r="H926" s="7" t="s">
        <v>43</v>
      </c>
      <c r="I926" s="7" t="s">
        <v>104</v>
      </c>
      <c r="J926" s="7" t="s">
        <v>174</v>
      </c>
      <c r="K926" s="7" t="s">
        <v>36</v>
      </c>
      <c r="L926" s="7" t="s">
        <v>45</v>
      </c>
      <c r="M926" s="7" t="s">
        <v>38</v>
      </c>
      <c r="N926" s="5">
        <v>43836.0</v>
      </c>
      <c r="O926" s="8">
        <v>37800.0</v>
      </c>
      <c r="P926" s="8">
        <v>60000.0</v>
      </c>
      <c r="Q926" s="8">
        <v>22200.0</v>
      </c>
      <c r="R926" s="8">
        <v>22.0</v>
      </c>
      <c r="S926" s="8">
        <v>1320000.0</v>
      </c>
      <c r="T926" s="9">
        <v>0.09</v>
      </c>
      <c r="U926" s="8">
        <v>118800.0</v>
      </c>
      <c r="V926" s="8">
        <v>1201200.0</v>
      </c>
      <c r="W926" s="10">
        <v>831600.0</v>
      </c>
      <c r="X926" s="10">
        <v>369600.0</v>
      </c>
    </row>
    <row r="927" ht="15.75" customHeight="1">
      <c r="A927" s="3" t="s">
        <v>2718</v>
      </c>
      <c r="B927" s="5">
        <v>43836.0</v>
      </c>
      <c r="C927" s="6">
        <v>2020.0</v>
      </c>
      <c r="D927" s="7" t="s">
        <v>2719</v>
      </c>
      <c r="E927" s="7" t="s">
        <v>238</v>
      </c>
      <c r="F927" s="7" t="s">
        <v>50</v>
      </c>
      <c r="G927" s="5" t="s">
        <v>91</v>
      </c>
      <c r="H927" s="7" t="s">
        <v>151</v>
      </c>
      <c r="I927" s="7" t="s">
        <v>104</v>
      </c>
      <c r="J927" s="7" t="s">
        <v>399</v>
      </c>
      <c r="K927" s="7" t="s">
        <v>36</v>
      </c>
      <c r="L927" s="7" t="s">
        <v>37</v>
      </c>
      <c r="M927" s="7" t="s">
        <v>38</v>
      </c>
      <c r="N927" s="5">
        <v>43839.0</v>
      </c>
      <c r="O927" s="8">
        <v>51000.0</v>
      </c>
      <c r="P927" s="8">
        <v>81000.0</v>
      </c>
      <c r="Q927" s="8">
        <v>30000.0</v>
      </c>
      <c r="R927" s="8">
        <v>38.0</v>
      </c>
      <c r="S927" s="8">
        <v>3078000.0</v>
      </c>
      <c r="T927" s="9">
        <v>0.03</v>
      </c>
      <c r="U927" s="8">
        <v>92340.0</v>
      </c>
      <c r="V927" s="8">
        <v>2985660.0</v>
      </c>
      <c r="W927" s="10">
        <v>1938000.0</v>
      </c>
      <c r="X927" s="10">
        <v>1047660.0</v>
      </c>
    </row>
    <row r="928" ht="15.75" customHeight="1">
      <c r="A928" s="3" t="s">
        <v>2720</v>
      </c>
      <c r="B928" s="5">
        <v>43838.0</v>
      </c>
      <c r="C928" s="6">
        <v>2020.0</v>
      </c>
      <c r="D928" s="7" t="s">
        <v>579</v>
      </c>
      <c r="E928" s="7" t="s">
        <v>580</v>
      </c>
      <c r="F928" s="7" t="s">
        <v>289</v>
      </c>
      <c r="G928" s="5" t="s">
        <v>51</v>
      </c>
      <c r="H928" s="7" t="s">
        <v>140</v>
      </c>
      <c r="I928" s="7" t="s">
        <v>53</v>
      </c>
      <c r="J928" s="7" t="s">
        <v>502</v>
      </c>
      <c r="K928" s="7" t="s">
        <v>36</v>
      </c>
      <c r="L928" s="7" t="s">
        <v>37</v>
      </c>
      <c r="M928" s="7" t="s">
        <v>38</v>
      </c>
      <c r="N928" s="5">
        <v>43839.0</v>
      </c>
      <c r="O928" s="8">
        <v>66900.0</v>
      </c>
      <c r="P928" s="8">
        <v>163350.0</v>
      </c>
      <c r="Q928" s="8">
        <v>96450.0</v>
      </c>
      <c r="R928" s="8">
        <v>19.0</v>
      </c>
      <c r="S928" s="8">
        <v>3103650.0</v>
      </c>
      <c r="T928" s="9">
        <v>0.07</v>
      </c>
      <c r="U928" s="8">
        <v>217255.50000000003</v>
      </c>
      <c r="V928" s="8">
        <v>2886394.5</v>
      </c>
      <c r="W928" s="10">
        <v>1271100.0</v>
      </c>
      <c r="X928" s="10">
        <v>1615294.5</v>
      </c>
    </row>
    <row r="929" ht="15.75" customHeight="1">
      <c r="A929" s="3" t="s">
        <v>2721</v>
      </c>
      <c r="B929" s="5">
        <v>43839.0</v>
      </c>
      <c r="C929" s="6">
        <v>2020.0</v>
      </c>
      <c r="D929" s="7" t="s">
        <v>1192</v>
      </c>
      <c r="E929" s="7" t="s">
        <v>2722</v>
      </c>
      <c r="F929" s="7" t="s">
        <v>289</v>
      </c>
      <c r="G929" s="5" t="s">
        <v>91</v>
      </c>
      <c r="H929" s="7" t="s">
        <v>140</v>
      </c>
      <c r="I929" s="7" t="s">
        <v>104</v>
      </c>
      <c r="J929" s="7" t="s">
        <v>254</v>
      </c>
      <c r="K929" s="7" t="s">
        <v>36</v>
      </c>
      <c r="L929" s="7" t="s">
        <v>37</v>
      </c>
      <c r="M929" s="7" t="s">
        <v>38</v>
      </c>
      <c r="N929" s="5">
        <v>43841.0</v>
      </c>
      <c r="O929" s="8">
        <v>208200.0</v>
      </c>
      <c r="P929" s="8">
        <v>335700.0</v>
      </c>
      <c r="Q929" s="8">
        <v>127500.0</v>
      </c>
      <c r="R929" s="8">
        <v>34.0</v>
      </c>
      <c r="S929" s="8">
        <v>1.14138E7</v>
      </c>
      <c r="T929" s="9">
        <v>0.07</v>
      </c>
      <c r="U929" s="8">
        <v>798966.0000000001</v>
      </c>
      <c r="V929" s="8">
        <v>1.0614834E7</v>
      </c>
      <c r="W929" s="10">
        <v>7078800.0</v>
      </c>
      <c r="X929" s="10">
        <v>3536034.0</v>
      </c>
    </row>
    <row r="930" ht="15.75" customHeight="1">
      <c r="A930" s="3" t="s">
        <v>2723</v>
      </c>
      <c r="B930" s="5">
        <v>43839.0</v>
      </c>
      <c r="C930" s="6">
        <v>2020.0</v>
      </c>
      <c r="D930" s="7" t="s">
        <v>1192</v>
      </c>
      <c r="E930" s="7" t="s">
        <v>2724</v>
      </c>
      <c r="F930" s="7" t="s">
        <v>289</v>
      </c>
      <c r="G930" s="5" t="s">
        <v>91</v>
      </c>
      <c r="H930" s="7" t="s">
        <v>140</v>
      </c>
      <c r="I930" s="7" t="s">
        <v>104</v>
      </c>
      <c r="J930" s="7" t="s">
        <v>1261</v>
      </c>
      <c r="K930" s="7" t="s">
        <v>61</v>
      </c>
      <c r="L930" s="7" t="s">
        <v>37</v>
      </c>
      <c r="M930" s="7" t="s">
        <v>55</v>
      </c>
      <c r="N930" s="5">
        <v>43840.0</v>
      </c>
      <c r="O930" s="8">
        <v>220500.0</v>
      </c>
      <c r="P930" s="8">
        <v>449850.0</v>
      </c>
      <c r="Q930" s="8">
        <v>229350.0</v>
      </c>
      <c r="R930" s="8">
        <v>36.0</v>
      </c>
      <c r="S930" s="8">
        <v>1.61946E7</v>
      </c>
      <c r="T930" s="9">
        <v>0.03</v>
      </c>
      <c r="U930" s="8">
        <v>485838.0</v>
      </c>
      <c r="V930" s="8">
        <v>1.5708762E7</v>
      </c>
      <c r="W930" s="10">
        <v>7938000.0</v>
      </c>
      <c r="X930" s="10">
        <v>7770762.0</v>
      </c>
    </row>
    <row r="931" ht="15.75" customHeight="1">
      <c r="A931" s="3" t="s">
        <v>2725</v>
      </c>
      <c r="B931" s="5">
        <v>43839.0</v>
      </c>
      <c r="C931" s="6">
        <v>2020.0</v>
      </c>
      <c r="D931" s="7" t="s">
        <v>1102</v>
      </c>
      <c r="E931" s="7" t="s">
        <v>169</v>
      </c>
      <c r="F931" s="7" t="s">
        <v>31</v>
      </c>
      <c r="G931" s="5" t="s">
        <v>51</v>
      </c>
      <c r="H931" s="7" t="s">
        <v>43</v>
      </c>
      <c r="I931" s="7" t="s">
        <v>74</v>
      </c>
      <c r="J931" s="7" t="s">
        <v>1065</v>
      </c>
      <c r="K931" s="7" t="s">
        <v>36</v>
      </c>
      <c r="L931" s="7" t="s">
        <v>37</v>
      </c>
      <c r="M931" s="7" t="s">
        <v>38</v>
      </c>
      <c r="N931" s="5">
        <v>43848.0</v>
      </c>
      <c r="O931" s="8">
        <v>329550.0</v>
      </c>
      <c r="P931" s="8">
        <v>531600.0</v>
      </c>
      <c r="Q931" s="8">
        <v>202050.0</v>
      </c>
      <c r="R931" s="8">
        <v>44.0</v>
      </c>
      <c r="S931" s="8">
        <v>2.33904E7</v>
      </c>
      <c r="T931" s="9">
        <v>0.01</v>
      </c>
      <c r="U931" s="8">
        <v>233904.0</v>
      </c>
      <c r="V931" s="8">
        <v>2.3156496E7</v>
      </c>
      <c r="W931" s="10">
        <v>1.45002E7</v>
      </c>
      <c r="X931" s="10">
        <v>8656296.0</v>
      </c>
    </row>
    <row r="932" ht="15.75" customHeight="1">
      <c r="A932" s="3" t="s">
        <v>2726</v>
      </c>
      <c r="B932" s="5">
        <v>43841.0</v>
      </c>
      <c r="C932" s="6">
        <v>2020.0</v>
      </c>
      <c r="D932" s="7" t="s">
        <v>215</v>
      </c>
      <c r="E932" s="7" t="s">
        <v>216</v>
      </c>
      <c r="F932" s="7" t="s">
        <v>50</v>
      </c>
      <c r="G932" s="5" t="s">
        <v>91</v>
      </c>
      <c r="H932" s="7" t="s">
        <v>151</v>
      </c>
      <c r="I932" s="7" t="s">
        <v>34</v>
      </c>
      <c r="J932" s="7" t="s">
        <v>373</v>
      </c>
      <c r="K932" s="7" t="s">
        <v>36</v>
      </c>
      <c r="L932" s="7" t="s">
        <v>37</v>
      </c>
      <c r="M932" s="7" t="s">
        <v>38</v>
      </c>
      <c r="N932" s="5">
        <v>43843.0</v>
      </c>
      <c r="O932" s="8">
        <v>297450.0</v>
      </c>
      <c r="P932" s="8">
        <v>464700.0</v>
      </c>
      <c r="Q932" s="8">
        <v>167250.0</v>
      </c>
      <c r="R932" s="8">
        <v>30.0</v>
      </c>
      <c r="S932" s="8">
        <v>1.3941E7</v>
      </c>
      <c r="T932" s="9">
        <v>0.03</v>
      </c>
      <c r="U932" s="8">
        <v>418230.0</v>
      </c>
      <c r="V932" s="8">
        <v>1.352277E7</v>
      </c>
      <c r="W932" s="10">
        <v>8923500.0</v>
      </c>
      <c r="X932" s="10">
        <v>4599270.0</v>
      </c>
    </row>
    <row r="933" ht="15.75" customHeight="1">
      <c r="A933" s="3" t="s">
        <v>2727</v>
      </c>
      <c r="B933" s="5">
        <v>43843.0</v>
      </c>
      <c r="C933" s="6">
        <v>2020.0</v>
      </c>
      <c r="D933" s="7" t="s">
        <v>172</v>
      </c>
      <c r="E933" s="7" t="s">
        <v>173</v>
      </c>
      <c r="F933" s="7" t="s">
        <v>31</v>
      </c>
      <c r="G933" s="5" t="s">
        <v>91</v>
      </c>
      <c r="H933" s="7" t="s">
        <v>43</v>
      </c>
      <c r="I933" s="7" t="s">
        <v>34</v>
      </c>
      <c r="J933" s="7" t="s">
        <v>135</v>
      </c>
      <c r="K933" s="7" t="s">
        <v>36</v>
      </c>
      <c r="L933" s="7" t="s">
        <v>37</v>
      </c>
      <c r="M933" s="7" t="s">
        <v>38</v>
      </c>
      <c r="N933" s="5">
        <v>43845.0</v>
      </c>
      <c r="O933" s="8">
        <v>68850.0</v>
      </c>
      <c r="P933" s="8">
        <v>109200.0</v>
      </c>
      <c r="Q933" s="8">
        <v>40350.0</v>
      </c>
      <c r="R933" s="8">
        <v>50.0</v>
      </c>
      <c r="S933" s="8">
        <v>5460000.0</v>
      </c>
      <c r="T933" s="9">
        <v>0.01</v>
      </c>
      <c r="U933" s="8">
        <v>54600.0</v>
      </c>
      <c r="V933" s="8">
        <v>5405400.0</v>
      </c>
      <c r="W933" s="10">
        <v>3442500.0</v>
      </c>
      <c r="X933" s="10">
        <v>1962900.0</v>
      </c>
    </row>
    <row r="934" ht="15.75" customHeight="1">
      <c r="A934" s="3" t="s">
        <v>2728</v>
      </c>
      <c r="B934" s="5">
        <v>43844.0</v>
      </c>
      <c r="C934" s="6">
        <v>2020.0</v>
      </c>
      <c r="D934" s="7" t="s">
        <v>809</v>
      </c>
      <c r="E934" s="7" t="s">
        <v>164</v>
      </c>
      <c r="F934" s="7" t="s">
        <v>50</v>
      </c>
      <c r="G934" s="5" t="s">
        <v>91</v>
      </c>
      <c r="H934" s="7" t="s">
        <v>69</v>
      </c>
      <c r="I934" s="7" t="s">
        <v>104</v>
      </c>
      <c r="J934" s="7" t="s">
        <v>373</v>
      </c>
      <c r="K934" s="7" t="s">
        <v>36</v>
      </c>
      <c r="L934" s="7" t="s">
        <v>37</v>
      </c>
      <c r="M934" s="7" t="s">
        <v>38</v>
      </c>
      <c r="N934" s="5">
        <v>43845.0</v>
      </c>
      <c r="O934" s="8">
        <v>297450.0</v>
      </c>
      <c r="P934" s="8">
        <v>464700.0</v>
      </c>
      <c r="Q934" s="8">
        <v>167250.0</v>
      </c>
      <c r="R934" s="8">
        <v>37.0</v>
      </c>
      <c r="S934" s="8">
        <v>1.71939E7</v>
      </c>
      <c r="T934" s="9">
        <v>0.01</v>
      </c>
      <c r="U934" s="8">
        <v>171939.0</v>
      </c>
      <c r="V934" s="8">
        <v>1.7021961E7</v>
      </c>
      <c r="W934" s="10">
        <v>1.100565E7</v>
      </c>
      <c r="X934" s="10">
        <v>6016311.0</v>
      </c>
    </row>
    <row r="935" ht="15.75" customHeight="1">
      <c r="A935" s="3" t="s">
        <v>2729</v>
      </c>
      <c r="B935" s="5">
        <v>43844.0</v>
      </c>
      <c r="C935" s="6">
        <v>2020.0</v>
      </c>
      <c r="D935" s="7" t="s">
        <v>2730</v>
      </c>
      <c r="E935" s="7" t="s">
        <v>642</v>
      </c>
      <c r="F935" s="7" t="s">
        <v>50</v>
      </c>
      <c r="G935" s="5" t="s">
        <v>32</v>
      </c>
      <c r="H935" s="7" t="s">
        <v>69</v>
      </c>
      <c r="I935" s="7" t="s">
        <v>104</v>
      </c>
      <c r="J935" s="7" t="s">
        <v>141</v>
      </c>
      <c r="K935" s="7" t="s">
        <v>36</v>
      </c>
      <c r="L935" s="7" t="s">
        <v>45</v>
      </c>
      <c r="M935" s="7" t="s">
        <v>38</v>
      </c>
      <c r="N935" s="5">
        <v>43845.0</v>
      </c>
      <c r="O935" s="8">
        <v>19500.0</v>
      </c>
      <c r="P935" s="8">
        <v>43200.0</v>
      </c>
      <c r="Q935" s="8">
        <v>23700.0</v>
      </c>
      <c r="R935" s="8">
        <v>46.0</v>
      </c>
      <c r="S935" s="8">
        <v>1987200.0</v>
      </c>
      <c r="T935" s="9">
        <v>0.05</v>
      </c>
      <c r="U935" s="8">
        <v>99360.0</v>
      </c>
      <c r="V935" s="8">
        <v>1887840.0</v>
      </c>
      <c r="W935" s="10">
        <v>897000.0</v>
      </c>
      <c r="X935" s="10">
        <v>990840.0</v>
      </c>
    </row>
    <row r="936" ht="15.75" customHeight="1">
      <c r="A936" s="3" t="s">
        <v>2731</v>
      </c>
      <c r="B936" s="5">
        <v>43849.0</v>
      </c>
      <c r="C936" s="6">
        <v>2020.0</v>
      </c>
      <c r="D936" s="7" t="s">
        <v>108</v>
      </c>
      <c r="E936" s="7" t="s">
        <v>109</v>
      </c>
      <c r="F936" s="7" t="s">
        <v>50</v>
      </c>
      <c r="G936" s="5" t="s">
        <v>51</v>
      </c>
      <c r="H936" s="7" t="s">
        <v>110</v>
      </c>
      <c r="I936" s="7" t="s">
        <v>34</v>
      </c>
      <c r="J936" s="7" t="s">
        <v>160</v>
      </c>
      <c r="K936" s="7" t="s">
        <v>36</v>
      </c>
      <c r="L936" s="7" t="s">
        <v>37</v>
      </c>
      <c r="M936" s="7" t="s">
        <v>38</v>
      </c>
      <c r="N936" s="5">
        <v>43851.0</v>
      </c>
      <c r="O936" s="8">
        <v>52800.0</v>
      </c>
      <c r="P936" s="8">
        <v>85200.0</v>
      </c>
      <c r="Q936" s="8">
        <v>32400.0</v>
      </c>
      <c r="R936" s="8">
        <v>23.0</v>
      </c>
      <c r="S936" s="8">
        <v>1959600.0</v>
      </c>
      <c r="T936" s="9">
        <v>0.02</v>
      </c>
      <c r="U936" s="8">
        <v>39192.0</v>
      </c>
      <c r="V936" s="8">
        <v>1920408.0</v>
      </c>
      <c r="W936" s="10">
        <v>1214400.0</v>
      </c>
      <c r="X936" s="10">
        <v>706008.0</v>
      </c>
    </row>
    <row r="937" ht="15.75" customHeight="1">
      <c r="A937" s="3" t="s">
        <v>2732</v>
      </c>
      <c r="B937" s="5">
        <v>43851.0</v>
      </c>
      <c r="C937" s="6">
        <v>2020.0</v>
      </c>
      <c r="D937" s="7" t="s">
        <v>715</v>
      </c>
      <c r="E937" s="7" t="s">
        <v>716</v>
      </c>
      <c r="F937" s="7" t="s">
        <v>289</v>
      </c>
      <c r="G937" s="5" t="s">
        <v>51</v>
      </c>
      <c r="H937" s="7" t="s">
        <v>140</v>
      </c>
      <c r="I937" s="7" t="s">
        <v>34</v>
      </c>
      <c r="J937" s="7" t="s">
        <v>743</v>
      </c>
      <c r="K937" s="7" t="s">
        <v>36</v>
      </c>
      <c r="L937" s="7" t="s">
        <v>37</v>
      </c>
      <c r="M937" s="7" t="s">
        <v>38</v>
      </c>
      <c r="N937" s="5">
        <v>43851.0</v>
      </c>
      <c r="O937" s="8">
        <v>165600.0</v>
      </c>
      <c r="P937" s="8">
        <v>254700.0</v>
      </c>
      <c r="Q937" s="8">
        <v>89100.0</v>
      </c>
      <c r="R937" s="8">
        <v>43.0</v>
      </c>
      <c r="S937" s="8">
        <v>1.09521E7</v>
      </c>
      <c r="T937" s="9">
        <v>0.09</v>
      </c>
      <c r="U937" s="8">
        <v>985689.0</v>
      </c>
      <c r="V937" s="8">
        <v>9966411.0</v>
      </c>
      <c r="W937" s="10">
        <v>7120800.0</v>
      </c>
      <c r="X937" s="10">
        <v>2845611.0</v>
      </c>
    </row>
    <row r="938" ht="15.75" customHeight="1">
      <c r="A938" s="3" t="s">
        <v>2733</v>
      </c>
      <c r="B938" s="5">
        <v>43854.0</v>
      </c>
      <c r="C938" s="6">
        <v>2020.0</v>
      </c>
      <c r="D938" s="7" t="s">
        <v>554</v>
      </c>
      <c r="E938" s="7" t="s">
        <v>194</v>
      </c>
      <c r="F938" s="7" t="s">
        <v>31</v>
      </c>
      <c r="G938" s="5" t="s">
        <v>91</v>
      </c>
      <c r="H938" s="7" t="s">
        <v>33</v>
      </c>
      <c r="I938" s="7" t="s">
        <v>74</v>
      </c>
      <c r="J938" s="7" t="s">
        <v>903</v>
      </c>
      <c r="K938" s="7" t="s">
        <v>36</v>
      </c>
      <c r="L938" s="7" t="s">
        <v>45</v>
      </c>
      <c r="M938" s="7" t="s">
        <v>38</v>
      </c>
      <c r="N938" s="5">
        <v>43858.0</v>
      </c>
      <c r="O938" s="8">
        <v>34650.0</v>
      </c>
      <c r="P938" s="8">
        <v>56700.0</v>
      </c>
      <c r="Q938" s="8">
        <v>22050.0</v>
      </c>
      <c r="R938" s="8">
        <v>22.0</v>
      </c>
      <c r="S938" s="8">
        <v>1247400.0</v>
      </c>
      <c r="T938" s="9">
        <v>0.1</v>
      </c>
      <c r="U938" s="8">
        <v>124740.0</v>
      </c>
      <c r="V938" s="8">
        <v>1122660.0</v>
      </c>
      <c r="W938" s="10">
        <v>762300.0</v>
      </c>
      <c r="X938" s="10">
        <v>360360.0</v>
      </c>
    </row>
    <row r="939" ht="15.75" customHeight="1">
      <c r="A939" s="3" t="s">
        <v>2734</v>
      </c>
      <c r="B939" s="5">
        <v>43855.0</v>
      </c>
      <c r="C939" s="6">
        <v>2020.0</v>
      </c>
      <c r="D939" s="7" t="s">
        <v>2625</v>
      </c>
      <c r="E939" s="7" t="s">
        <v>253</v>
      </c>
      <c r="F939" s="7" t="s">
        <v>31</v>
      </c>
      <c r="G939" s="5" t="s">
        <v>32</v>
      </c>
      <c r="H939" s="7" t="s">
        <v>43</v>
      </c>
      <c r="I939" s="7" t="s">
        <v>92</v>
      </c>
      <c r="J939" s="7" t="s">
        <v>93</v>
      </c>
      <c r="K939" s="7" t="s">
        <v>36</v>
      </c>
      <c r="L939" s="7" t="s">
        <v>37</v>
      </c>
      <c r="M939" s="7" t="s">
        <v>38</v>
      </c>
      <c r="N939" s="5">
        <v>43857.0</v>
      </c>
      <c r="O939" s="8">
        <v>814350.0</v>
      </c>
      <c r="P939" s="8">
        <v>1357200.0</v>
      </c>
      <c r="Q939" s="8">
        <v>542850.0</v>
      </c>
      <c r="R939" s="8">
        <v>25.0</v>
      </c>
      <c r="S939" s="8">
        <v>3.393E7</v>
      </c>
      <c r="T939" s="9">
        <v>0.02</v>
      </c>
      <c r="U939" s="8">
        <v>678600.0</v>
      </c>
      <c r="V939" s="8">
        <v>3.32514E7</v>
      </c>
      <c r="W939" s="10">
        <v>2.035875E7</v>
      </c>
      <c r="X939" s="10">
        <v>1.289265E7</v>
      </c>
    </row>
    <row r="940" ht="15.75" customHeight="1">
      <c r="A940" s="3" t="s">
        <v>2735</v>
      </c>
      <c r="B940" s="5">
        <v>43856.0</v>
      </c>
      <c r="C940" s="6">
        <v>2020.0</v>
      </c>
      <c r="D940" s="7" t="s">
        <v>2134</v>
      </c>
      <c r="E940" s="7" t="s">
        <v>416</v>
      </c>
      <c r="F940" s="7" t="s">
        <v>50</v>
      </c>
      <c r="G940" s="5" t="s">
        <v>51</v>
      </c>
      <c r="H940" s="7" t="s">
        <v>52</v>
      </c>
      <c r="I940" s="7" t="s">
        <v>74</v>
      </c>
      <c r="J940" s="7" t="s">
        <v>433</v>
      </c>
      <c r="K940" s="7" t="s">
        <v>36</v>
      </c>
      <c r="L940" s="7" t="s">
        <v>37</v>
      </c>
      <c r="M940" s="7" t="s">
        <v>38</v>
      </c>
      <c r="N940" s="5">
        <v>43861.0</v>
      </c>
      <c r="O940" s="8">
        <v>252750.00000000003</v>
      </c>
      <c r="P940" s="8">
        <v>407700.0</v>
      </c>
      <c r="Q940" s="8">
        <v>154949.99999999997</v>
      </c>
      <c r="R940" s="8">
        <v>38.0</v>
      </c>
      <c r="S940" s="8">
        <v>1.54926E7</v>
      </c>
      <c r="T940" s="9">
        <v>0.01</v>
      </c>
      <c r="U940" s="8">
        <v>154926.0</v>
      </c>
      <c r="V940" s="8">
        <v>1.5337674E7</v>
      </c>
      <c r="W940" s="10">
        <v>9604500.000000002</v>
      </c>
      <c r="X940" s="10">
        <v>5733173.999999998</v>
      </c>
    </row>
    <row r="941" ht="15.75" customHeight="1">
      <c r="A941" s="3" t="s">
        <v>2736</v>
      </c>
      <c r="B941" s="5">
        <v>43857.0</v>
      </c>
      <c r="C941" s="6">
        <v>2020.0</v>
      </c>
      <c r="D941" s="7" t="s">
        <v>587</v>
      </c>
      <c r="E941" s="7" t="s">
        <v>432</v>
      </c>
      <c r="F941" s="7" t="s">
        <v>50</v>
      </c>
      <c r="G941" s="5" t="s">
        <v>91</v>
      </c>
      <c r="H941" s="7" t="s">
        <v>140</v>
      </c>
      <c r="I941" s="7" t="s">
        <v>104</v>
      </c>
      <c r="J941" s="7" t="s">
        <v>190</v>
      </c>
      <c r="K941" s="7" t="s">
        <v>61</v>
      </c>
      <c r="L941" s="7" t="s">
        <v>37</v>
      </c>
      <c r="M941" s="7" t="s">
        <v>38</v>
      </c>
      <c r="N941" s="5">
        <v>43860.0</v>
      </c>
      <c r="O941" s="8">
        <v>95850.0</v>
      </c>
      <c r="P941" s="8">
        <v>299700.0</v>
      </c>
      <c r="Q941" s="8">
        <v>203850.0</v>
      </c>
      <c r="R941" s="8">
        <v>9.0</v>
      </c>
      <c r="S941" s="8">
        <v>2697300.0</v>
      </c>
      <c r="T941" s="9">
        <v>0.06</v>
      </c>
      <c r="U941" s="8">
        <v>161838.0</v>
      </c>
      <c r="V941" s="8">
        <v>2535462.0</v>
      </c>
      <c r="W941" s="10">
        <v>862650.0</v>
      </c>
      <c r="X941" s="10">
        <v>1672812.0</v>
      </c>
    </row>
    <row r="942" ht="15.75" customHeight="1">
      <c r="A942" s="3" t="s">
        <v>2737</v>
      </c>
      <c r="B942" s="5">
        <v>43858.0</v>
      </c>
      <c r="C942" s="6">
        <v>2020.0</v>
      </c>
      <c r="D942" s="7" t="s">
        <v>1464</v>
      </c>
      <c r="E942" s="7" t="s">
        <v>1465</v>
      </c>
      <c r="F942" s="7" t="s">
        <v>31</v>
      </c>
      <c r="G942" s="5" t="s">
        <v>51</v>
      </c>
      <c r="H942" s="7" t="s">
        <v>33</v>
      </c>
      <c r="I942" s="7" t="s">
        <v>92</v>
      </c>
      <c r="J942" s="7" t="s">
        <v>584</v>
      </c>
      <c r="K942" s="7" t="s">
        <v>278</v>
      </c>
      <c r="L942" s="7" t="s">
        <v>555</v>
      </c>
      <c r="M942" s="7" t="s">
        <v>38</v>
      </c>
      <c r="N942" s="5">
        <v>43858.0</v>
      </c>
      <c r="O942" s="8">
        <v>842400.0</v>
      </c>
      <c r="P942" s="8">
        <v>2054699.9999999998</v>
      </c>
      <c r="Q942" s="8">
        <v>1212299.9999999998</v>
      </c>
      <c r="R942" s="8">
        <v>27.0</v>
      </c>
      <c r="S942" s="8">
        <v>5.547689999999999E7</v>
      </c>
      <c r="T942" s="9">
        <v>0.09</v>
      </c>
      <c r="U942" s="8">
        <v>4992920.999999999</v>
      </c>
      <c r="V942" s="8">
        <v>5.048397899999999E7</v>
      </c>
      <c r="W942" s="10">
        <v>2.27448E7</v>
      </c>
      <c r="X942" s="10">
        <v>2.7739178999999993E7</v>
      </c>
    </row>
    <row r="943" ht="15.75" customHeight="1">
      <c r="A943" s="2" t="s">
        <v>2738</v>
      </c>
      <c r="B943" s="5">
        <v>43858.0</v>
      </c>
      <c r="C943" s="6">
        <v>2020.0</v>
      </c>
      <c r="D943" s="7" t="s">
        <v>2739</v>
      </c>
      <c r="E943" s="7" t="s">
        <v>2050</v>
      </c>
      <c r="F943" s="7" t="s">
        <v>50</v>
      </c>
      <c r="G943" s="5" t="s">
        <v>68</v>
      </c>
      <c r="H943" s="7" t="s">
        <v>200</v>
      </c>
      <c r="I943" s="7" t="s">
        <v>74</v>
      </c>
      <c r="J943" s="7" t="s">
        <v>1255</v>
      </c>
      <c r="K943" s="7" t="s">
        <v>36</v>
      </c>
      <c r="L943" s="7" t="s">
        <v>45</v>
      </c>
      <c r="M943" s="7" t="s">
        <v>55</v>
      </c>
      <c r="N943" s="5">
        <v>43858.0</v>
      </c>
      <c r="O943" s="8">
        <v>22950.0</v>
      </c>
      <c r="P943" s="8">
        <v>37050.0</v>
      </c>
      <c r="Q943" s="8">
        <v>14100.0</v>
      </c>
      <c r="R943" s="8">
        <v>45.0</v>
      </c>
      <c r="S943" s="8">
        <v>1667250.0</v>
      </c>
      <c r="T943" s="9">
        <v>0.07</v>
      </c>
      <c r="U943" s="8">
        <v>116707.50000000001</v>
      </c>
      <c r="V943" s="8">
        <v>1550542.5</v>
      </c>
      <c r="W943" s="10">
        <v>1032750.0</v>
      </c>
      <c r="X943" s="10">
        <v>517792.5</v>
      </c>
    </row>
    <row r="944" ht="15.75" customHeight="1">
      <c r="A944" s="2" t="s">
        <v>2740</v>
      </c>
      <c r="B944" s="5">
        <v>43858.0</v>
      </c>
      <c r="C944" s="6">
        <v>2020.0</v>
      </c>
      <c r="D944" s="7" t="s">
        <v>2739</v>
      </c>
      <c r="E944" s="7" t="s">
        <v>2050</v>
      </c>
      <c r="F944" s="7" t="s">
        <v>50</v>
      </c>
      <c r="G944" s="5" t="s">
        <v>68</v>
      </c>
      <c r="H944" s="7" t="s">
        <v>200</v>
      </c>
      <c r="I944" s="7" t="s">
        <v>74</v>
      </c>
      <c r="J944" s="7" t="s">
        <v>335</v>
      </c>
      <c r="K944" s="7" t="s">
        <v>36</v>
      </c>
      <c r="L944" s="7" t="s">
        <v>45</v>
      </c>
      <c r="M944" s="7" t="s">
        <v>38</v>
      </c>
      <c r="N944" s="5">
        <v>43862.0</v>
      </c>
      <c r="O944" s="8">
        <v>52200.0</v>
      </c>
      <c r="P944" s="8">
        <v>81450.0</v>
      </c>
      <c r="Q944" s="8">
        <v>29250.0</v>
      </c>
      <c r="R944" s="8">
        <v>11.0</v>
      </c>
      <c r="S944" s="8">
        <v>895950.0</v>
      </c>
      <c r="T944" s="9">
        <v>0.0</v>
      </c>
      <c r="U944" s="8">
        <v>0.0</v>
      </c>
      <c r="V944" s="8">
        <v>895950.0</v>
      </c>
      <c r="W944" s="10">
        <v>574200.0</v>
      </c>
      <c r="X944" s="10">
        <v>321750.0</v>
      </c>
    </row>
    <row r="945" ht="15.75" customHeight="1">
      <c r="A945" s="3" t="s">
        <v>2741</v>
      </c>
      <c r="B945" s="5">
        <v>43859.0</v>
      </c>
      <c r="C945" s="6">
        <v>2020.0</v>
      </c>
      <c r="D945" s="7" t="s">
        <v>1373</v>
      </c>
      <c r="E945" s="7" t="s">
        <v>150</v>
      </c>
      <c r="F945" s="7" t="s">
        <v>50</v>
      </c>
      <c r="G945" s="5" t="s">
        <v>91</v>
      </c>
      <c r="H945" s="7" t="s">
        <v>151</v>
      </c>
      <c r="I945" s="7" t="s">
        <v>104</v>
      </c>
      <c r="J945" s="7" t="s">
        <v>75</v>
      </c>
      <c r="K945" s="7" t="s">
        <v>36</v>
      </c>
      <c r="L945" s="7" t="s">
        <v>45</v>
      </c>
      <c r="M945" s="7" t="s">
        <v>38</v>
      </c>
      <c r="N945" s="5">
        <v>43861.0</v>
      </c>
      <c r="O945" s="8">
        <v>16350.000000000002</v>
      </c>
      <c r="P945" s="8">
        <v>39000.0</v>
      </c>
      <c r="Q945" s="8">
        <v>22650.0</v>
      </c>
      <c r="R945" s="8">
        <v>12.0</v>
      </c>
      <c r="S945" s="8">
        <v>468000.0</v>
      </c>
      <c r="T945" s="9">
        <v>0.05</v>
      </c>
      <c r="U945" s="8">
        <v>23400.0</v>
      </c>
      <c r="V945" s="8">
        <v>444600.0</v>
      </c>
      <c r="W945" s="10">
        <v>196200.00000000003</v>
      </c>
      <c r="X945" s="10">
        <v>248399.99999999997</v>
      </c>
    </row>
    <row r="946" ht="15.75" customHeight="1">
      <c r="A946" s="3" t="s">
        <v>2742</v>
      </c>
      <c r="B946" s="5">
        <v>43861.0</v>
      </c>
      <c r="C946" s="6">
        <v>2020.0</v>
      </c>
      <c r="D946" s="7" t="s">
        <v>1648</v>
      </c>
      <c r="E946" s="7" t="s">
        <v>684</v>
      </c>
      <c r="F946" s="7" t="s">
        <v>50</v>
      </c>
      <c r="G946" s="5" t="s">
        <v>32</v>
      </c>
      <c r="H946" s="7" t="s">
        <v>98</v>
      </c>
      <c r="I946" s="7" t="s">
        <v>104</v>
      </c>
      <c r="J946" s="7" t="s">
        <v>584</v>
      </c>
      <c r="K946" s="7" t="s">
        <v>278</v>
      </c>
      <c r="L946" s="7" t="s">
        <v>555</v>
      </c>
      <c r="M946" s="7" t="s">
        <v>38</v>
      </c>
      <c r="N946" s="5">
        <v>43864.0</v>
      </c>
      <c r="O946" s="8">
        <v>842400.0</v>
      </c>
      <c r="P946" s="8">
        <v>2054699.9999999998</v>
      </c>
      <c r="Q946" s="8">
        <v>1212299.9999999998</v>
      </c>
      <c r="R946" s="8">
        <v>21.0</v>
      </c>
      <c r="S946" s="8">
        <v>4.314869999999999E7</v>
      </c>
      <c r="T946" s="9">
        <v>0.05</v>
      </c>
      <c r="U946" s="8">
        <v>2157434.9999999995</v>
      </c>
      <c r="V946" s="8">
        <v>4.099126499999999E7</v>
      </c>
      <c r="W946" s="10">
        <v>1.76904E7</v>
      </c>
      <c r="X946" s="10">
        <v>2.3300864999999993E7</v>
      </c>
    </row>
    <row r="947" ht="15.75" customHeight="1">
      <c r="A947" s="3" t="s">
        <v>2743</v>
      </c>
      <c r="B947" s="5">
        <v>43862.0</v>
      </c>
      <c r="C947" s="6">
        <v>2020.0</v>
      </c>
      <c r="D947" s="7" t="s">
        <v>1852</v>
      </c>
      <c r="E947" s="7" t="s">
        <v>716</v>
      </c>
      <c r="F947" s="7" t="s">
        <v>289</v>
      </c>
      <c r="G947" s="5" t="s">
        <v>51</v>
      </c>
      <c r="H947" s="7" t="s">
        <v>140</v>
      </c>
      <c r="I947" s="7" t="s">
        <v>53</v>
      </c>
      <c r="J947" s="7" t="s">
        <v>595</v>
      </c>
      <c r="K947" s="7" t="s">
        <v>36</v>
      </c>
      <c r="L947" s="7" t="s">
        <v>127</v>
      </c>
      <c r="M947" s="7" t="s">
        <v>38</v>
      </c>
      <c r="N947" s="5">
        <v>43864.0</v>
      </c>
      <c r="O947" s="8">
        <v>77850.0</v>
      </c>
      <c r="P947" s="8">
        <v>194700.0</v>
      </c>
      <c r="Q947" s="8">
        <v>116850.0</v>
      </c>
      <c r="R947" s="8">
        <v>49.0</v>
      </c>
      <c r="S947" s="8">
        <v>9540300.0</v>
      </c>
      <c r="T947" s="9">
        <v>0.09</v>
      </c>
      <c r="U947" s="8">
        <v>858627.0</v>
      </c>
      <c r="V947" s="8">
        <v>8681673.0</v>
      </c>
      <c r="W947" s="10">
        <v>3814650.0</v>
      </c>
      <c r="X947" s="10">
        <v>4867023.0</v>
      </c>
    </row>
    <row r="948" ht="15.75" customHeight="1">
      <c r="A948" s="3" t="s">
        <v>2744</v>
      </c>
      <c r="B948" s="5">
        <v>43863.0</v>
      </c>
      <c r="C948" s="6">
        <v>2020.0</v>
      </c>
      <c r="D948" s="7" t="s">
        <v>1038</v>
      </c>
      <c r="E948" s="7" t="s">
        <v>962</v>
      </c>
      <c r="F948" s="7" t="s">
        <v>50</v>
      </c>
      <c r="G948" s="5" t="s">
        <v>32</v>
      </c>
      <c r="H948" s="7" t="s">
        <v>80</v>
      </c>
      <c r="I948" s="7" t="s">
        <v>92</v>
      </c>
      <c r="J948" s="7" t="s">
        <v>538</v>
      </c>
      <c r="K948" s="7" t="s">
        <v>36</v>
      </c>
      <c r="L948" s="7" t="s">
        <v>37</v>
      </c>
      <c r="M948" s="7" t="s">
        <v>38</v>
      </c>
      <c r="N948" s="5">
        <v>43863.0</v>
      </c>
      <c r="O948" s="8">
        <v>33900.0</v>
      </c>
      <c r="P948" s="8">
        <v>53700.0</v>
      </c>
      <c r="Q948" s="8">
        <v>19800.0</v>
      </c>
      <c r="R948" s="8">
        <v>34.0</v>
      </c>
      <c r="S948" s="8">
        <v>1825800.0</v>
      </c>
      <c r="T948" s="9">
        <v>0.07</v>
      </c>
      <c r="U948" s="8">
        <v>127806.00000000001</v>
      </c>
      <c r="V948" s="8">
        <v>1697994.0</v>
      </c>
      <c r="W948" s="10">
        <v>1152600.0</v>
      </c>
      <c r="X948" s="10">
        <v>545394.0</v>
      </c>
    </row>
    <row r="949" ht="15.75" customHeight="1">
      <c r="A949" s="3" t="s">
        <v>2745</v>
      </c>
      <c r="B949" s="5">
        <v>43865.0</v>
      </c>
      <c r="C949" s="6">
        <v>2020.0</v>
      </c>
      <c r="D949" s="7" t="s">
        <v>1589</v>
      </c>
      <c r="E949" s="7" t="s">
        <v>795</v>
      </c>
      <c r="F949" s="7" t="s">
        <v>50</v>
      </c>
      <c r="G949" s="5" t="s">
        <v>91</v>
      </c>
      <c r="H949" s="7" t="s">
        <v>344</v>
      </c>
      <c r="I949" s="7" t="s">
        <v>92</v>
      </c>
      <c r="J949" s="7" t="s">
        <v>184</v>
      </c>
      <c r="K949" s="7" t="s">
        <v>36</v>
      </c>
      <c r="L949" s="7" t="s">
        <v>37</v>
      </c>
      <c r="M949" s="7" t="s">
        <v>38</v>
      </c>
      <c r="N949" s="5">
        <v>43867.0</v>
      </c>
      <c r="O949" s="8">
        <v>23850.0</v>
      </c>
      <c r="P949" s="8">
        <v>39150.0</v>
      </c>
      <c r="Q949" s="8">
        <v>15300.0</v>
      </c>
      <c r="R949" s="8">
        <v>44.0</v>
      </c>
      <c r="S949" s="8">
        <v>1722600.0</v>
      </c>
      <c r="T949" s="9">
        <v>0.07</v>
      </c>
      <c r="U949" s="8">
        <v>120582.00000000001</v>
      </c>
      <c r="V949" s="8">
        <v>1602018.0</v>
      </c>
      <c r="W949" s="10">
        <v>1049400.0</v>
      </c>
      <c r="X949" s="10">
        <v>552618.0</v>
      </c>
    </row>
    <row r="950" ht="15.75" customHeight="1">
      <c r="A950" s="3" t="s">
        <v>2746</v>
      </c>
      <c r="B950" s="5">
        <v>43866.0</v>
      </c>
      <c r="C950" s="6">
        <v>2020.0</v>
      </c>
      <c r="D950" s="7" t="s">
        <v>1741</v>
      </c>
      <c r="E950" s="7" t="s">
        <v>312</v>
      </c>
      <c r="F950" s="7" t="s">
        <v>50</v>
      </c>
      <c r="G950" s="5" t="s">
        <v>68</v>
      </c>
      <c r="H950" s="7" t="s">
        <v>151</v>
      </c>
      <c r="I950" s="7" t="s">
        <v>53</v>
      </c>
      <c r="J950" s="7" t="s">
        <v>243</v>
      </c>
      <c r="K950" s="7" t="s">
        <v>61</v>
      </c>
      <c r="L950" s="7" t="s">
        <v>244</v>
      </c>
      <c r="M950" s="7" t="s">
        <v>38</v>
      </c>
      <c r="N950" s="5">
        <v>43868.0</v>
      </c>
      <c r="O950" s="8">
        <v>132300.0</v>
      </c>
      <c r="P950" s="8">
        <v>314850.0</v>
      </c>
      <c r="Q950" s="8">
        <v>182550.0</v>
      </c>
      <c r="R950" s="8">
        <v>17.0</v>
      </c>
      <c r="S950" s="8">
        <v>5352450.0</v>
      </c>
      <c r="T950" s="9">
        <v>0.0</v>
      </c>
      <c r="U950" s="8">
        <v>0.0</v>
      </c>
      <c r="V950" s="8">
        <v>5352450.0</v>
      </c>
      <c r="W950" s="10">
        <v>2249100.0</v>
      </c>
      <c r="X950" s="10">
        <v>3103350.0</v>
      </c>
    </row>
    <row r="951" ht="15.75" customHeight="1">
      <c r="A951" s="3" t="s">
        <v>2747</v>
      </c>
      <c r="B951" s="5">
        <v>43866.0</v>
      </c>
      <c r="C951" s="6">
        <v>2020.0</v>
      </c>
      <c r="D951" s="7" t="s">
        <v>118</v>
      </c>
      <c r="E951" s="7" t="s">
        <v>119</v>
      </c>
      <c r="F951" s="7" t="s">
        <v>31</v>
      </c>
      <c r="G951" s="5" t="s">
        <v>51</v>
      </c>
      <c r="H951" s="7" t="s">
        <v>33</v>
      </c>
      <c r="I951" s="7" t="s">
        <v>74</v>
      </c>
      <c r="J951" s="7" t="s">
        <v>584</v>
      </c>
      <c r="K951" s="7" t="s">
        <v>278</v>
      </c>
      <c r="L951" s="7" t="s">
        <v>555</v>
      </c>
      <c r="M951" s="7" t="s">
        <v>38</v>
      </c>
      <c r="N951" s="5">
        <v>43873.0</v>
      </c>
      <c r="O951" s="8">
        <v>842400.0</v>
      </c>
      <c r="P951" s="8">
        <v>2054699.9999999998</v>
      </c>
      <c r="Q951" s="8">
        <v>1212299.9999999998</v>
      </c>
      <c r="R951" s="8">
        <v>3.0</v>
      </c>
      <c r="S951" s="8">
        <v>6164099.999999999</v>
      </c>
      <c r="T951" s="9">
        <v>0.1</v>
      </c>
      <c r="U951" s="8">
        <v>616409.9999999999</v>
      </c>
      <c r="V951" s="8">
        <v>5547689.999999999</v>
      </c>
      <c r="W951" s="10">
        <v>2527200.0</v>
      </c>
      <c r="X951" s="10">
        <v>3020489.999999999</v>
      </c>
    </row>
    <row r="952" ht="15.75" customHeight="1">
      <c r="A952" s="3" t="s">
        <v>2748</v>
      </c>
      <c r="B952" s="5">
        <v>43866.0</v>
      </c>
      <c r="C952" s="6">
        <v>2020.0</v>
      </c>
      <c r="D952" s="7" t="s">
        <v>1088</v>
      </c>
      <c r="E952" s="7" t="s">
        <v>1089</v>
      </c>
      <c r="F952" s="7" t="s">
        <v>50</v>
      </c>
      <c r="G952" s="5" t="s">
        <v>68</v>
      </c>
      <c r="H952" s="7" t="s">
        <v>344</v>
      </c>
      <c r="I952" s="7" t="s">
        <v>104</v>
      </c>
      <c r="J952" s="7" t="s">
        <v>526</v>
      </c>
      <c r="K952" s="7" t="s">
        <v>36</v>
      </c>
      <c r="L952" s="7" t="s">
        <v>37</v>
      </c>
      <c r="M952" s="7" t="s">
        <v>38</v>
      </c>
      <c r="N952" s="5">
        <v>43868.0</v>
      </c>
      <c r="O952" s="8">
        <v>27600.0</v>
      </c>
      <c r="P952" s="8">
        <v>43200.0</v>
      </c>
      <c r="Q952" s="8">
        <v>15600.0</v>
      </c>
      <c r="R952" s="8">
        <v>32.0</v>
      </c>
      <c r="S952" s="8">
        <v>1382400.0</v>
      </c>
      <c r="T952" s="9">
        <v>0.01</v>
      </c>
      <c r="U952" s="8">
        <v>13824.0</v>
      </c>
      <c r="V952" s="8">
        <v>1368576.0</v>
      </c>
      <c r="W952" s="10">
        <v>883200.0</v>
      </c>
      <c r="X952" s="10">
        <v>485376.0</v>
      </c>
    </row>
    <row r="953" ht="15.75" customHeight="1">
      <c r="A953" s="3" t="s">
        <v>2749</v>
      </c>
      <c r="B953" s="5">
        <v>43868.0</v>
      </c>
      <c r="C953" s="6">
        <v>2020.0</v>
      </c>
      <c r="D953" s="7" t="s">
        <v>830</v>
      </c>
      <c r="E953" s="7" t="s">
        <v>537</v>
      </c>
      <c r="F953" s="7" t="s">
        <v>31</v>
      </c>
      <c r="G953" s="5" t="s">
        <v>51</v>
      </c>
      <c r="H953" s="7" t="s">
        <v>33</v>
      </c>
      <c r="I953" s="7" t="s">
        <v>53</v>
      </c>
      <c r="J953" s="7" t="s">
        <v>184</v>
      </c>
      <c r="K953" s="7" t="s">
        <v>36</v>
      </c>
      <c r="L953" s="7" t="s">
        <v>37</v>
      </c>
      <c r="M953" s="7" t="s">
        <v>55</v>
      </c>
      <c r="N953" s="5">
        <v>43870.0</v>
      </c>
      <c r="O953" s="8">
        <v>23850.0</v>
      </c>
      <c r="P953" s="8">
        <v>39150.0</v>
      </c>
      <c r="Q953" s="8">
        <v>15300.0</v>
      </c>
      <c r="R953" s="8">
        <v>25.0</v>
      </c>
      <c r="S953" s="8">
        <v>978750.0</v>
      </c>
      <c r="T953" s="9">
        <v>0.04</v>
      </c>
      <c r="U953" s="8">
        <v>39150.0</v>
      </c>
      <c r="V953" s="8">
        <v>939600.0</v>
      </c>
      <c r="W953" s="10">
        <v>596250.0</v>
      </c>
      <c r="X953" s="10">
        <v>343350.0</v>
      </c>
    </row>
    <row r="954" ht="15.75" customHeight="1">
      <c r="A954" s="3" t="s">
        <v>2750</v>
      </c>
      <c r="B954" s="5">
        <v>43868.0</v>
      </c>
      <c r="C954" s="6">
        <v>2020.0</v>
      </c>
      <c r="D954" s="7" t="s">
        <v>1479</v>
      </c>
      <c r="E954" s="7" t="s">
        <v>79</v>
      </c>
      <c r="F954" s="7" t="s">
        <v>50</v>
      </c>
      <c r="G954" s="5" t="s">
        <v>51</v>
      </c>
      <c r="H954" s="7" t="s">
        <v>80</v>
      </c>
      <c r="I954" s="7" t="s">
        <v>34</v>
      </c>
      <c r="J954" s="7" t="s">
        <v>70</v>
      </c>
      <c r="K954" s="7" t="s">
        <v>36</v>
      </c>
      <c r="L954" s="7" t="s">
        <v>45</v>
      </c>
      <c r="M954" s="7" t="s">
        <v>38</v>
      </c>
      <c r="N954" s="5">
        <v>43870.0</v>
      </c>
      <c r="O954" s="8">
        <v>13500.0</v>
      </c>
      <c r="P954" s="8">
        <v>31500.0</v>
      </c>
      <c r="Q954" s="8">
        <v>18000.0</v>
      </c>
      <c r="R954" s="8">
        <v>33.0</v>
      </c>
      <c r="S954" s="8">
        <v>1039500.0</v>
      </c>
      <c r="T954" s="9">
        <v>0.05</v>
      </c>
      <c r="U954" s="8">
        <v>51975.0</v>
      </c>
      <c r="V954" s="8">
        <v>987525.0</v>
      </c>
      <c r="W954" s="10">
        <v>445500.0</v>
      </c>
      <c r="X954" s="10">
        <v>542025.0</v>
      </c>
    </row>
    <row r="955" ht="15.75" customHeight="1">
      <c r="A955" s="3" t="s">
        <v>2751</v>
      </c>
      <c r="B955" s="5">
        <v>43870.0</v>
      </c>
      <c r="C955" s="6">
        <v>2020.0</v>
      </c>
      <c r="D955" s="7" t="s">
        <v>29</v>
      </c>
      <c r="E955" s="7" t="s">
        <v>30</v>
      </c>
      <c r="F955" s="7" t="s">
        <v>31</v>
      </c>
      <c r="G955" s="5" t="s">
        <v>32</v>
      </c>
      <c r="H955" s="7" t="s">
        <v>33</v>
      </c>
      <c r="I955" s="7" t="s">
        <v>104</v>
      </c>
      <c r="J955" s="7" t="s">
        <v>473</v>
      </c>
      <c r="K955" s="7" t="s">
        <v>61</v>
      </c>
      <c r="L955" s="7" t="s">
        <v>37</v>
      </c>
      <c r="M955" s="7" t="s">
        <v>38</v>
      </c>
      <c r="N955" s="5">
        <v>43871.0</v>
      </c>
      <c r="O955" s="8">
        <v>817800.0</v>
      </c>
      <c r="P955" s="8">
        <v>1514550.0</v>
      </c>
      <c r="Q955" s="8">
        <v>696750.0</v>
      </c>
      <c r="R955" s="8">
        <v>29.0</v>
      </c>
      <c r="S955" s="8">
        <v>4.392195E7</v>
      </c>
      <c r="T955" s="9">
        <v>0.05</v>
      </c>
      <c r="U955" s="8">
        <v>2196097.5</v>
      </c>
      <c r="V955" s="8">
        <v>4.17258525E7</v>
      </c>
      <c r="W955" s="10">
        <v>2.37162E7</v>
      </c>
      <c r="X955" s="10">
        <v>1.80096525E7</v>
      </c>
    </row>
    <row r="956" ht="15.75" customHeight="1">
      <c r="A956" s="3" t="s">
        <v>2752</v>
      </c>
      <c r="B956" s="5">
        <v>43870.0</v>
      </c>
      <c r="C956" s="6">
        <v>2020.0</v>
      </c>
      <c r="D956" s="7" t="s">
        <v>29</v>
      </c>
      <c r="E956" s="7" t="s">
        <v>30</v>
      </c>
      <c r="F956" s="7" t="s">
        <v>31</v>
      </c>
      <c r="G956" s="5" t="s">
        <v>32</v>
      </c>
      <c r="H956" s="7" t="s">
        <v>33</v>
      </c>
      <c r="I956" s="7" t="s">
        <v>104</v>
      </c>
      <c r="J956" s="7" t="s">
        <v>981</v>
      </c>
      <c r="K956" s="7" t="s">
        <v>36</v>
      </c>
      <c r="L956" s="7" t="s">
        <v>45</v>
      </c>
      <c r="M956" s="7" t="s">
        <v>38</v>
      </c>
      <c r="N956" s="5">
        <v>43870.0</v>
      </c>
      <c r="O956" s="8">
        <v>38850.0</v>
      </c>
      <c r="P956" s="8">
        <v>59700.0</v>
      </c>
      <c r="Q956" s="8">
        <v>20850.0</v>
      </c>
      <c r="R956" s="8">
        <v>4.0</v>
      </c>
      <c r="S956" s="8">
        <v>238800.0</v>
      </c>
      <c r="T956" s="9">
        <v>0.09</v>
      </c>
      <c r="U956" s="8">
        <v>21492.0</v>
      </c>
      <c r="V956" s="8">
        <v>217308.0</v>
      </c>
      <c r="W956" s="10">
        <v>155400.0</v>
      </c>
      <c r="X956" s="10">
        <v>61908.0</v>
      </c>
    </row>
    <row r="957" ht="15.75" customHeight="1">
      <c r="A957" s="3" t="s">
        <v>2753</v>
      </c>
      <c r="B957" s="5">
        <v>43871.0</v>
      </c>
      <c r="C957" s="6">
        <v>2020.0</v>
      </c>
      <c r="D957" s="7" t="s">
        <v>2754</v>
      </c>
      <c r="E957" s="7" t="s">
        <v>183</v>
      </c>
      <c r="F957" s="7" t="s">
        <v>31</v>
      </c>
      <c r="G957" s="5" t="s">
        <v>32</v>
      </c>
      <c r="H957" s="7" t="s">
        <v>43</v>
      </c>
      <c r="I957" s="7" t="s">
        <v>74</v>
      </c>
      <c r="J957" s="7" t="s">
        <v>502</v>
      </c>
      <c r="K957" s="7" t="s">
        <v>36</v>
      </c>
      <c r="L957" s="7" t="s">
        <v>37</v>
      </c>
      <c r="M957" s="7" t="s">
        <v>55</v>
      </c>
      <c r="N957" s="5">
        <v>43880.0</v>
      </c>
      <c r="O957" s="8">
        <v>66900.0</v>
      </c>
      <c r="P957" s="8">
        <v>163350.0</v>
      </c>
      <c r="Q957" s="8">
        <v>96450.0</v>
      </c>
      <c r="R957" s="8">
        <v>30.0</v>
      </c>
      <c r="S957" s="8">
        <v>4900500.0</v>
      </c>
      <c r="T957" s="9">
        <v>0.08</v>
      </c>
      <c r="U957" s="8">
        <v>392040.0</v>
      </c>
      <c r="V957" s="8">
        <v>4508460.0</v>
      </c>
      <c r="W957" s="10">
        <v>2007000.0</v>
      </c>
      <c r="X957" s="10">
        <v>2501460.0</v>
      </c>
    </row>
    <row r="958" ht="15.75" customHeight="1">
      <c r="A958" s="3" t="s">
        <v>2755</v>
      </c>
      <c r="B958" s="5">
        <v>43871.0</v>
      </c>
      <c r="C958" s="6">
        <v>2020.0</v>
      </c>
      <c r="D958" s="7" t="s">
        <v>976</v>
      </c>
      <c r="E958" s="7" t="s">
        <v>977</v>
      </c>
      <c r="F958" s="7" t="s">
        <v>31</v>
      </c>
      <c r="G958" s="5" t="s">
        <v>51</v>
      </c>
      <c r="H958" s="7" t="s">
        <v>33</v>
      </c>
      <c r="I958" s="7" t="s">
        <v>53</v>
      </c>
      <c r="J958" s="7" t="s">
        <v>428</v>
      </c>
      <c r="K958" s="7" t="s">
        <v>36</v>
      </c>
      <c r="L958" s="7" t="s">
        <v>37</v>
      </c>
      <c r="M958" s="7" t="s">
        <v>38</v>
      </c>
      <c r="N958" s="5">
        <v>43873.0</v>
      </c>
      <c r="O958" s="8">
        <v>29700.0</v>
      </c>
      <c r="P958" s="8">
        <v>47250.0</v>
      </c>
      <c r="Q958" s="8">
        <v>17550.0</v>
      </c>
      <c r="R958" s="8">
        <v>24.0</v>
      </c>
      <c r="S958" s="8">
        <v>1134000.0</v>
      </c>
      <c r="T958" s="9">
        <v>0.02</v>
      </c>
      <c r="U958" s="8">
        <v>22680.0</v>
      </c>
      <c r="V958" s="8">
        <v>1111320.0</v>
      </c>
      <c r="W958" s="10">
        <v>712800.0</v>
      </c>
      <c r="X958" s="10">
        <v>398520.0</v>
      </c>
    </row>
    <row r="959" ht="15.0" customHeight="1">
      <c r="A959" s="3" t="s">
        <v>2756</v>
      </c>
      <c r="B959" s="5">
        <v>43872.0</v>
      </c>
      <c r="C959" s="6">
        <v>2020.0</v>
      </c>
      <c r="D959" s="7" t="s">
        <v>2757</v>
      </c>
      <c r="E959" s="7" t="s">
        <v>1312</v>
      </c>
      <c r="F959" s="7" t="s">
        <v>50</v>
      </c>
      <c r="G959" s="5" t="s">
        <v>32</v>
      </c>
      <c r="H959" s="7" t="s">
        <v>200</v>
      </c>
      <c r="I959" s="7" t="s">
        <v>53</v>
      </c>
      <c r="J959" s="7" t="s">
        <v>190</v>
      </c>
      <c r="K959" s="7" t="s">
        <v>61</v>
      </c>
      <c r="L959" s="7" t="s">
        <v>37</v>
      </c>
      <c r="M959" s="7" t="s">
        <v>38</v>
      </c>
      <c r="N959" s="5">
        <v>43873.0</v>
      </c>
      <c r="O959" s="8">
        <v>95850.0</v>
      </c>
      <c r="P959" s="8">
        <v>299700.0</v>
      </c>
      <c r="Q959" s="8">
        <v>203850.0</v>
      </c>
      <c r="R959" s="8">
        <v>9.0</v>
      </c>
      <c r="S959" s="8">
        <v>2697300.0</v>
      </c>
      <c r="T959" s="9">
        <v>0.09</v>
      </c>
      <c r="U959" s="8">
        <v>242757.0</v>
      </c>
      <c r="V959" s="8">
        <v>2454543.0</v>
      </c>
      <c r="W959" s="10">
        <v>862650.0</v>
      </c>
      <c r="X959" s="10">
        <v>1591893.0</v>
      </c>
    </row>
    <row r="960" ht="15.0" customHeight="1">
      <c r="A960" s="3" t="s">
        <v>2758</v>
      </c>
      <c r="B960" s="5">
        <v>43874.0</v>
      </c>
      <c r="C960" s="6">
        <v>2020.0</v>
      </c>
      <c r="D960" s="7" t="s">
        <v>2759</v>
      </c>
      <c r="E960" s="7" t="s">
        <v>466</v>
      </c>
      <c r="F960" s="7" t="s">
        <v>50</v>
      </c>
      <c r="G960" s="5" t="s">
        <v>51</v>
      </c>
      <c r="H960" s="7" t="s">
        <v>110</v>
      </c>
      <c r="I960" s="7" t="s">
        <v>104</v>
      </c>
      <c r="J960" s="7" t="s">
        <v>269</v>
      </c>
      <c r="K960" s="7" t="s">
        <v>61</v>
      </c>
      <c r="L960" s="7" t="s">
        <v>244</v>
      </c>
      <c r="M960" s="7" t="s">
        <v>38</v>
      </c>
      <c r="N960" s="5">
        <v>43874.0</v>
      </c>
      <c r="O960" s="8">
        <v>148650.0</v>
      </c>
      <c r="P960" s="8">
        <v>239850.0</v>
      </c>
      <c r="Q960" s="8">
        <v>91200.0</v>
      </c>
      <c r="R960" s="8">
        <v>33.0</v>
      </c>
      <c r="S960" s="8">
        <v>7915050.0</v>
      </c>
      <c r="T960" s="9">
        <v>0.01</v>
      </c>
      <c r="U960" s="8">
        <v>79150.5</v>
      </c>
      <c r="V960" s="8">
        <v>7835899.5</v>
      </c>
      <c r="W960" s="10">
        <v>4905450.0</v>
      </c>
      <c r="X960" s="10">
        <v>2930449.5</v>
      </c>
    </row>
    <row r="961" ht="15.0" customHeight="1">
      <c r="A961" s="3" t="s">
        <v>2760</v>
      </c>
      <c r="B961" s="5">
        <v>43874.0</v>
      </c>
      <c r="C961" s="6">
        <v>2020.0</v>
      </c>
      <c r="D961" s="7" t="s">
        <v>2157</v>
      </c>
      <c r="E961" s="7" t="s">
        <v>1069</v>
      </c>
      <c r="F961" s="7" t="s">
        <v>31</v>
      </c>
      <c r="G961" s="5" t="s">
        <v>51</v>
      </c>
      <c r="H961" s="7" t="s">
        <v>43</v>
      </c>
      <c r="I961" s="7" t="s">
        <v>104</v>
      </c>
      <c r="J961" s="7" t="s">
        <v>497</v>
      </c>
      <c r="K961" s="7" t="s">
        <v>36</v>
      </c>
      <c r="L961" s="7" t="s">
        <v>37</v>
      </c>
      <c r="M961" s="7" t="s">
        <v>38</v>
      </c>
      <c r="N961" s="5">
        <v>43875.0</v>
      </c>
      <c r="O961" s="8">
        <v>54750.0</v>
      </c>
      <c r="P961" s="8">
        <v>89700.0</v>
      </c>
      <c r="Q961" s="8">
        <v>34950.0</v>
      </c>
      <c r="R961" s="8">
        <v>23.0</v>
      </c>
      <c r="S961" s="8">
        <v>2063100.0</v>
      </c>
      <c r="T961" s="9">
        <v>0.01</v>
      </c>
      <c r="U961" s="8">
        <v>20631.0</v>
      </c>
      <c r="V961" s="8">
        <v>2042469.0</v>
      </c>
      <c r="W961" s="10">
        <v>1259250.0</v>
      </c>
      <c r="X961" s="10">
        <v>783219.0</v>
      </c>
    </row>
    <row r="962" ht="15.0" customHeight="1">
      <c r="A962" s="3" t="s">
        <v>2761</v>
      </c>
      <c r="B962" s="5">
        <v>43874.0</v>
      </c>
      <c r="C962" s="6">
        <v>2020.0</v>
      </c>
      <c r="D962" s="7" t="s">
        <v>465</v>
      </c>
      <c r="E962" s="7" t="s">
        <v>466</v>
      </c>
      <c r="F962" s="7" t="s">
        <v>50</v>
      </c>
      <c r="G962" s="5" t="s">
        <v>32</v>
      </c>
      <c r="H962" s="7" t="s">
        <v>110</v>
      </c>
      <c r="I962" s="7" t="s">
        <v>92</v>
      </c>
      <c r="J962" s="7" t="s">
        <v>563</v>
      </c>
      <c r="K962" s="7" t="s">
        <v>36</v>
      </c>
      <c r="L962" s="7" t="s">
        <v>37</v>
      </c>
      <c r="M962" s="7" t="s">
        <v>38</v>
      </c>
      <c r="N962" s="5">
        <v>43877.0</v>
      </c>
      <c r="O962" s="8">
        <v>52500.0</v>
      </c>
      <c r="P962" s="8">
        <v>86100.0</v>
      </c>
      <c r="Q962" s="8">
        <v>33600.0</v>
      </c>
      <c r="R962" s="8">
        <v>48.0</v>
      </c>
      <c r="S962" s="8">
        <v>4132800.0</v>
      </c>
      <c r="T962" s="9">
        <v>0.05</v>
      </c>
      <c r="U962" s="8">
        <v>206640.0</v>
      </c>
      <c r="V962" s="8">
        <v>3926160.0</v>
      </c>
      <c r="W962" s="10">
        <v>2520000.0</v>
      </c>
      <c r="X962" s="10">
        <v>1406160.0</v>
      </c>
    </row>
    <row r="963" ht="15.0" customHeight="1">
      <c r="A963" s="3" t="s">
        <v>2762</v>
      </c>
      <c r="B963" s="5">
        <v>43876.0</v>
      </c>
      <c r="C963" s="6">
        <v>2020.0</v>
      </c>
      <c r="D963" s="7" t="s">
        <v>774</v>
      </c>
      <c r="E963" s="7" t="s">
        <v>775</v>
      </c>
      <c r="F963" s="7" t="s">
        <v>50</v>
      </c>
      <c r="G963" s="5" t="s">
        <v>51</v>
      </c>
      <c r="H963" s="7" t="s">
        <v>80</v>
      </c>
      <c r="I963" s="7" t="s">
        <v>53</v>
      </c>
      <c r="J963" s="7" t="s">
        <v>195</v>
      </c>
      <c r="K963" s="7" t="s">
        <v>61</v>
      </c>
      <c r="L963" s="7" t="s">
        <v>37</v>
      </c>
      <c r="M963" s="7" t="s">
        <v>38</v>
      </c>
      <c r="N963" s="5">
        <v>43877.0</v>
      </c>
      <c r="O963" s="8">
        <v>594600.0</v>
      </c>
      <c r="P963" s="8">
        <v>2287200.0</v>
      </c>
      <c r="Q963" s="8">
        <v>1692600.0</v>
      </c>
      <c r="R963" s="8">
        <v>44.0</v>
      </c>
      <c r="S963" s="8">
        <v>1.006368E8</v>
      </c>
      <c r="T963" s="9">
        <v>0.03</v>
      </c>
      <c r="U963" s="8">
        <v>3019104.0</v>
      </c>
      <c r="V963" s="8">
        <v>9.7617696E7</v>
      </c>
      <c r="W963" s="10">
        <v>2.61624E7</v>
      </c>
      <c r="X963" s="10">
        <v>7.1455296E7</v>
      </c>
    </row>
    <row r="964" ht="15.0" customHeight="1">
      <c r="A964" s="3" t="s">
        <v>2763</v>
      </c>
      <c r="B964" s="5">
        <v>43876.0</v>
      </c>
      <c r="C964" s="6">
        <v>2020.0</v>
      </c>
      <c r="D964" s="7" t="s">
        <v>2764</v>
      </c>
      <c r="E964" s="7" t="s">
        <v>416</v>
      </c>
      <c r="F964" s="7" t="s">
        <v>50</v>
      </c>
      <c r="G964" s="5" t="s">
        <v>32</v>
      </c>
      <c r="H964" s="7" t="s">
        <v>52</v>
      </c>
      <c r="I964" s="7" t="s">
        <v>92</v>
      </c>
      <c r="J964" s="7" t="s">
        <v>654</v>
      </c>
      <c r="K964" s="7" t="s">
        <v>36</v>
      </c>
      <c r="L964" s="7" t="s">
        <v>127</v>
      </c>
      <c r="M964" s="7" t="s">
        <v>38</v>
      </c>
      <c r="N964" s="5">
        <v>43877.0</v>
      </c>
      <c r="O964" s="8">
        <v>37500.0</v>
      </c>
      <c r="P964" s="8">
        <v>85200.0</v>
      </c>
      <c r="Q964" s="8">
        <v>47700.0</v>
      </c>
      <c r="R964" s="8">
        <v>34.0</v>
      </c>
      <c r="S964" s="8">
        <v>2896800.0</v>
      </c>
      <c r="T964" s="9">
        <v>0.0</v>
      </c>
      <c r="U964" s="8">
        <v>0.0</v>
      </c>
      <c r="V964" s="8">
        <v>2896800.0</v>
      </c>
      <c r="W964" s="10">
        <v>1275000.0</v>
      </c>
      <c r="X964" s="10">
        <v>1621800.0</v>
      </c>
    </row>
    <row r="965" ht="15.0" customHeight="1">
      <c r="A965" s="3" t="s">
        <v>2765</v>
      </c>
      <c r="B965" s="5">
        <v>43876.0</v>
      </c>
      <c r="C965" s="6">
        <v>2020.0</v>
      </c>
      <c r="D965" s="7" t="s">
        <v>1793</v>
      </c>
      <c r="E965" s="7" t="s">
        <v>770</v>
      </c>
      <c r="F965" s="7" t="s">
        <v>289</v>
      </c>
      <c r="G965" s="5" t="s">
        <v>32</v>
      </c>
      <c r="H965" s="7" t="s">
        <v>98</v>
      </c>
      <c r="I965" s="7" t="s">
        <v>92</v>
      </c>
      <c r="J965" s="7" t="s">
        <v>753</v>
      </c>
      <c r="K965" s="7" t="s">
        <v>36</v>
      </c>
      <c r="L965" s="7" t="s">
        <v>127</v>
      </c>
      <c r="M965" s="7" t="s">
        <v>38</v>
      </c>
      <c r="N965" s="5">
        <v>43878.0</v>
      </c>
      <c r="O965" s="8">
        <v>252000.0</v>
      </c>
      <c r="P965" s="8">
        <v>614550.0</v>
      </c>
      <c r="Q965" s="8">
        <v>362550.0</v>
      </c>
      <c r="R965" s="8">
        <v>26.0</v>
      </c>
      <c r="S965" s="8">
        <v>1.59783E7</v>
      </c>
      <c r="T965" s="9">
        <v>0.06</v>
      </c>
      <c r="U965" s="8">
        <v>958698.0</v>
      </c>
      <c r="V965" s="8">
        <v>1.5019602E7</v>
      </c>
      <c r="W965" s="10">
        <v>6552000.0</v>
      </c>
      <c r="X965" s="10">
        <v>8467602.0</v>
      </c>
    </row>
    <row r="966" ht="15.0" customHeight="1">
      <c r="A966" s="3" t="s">
        <v>2766</v>
      </c>
      <c r="B966" s="5">
        <v>43876.0</v>
      </c>
      <c r="C966" s="6">
        <v>2020.0</v>
      </c>
      <c r="D966" s="7" t="s">
        <v>1080</v>
      </c>
      <c r="E966" s="7" t="s">
        <v>642</v>
      </c>
      <c r="F966" s="7" t="s">
        <v>50</v>
      </c>
      <c r="G966" s="5" t="s">
        <v>32</v>
      </c>
      <c r="H966" s="7" t="s">
        <v>69</v>
      </c>
      <c r="I966" s="7" t="s">
        <v>74</v>
      </c>
      <c r="J966" s="7" t="s">
        <v>141</v>
      </c>
      <c r="K966" s="7" t="s">
        <v>36</v>
      </c>
      <c r="L966" s="7" t="s">
        <v>45</v>
      </c>
      <c r="M966" s="7" t="s">
        <v>38</v>
      </c>
      <c r="N966" s="5">
        <v>43880.0</v>
      </c>
      <c r="O966" s="8">
        <v>19500.0</v>
      </c>
      <c r="P966" s="8">
        <v>43200.0</v>
      </c>
      <c r="Q966" s="8">
        <v>23700.0</v>
      </c>
      <c r="R966" s="8">
        <v>41.0</v>
      </c>
      <c r="S966" s="8">
        <v>1771200.0</v>
      </c>
      <c r="T966" s="9">
        <v>0.1</v>
      </c>
      <c r="U966" s="8">
        <v>177120.0</v>
      </c>
      <c r="V966" s="8">
        <v>1594080.0</v>
      </c>
      <c r="W966" s="10">
        <v>799500.0</v>
      </c>
      <c r="X966" s="10">
        <v>794580.0</v>
      </c>
    </row>
    <row r="967" ht="15.0" customHeight="1">
      <c r="A967" s="3" t="s">
        <v>2767</v>
      </c>
      <c r="B967" s="5">
        <v>43877.0</v>
      </c>
      <c r="C967" s="6">
        <v>2020.0</v>
      </c>
      <c r="D967" s="7" t="s">
        <v>2768</v>
      </c>
      <c r="E967" s="7" t="s">
        <v>268</v>
      </c>
      <c r="F967" s="7" t="s">
        <v>50</v>
      </c>
      <c r="G967" s="5" t="s">
        <v>51</v>
      </c>
      <c r="H967" s="7" t="s">
        <v>140</v>
      </c>
      <c r="I967" s="7" t="s">
        <v>92</v>
      </c>
      <c r="J967" s="7" t="s">
        <v>303</v>
      </c>
      <c r="K967" s="7" t="s">
        <v>36</v>
      </c>
      <c r="L967" s="7" t="s">
        <v>37</v>
      </c>
      <c r="M967" s="7" t="s">
        <v>38</v>
      </c>
      <c r="N967" s="5">
        <v>43878.0</v>
      </c>
      <c r="O967" s="8">
        <v>57600.0</v>
      </c>
      <c r="P967" s="8">
        <v>94500.0</v>
      </c>
      <c r="Q967" s="8">
        <v>36900.0</v>
      </c>
      <c r="R967" s="8">
        <v>35.0</v>
      </c>
      <c r="S967" s="8">
        <v>3307500.0</v>
      </c>
      <c r="T967" s="9">
        <v>0.03</v>
      </c>
      <c r="U967" s="8">
        <v>99225.0</v>
      </c>
      <c r="V967" s="8">
        <v>3208275.0</v>
      </c>
      <c r="W967" s="10">
        <v>2016000.0</v>
      </c>
      <c r="X967" s="10">
        <v>1192275.0</v>
      </c>
    </row>
    <row r="968" ht="15.0" customHeight="1">
      <c r="A968" s="3" t="s">
        <v>2769</v>
      </c>
      <c r="B968" s="5">
        <v>43879.0</v>
      </c>
      <c r="C968" s="6">
        <v>2020.0</v>
      </c>
      <c r="D968" s="7" t="s">
        <v>2770</v>
      </c>
      <c r="E968" s="7" t="s">
        <v>952</v>
      </c>
      <c r="F968" s="7" t="s">
        <v>50</v>
      </c>
      <c r="G968" s="5" t="s">
        <v>91</v>
      </c>
      <c r="H968" s="7" t="s">
        <v>98</v>
      </c>
      <c r="I968" s="7" t="s">
        <v>74</v>
      </c>
      <c r="J968" s="7" t="s">
        <v>563</v>
      </c>
      <c r="K968" s="7" t="s">
        <v>36</v>
      </c>
      <c r="L968" s="7" t="s">
        <v>37</v>
      </c>
      <c r="M968" s="7" t="s">
        <v>38</v>
      </c>
      <c r="N968" s="5">
        <v>43886.0</v>
      </c>
      <c r="O968" s="8">
        <v>52500.0</v>
      </c>
      <c r="P968" s="8">
        <v>86100.0</v>
      </c>
      <c r="Q968" s="8">
        <v>33600.0</v>
      </c>
      <c r="R968" s="8">
        <v>5.0</v>
      </c>
      <c r="S968" s="8">
        <v>430500.0</v>
      </c>
      <c r="T968" s="9">
        <v>0.07</v>
      </c>
      <c r="U968" s="8">
        <v>30135.000000000004</v>
      </c>
      <c r="V968" s="8">
        <v>400365.0</v>
      </c>
      <c r="W968" s="10">
        <v>262500.0</v>
      </c>
      <c r="X968" s="10">
        <v>137865.0</v>
      </c>
    </row>
    <row r="969" ht="15.0" customHeight="1">
      <c r="A969" s="3" t="s">
        <v>2771</v>
      </c>
      <c r="B969" s="5">
        <v>43882.0</v>
      </c>
      <c r="C969" s="6">
        <v>2020.0</v>
      </c>
      <c r="D969" s="7" t="s">
        <v>2772</v>
      </c>
      <c r="E969" s="7" t="s">
        <v>559</v>
      </c>
      <c r="F969" s="7" t="s">
        <v>50</v>
      </c>
      <c r="G969" s="5" t="s">
        <v>68</v>
      </c>
      <c r="H969" s="7" t="s">
        <v>98</v>
      </c>
      <c r="I969" s="7" t="s">
        <v>74</v>
      </c>
      <c r="J969" s="7" t="s">
        <v>327</v>
      </c>
      <c r="K969" s="7" t="s">
        <v>36</v>
      </c>
      <c r="L969" s="7" t="s">
        <v>37</v>
      </c>
      <c r="M969" s="7" t="s">
        <v>38</v>
      </c>
      <c r="N969" s="5">
        <v>43887.0</v>
      </c>
      <c r="O969" s="8">
        <v>133800.0</v>
      </c>
      <c r="P969" s="8">
        <v>446100.0</v>
      </c>
      <c r="Q969" s="8">
        <v>312300.0</v>
      </c>
      <c r="R969" s="8">
        <v>31.0</v>
      </c>
      <c r="S969" s="8">
        <v>1.38291E7</v>
      </c>
      <c r="T969" s="9">
        <v>0.0</v>
      </c>
      <c r="U969" s="8">
        <v>0.0</v>
      </c>
      <c r="V969" s="8">
        <v>1.38291E7</v>
      </c>
      <c r="W969" s="10">
        <v>4147800.0</v>
      </c>
      <c r="X969" s="10">
        <v>9681300.0</v>
      </c>
    </row>
    <row r="970" ht="15.0" customHeight="1">
      <c r="A970" s="3" t="s">
        <v>2773</v>
      </c>
      <c r="B970" s="5">
        <v>43882.0</v>
      </c>
      <c r="C970" s="6">
        <v>2020.0</v>
      </c>
      <c r="D970" s="7" t="s">
        <v>616</v>
      </c>
      <c r="E970" s="7" t="s">
        <v>617</v>
      </c>
      <c r="F970" s="7" t="s">
        <v>289</v>
      </c>
      <c r="G970" s="5" t="s">
        <v>32</v>
      </c>
      <c r="H970" s="7" t="s">
        <v>360</v>
      </c>
      <c r="I970" s="7" t="s">
        <v>74</v>
      </c>
      <c r="J970" s="7" t="s">
        <v>1189</v>
      </c>
      <c r="K970" s="7" t="s">
        <v>36</v>
      </c>
      <c r="L970" s="7" t="s">
        <v>45</v>
      </c>
      <c r="M970" s="7" t="s">
        <v>38</v>
      </c>
      <c r="N970" s="5">
        <v>43884.0</v>
      </c>
      <c r="O970" s="8">
        <v>16350.000000000002</v>
      </c>
      <c r="P970" s="8">
        <v>27300.0</v>
      </c>
      <c r="Q970" s="8">
        <v>10949.999999999998</v>
      </c>
      <c r="R970" s="8">
        <v>40.0</v>
      </c>
      <c r="S970" s="8">
        <v>1092000.0</v>
      </c>
      <c r="T970" s="9">
        <v>0.05</v>
      </c>
      <c r="U970" s="8">
        <v>54600.0</v>
      </c>
      <c r="V970" s="8">
        <v>1037400.0</v>
      </c>
      <c r="W970" s="10">
        <v>654000.0000000001</v>
      </c>
      <c r="X970" s="10">
        <v>383399.9999999999</v>
      </c>
    </row>
    <row r="971" ht="15.0" customHeight="1">
      <c r="A971" s="3" t="s">
        <v>2774</v>
      </c>
      <c r="B971" s="5">
        <v>43882.0</v>
      </c>
      <c r="C971" s="6">
        <v>2020.0</v>
      </c>
      <c r="D971" s="7" t="s">
        <v>707</v>
      </c>
      <c r="E971" s="7" t="s">
        <v>119</v>
      </c>
      <c r="F971" s="7" t="s">
        <v>31</v>
      </c>
      <c r="G971" s="5" t="s">
        <v>68</v>
      </c>
      <c r="H971" s="7" t="s">
        <v>33</v>
      </c>
      <c r="I971" s="7" t="s">
        <v>92</v>
      </c>
      <c r="J971" s="7" t="s">
        <v>70</v>
      </c>
      <c r="K971" s="7" t="s">
        <v>36</v>
      </c>
      <c r="L971" s="7" t="s">
        <v>45</v>
      </c>
      <c r="M971" s="7" t="s">
        <v>38</v>
      </c>
      <c r="N971" s="5">
        <v>43882.0</v>
      </c>
      <c r="O971" s="8">
        <v>13500.0</v>
      </c>
      <c r="P971" s="8">
        <v>31500.0</v>
      </c>
      <c r="Q971" s="8">
        <v>18000.0</v>
      </c>
      <c r="R971" s="8">
        <v>27.0</v>
      </c>
      <c r="S971" s="8">
        <v>850500.0</v>
      </c>
      <c r="T971" s="9">
        <v>0.04</v>
      </c>
      <c r="U971" s="8">
        <v>34020.0</v>
      </c>
      <c r="V971" s="8">
        <v>816480.0</v>
      </c>
      <c r="W971" s="10">
        <v>364500.0</v>
      </c>
      <c r="X971" s="10">
        <v>451980.0</v>
      </c>
    </row>
    <row r="972" ht="15.0" customHeight="1">
      <c r="A972" s="3" t="s">
        <v>2775</v>
      </c>
      <c r="B972" s="5">
        <v>43883.0</v>
      </c>
      <c r="C972" s="6">
        <v>2020.0</v>
      </c>
      <c r="D972" s="7" t="s">
        <v>2776</v>
      </c>
      <c r="E972" s="7" t="s">
        <v>2364</v>
      </c>
      <c r="F972" s="7" t="s">
        <v>50</v>
      </c>
      <c r="G972" s="5" t="s">
        <v>51</v>
      </c>
      <c r="H972" s="7" t="s">
        <v>69</v>
      </c>
      <c r="I972" s="7" t="s">
        <v>34</v>
      </c>
      <c r="J972" s="7" t="s">
        <v>165</v>
      </c>
      <c r="K972" s="7" t="s">
        <v>36</v>
      </c>
      <c r="L972" s="7" t="s">
        <v>127</v>
      </c>
      <c r="M972" s="7" t="s">
        <v>38</v>
      </c>
      <c r="N972" s="5">
        <v>43885.0</v>
      </c>
      <c r="O972" s="8">
        <v>14100.0</v>
      </c>
      <c r="P972" s="8">
        <v>31200.0</v>
      </c>
      <c r="Q972" s="8">
        <v>17100.0</v>
      </c>
      <c r="R972" s="8">
        <v>39.0</v>
      </c>
      <c r="S972" s="8">
        <v>1216800.0</v>
      </c>
      <c r="T972" s="9">
        <v>0.04</v>
      </c>
      <c r="U972" s="8">
        <v>48672.0</v>
      </c>
      <c r="V972" s="8">
        <v>1168128.0</v>
      </c>
      <c r="W972" s="10">
        <v>549900.0</v>
      </c>
      <c r="X972" s="10">
        <v>618228.0</v>
      </c>
    </row>
    <row r="973" ht="15.0" customHeight="1">
      <c r="A973" s="3" t="s">
        <v>2777</v>
      </c>
      <c r="B973" s="5">
        <v>43884.0</v>
      </c>
      <c r="C973" s="6">
        <v>2020.0</v>
      </c>
      <c r="D973" s="7" t="s">
        <v>2143</v>
      </c>
      <c r="E973" s="7" t="s">
        <v>642</v>
      </c>
      <c r="F973" s="7" t="s">
        <v>50</v>
      </c>
      <c r="G973" s="5" t="s">
        <v>68</v>
      </c>
      <c r="H973" s="7" t="s">
        <v>69</v>
      </c>
      <c r="I973" s="7" t="s">
        <v>92</v>
      </c>
      <c r="J973" s="7" t="s">
        <v>339</v>
      </c>
      <c r="K973" s="7" t="s">
        <v>61</v>
      </c>
      <c r="L973" s="7" t="s">
        <v>127</v>
      </c>
      <c r="M973" s="7" t="s">
        <v>38</v>
      </c>
      <c r="N973" s="5">
        <v>43886.0</v>
      </c>
      <c r="O973" s="8">
        <v>302700.0</v>
      </c>
      <c r="P973" s="8">
        <v>531150.0</v>
      </c>
      <c r="Q973" s="8">
        <v>228450.0</v>
      </c>
      <c r="R973" s="8">
        <v>21.0</v>
      </c>
      <c r="S973" s="8">
        <v>1.115415E7</v>
      </c>
      <c r="T973" s="9">
        <v>0.09</v>
      </c>
      <c r="U973" s="8">
        <v>1003873.5</v>
      </c>
      <c r="V973" s="8">
        <v>1.01502765E7</v>
      </c>
      <c r="W973" s="10">
        <v>6356700.0</v>
      </c>
      <c r="X973" s="10">
        <v>3793576.5</v>
      </c>
    </row>
    <row r="974" ht="15.0" customHeight="1">
      <c r="A974" s="3" t="s">
        <v>2778</v>
      </c>
      <c r="B974" s="5">
        <v>43886.0</v>
      </c>
      <c r="C974" s="6">
        <v>2020.0</v>
      </c>
      <c r="D974" s="7" t="s">
        <v>742</v>
      </c>
      <c r="E974" s="7" t="s">
        <v>726</v>
      </c>
      <c r="F974" s="7" t="s">
        <v>50</v>
      </c>
      <c r="G974" s="5" t="s">
        <v>91</v>
      </c>
      <c r="H974" s="7" t="s">
        <v>52</v>
      </c>
      <c r="I974" s="7" t="s">
        <v>92</v>
      </c>
      <c r="J974" s="7" t="s">
        <v>373</v>
      </c>
      <c r="K974" s="7" t="s">
        <v>36</v>
      </c>
      <c r="L974" s="7" t="s">
        <v>37</v>
      </c>
      <c r="M974" s="7" t="s">
        <v>38</v>
      </c>
      <c r="N974" s="5">
        <v>43886.0</v>
      </c>
      <c r="O974" s="8">
        <v>297450.0</v>
      </c>
      <c r="P974" s="8">
        <v>464700.0</v>
      </c>
      <c r="Q974" s="8">
        <v>167250.0</v>
      </c>
      <c r="R974" s="8">
        <v>15.0</v>
      </c>
      <c r="S974" s="8">
        <v>6970500.0</v>
      </c>
      <c r="T974" s="9">
        <v>0.0</v>
      </c>
      <c r="U974" s="8">
        <v>0.0</v>
      </c>
      <c r="V974" s="8">
        <v>6970500.0</v>
      </c>
      <c r="W974" s="10">
        <v>4461750.0</v>
      </c>
      <c r="X974" s="10">
        <v>2508750.0</v>
      </c>
    </row>
    <row r="975" ht="15.0" customHeight="1">
      <c r="A975" s="3" t="s">
        <v>2779</v>
      </c>
      <c r="B975" s="5">
        <v>43887.0</v>
      </c>
      <c r="C975" s="6">
        <v>2020.0</v>
      </c>
      <c r="D975" s="7" t="s">
        <v>2780</v>
      </c>
      <c r="E975" s="7" t="s">
        <v>2050</v>
      </c>
      <c r="F975" s="7" t="s">
        <v>50</v>
      </c>
      <c r="G975" s="5" t="s">
        <v>91</v>
      </c>
      <c r="H975" s="7" t="s">
        <v>200</v>
      </c>
      <c r="I975" s="7" t="s">
        <v>74</v>
      </c>
      <c r="J975" s="7" t="s">
        <v>428</v>
      </c>
      <c r="K975" s="7" t="s">
        <v>36</v>
      </c>
      <c r="L975" s="7" t="s">
        <v>37</v>
      </c>
      <c r="M975" s="7" t="s">
        <v>38</v>
      </c>
      <c r="N975" s="5">
        <v>43889.0</v>
      </c>
      <c r="O975" s="8">
        <v>29700.0</v>
      </c>
      <c r="P975" s="8">
        <v>47250.0</v>
      </c>
      <c r="Q975" s="8">
        <v>17550.0</v>
      </c>
      <c r="R975" s="8">
        <v>41.0</v>
      </c>
      <c r="S975" s="8">
        <v>1937250.0</v>
      </c>
      <c r="T975" s="9">
        <v>0.06</v>
      </c>
      <c r="U975" s="8">
        <v>116235.0</v>
      </c>
      <c r="V975" s="8">
        <v>1821015.0</v>
      </c>
      <c r="W975" s="10">
        <v>1217700.0</v>
      </c>
      <c r="X975" s="10">
        <v>603315.0</v>
      </c>
    </row>
    <row r="976" ht="15.0" customHeight="1">
      <c r="A976" s="3" t="s">
        <v>2781</v>
      </c>
      <c r="B976" s="5">
        <v>43888.0</v>
      </c>
      <c r="C976" s="6">
        <v>2020.0</v>
      </c>
      <c r="D976" s="7" t="s">
        <v>2782</v>
      </c>
      <c r="E976" s="7" t="s">
        <v>2783</v>
      </c>
      <c r="F976" s="7" t="s">
        <v>50</v>
      </c>
      <c r="G976" s="5" t="s">
        <v>51</v>
      </c>
      <c r="H976" s="7" t="s">
        <v>98</v>
      </c>
      <c r="I976" s="7" t="s">
        <v>104</v>
      </c>
      <c r="J976" s="7" t="s">
        <v>75</v>
      </c>
      <c r="K976" s="7" t="s">
        <v>36</v>
      </c>
      <c r="L976" s="7" t="s">
        <v>45</v>
      </c>
      <c r="M976" s="7" t="s">
        <v>38</v>
      </c>
      <c r="N976" s="5">
        <v>43889.0</v>
      </c>
      <c r="O976" s="8">
        <v>16350.000000000002</v>
      </c>
      <c r="P976" s="8">
        <v>39000.0</v>
      </c>
      <c r="Q976" s="8">
        <v>22650.0</v>
      </c>
      <c r="R976" s="8">
        <v>11.0</v>
      </c>
      <c r="S976" s="8">
        <v>429000.0</v>
      </c>
      <c r="T976" s="9">
        <v>0.09</v>
      </c>
      <c r="U976" s="8">
        <v>38610.0</v>
      </c>
      <c r="V976" s="8">
        <v>390390.0</v>
      </c>
      <c r="W976" s="10">
        <v>179850.00000000003</v>
      </c>
      <c r="X976" s="10">
        <v>210539.99999999997</v>
      </c>
    </row>
    <row r="977" ht="15.0" customHeight="1">
      <c r="A977" s="3" t="s">
        <v>2784</v>
      </c>
      <c r="B977" s="5">
        <v>43890.0</v>
      </c>
      <c r="C977" s="6">
        <v>2020.0</v>
      </c>
      <c r="D977" s="7" t="s">
        <v>2785</v>
      </c>
      <c r="E977" s="7" t="s">
        <v>667</v>
      </c>
      <c r="F977" s="7" t="s">
        <v>50</v>
      </c>
      <c r="G977" s="5" t="s">
        <v>51</v>
      </c>
      <c r="H977" s="7" t="s">
        <v>140</v>
      </c>
      <c r="I977" s="7" t="s">
        <v>34</v>
      </c>
      <c r="J977" s="7" t="s">
        <v>313</v>
      </c>
      <c r="K977" s="7" t="s">
        <v>36</v>
      </c>
      <c r="L977" s="7" t="s">
        <v>45</v>
      </c>
      <c r="M977" s="7" t="s">
        <v>38</v>
      </c>
      <c r="N977" s="5">
        <v>43890.0</v>
      </c>
      <c r="O977" s="8">
        <v>34350.0</v>
      </c>
      <c r="P977" s="8">
        <v>53700.0</v>
      </c>
      <c r="Q977" s="8">
        <v>19350.0</v>
      </c>
      <c r="R977" s="8">
        <v>32.0</v>
      </c>
      <c r="S977" s="8">
        <v>1718400.0</v>
      </c>
      <c r="T977" s="9">
        <v>0.09</v>
      </c>
      <c r="U977" s="8">
        <v>154656.0</v>
      </c>
      <c r="V977" s="8">
        <v>1563744.0</v>
      </c>
      <c r="W977" s="10">
        <v>1099200.0</v>
      </c>
      <c r="X977" s="10">
        <v>464544.0</v>
      </c>
    </row>
    <row r="978" ht="15.0" customHeight="1">
      <c r="A978" s="3" t="s">
        <v>2786</v>
      </c>
      <c r="B978" s="5">
        <v>43891.0</v>
      </c>
      <c r="C978" s="6">
        <v>2020.0</v>
      </c>
      <c r="D978" s="7" t="s">
        <v>1068</v>
      </c>
      <c r="E978" s="7" t="s">
        <v>1069</v>
      </c>
      <c r="F978" s="7" t="s">
        <v>31</v>
      </c>
      <c r="G978" s="5" t="s">
        <v>91</v>
      </c>
      <c r="H978" s="7" t="s">
        <v>43</v>
      </c>
      <c r="I978" s="7" t="s">
        <v>34</v>
      </c>
      <c r="J978" s="7" t="s">
        <v>282</v>
      </c>
      <c r="K978" s="7" t="s">
        <v>36</v>
      </c>
      <c r="L978" s="7" t="s">
        <v>37</v>
      </c>
      <c r="M978" s="7" t="s">
        <v>38</v>
      </c>
      <c r="N978" s="5">
        <v>43893.0</v>
      </c>
      <c r="O978" s="8">
        <v>204600.0</v>
      </c>
      <c r="P978" s="8">
        <v>314700.0</v>
      </c>
      <c r="Q978" s="8">
        <v>110100.0</v>
      </c>
      <c r="R978" s="8">
        <v>42.0</v>
      </c>
      <c r="S978" s="8">
        <v>1.32174E7</v>
      </c>
      <c r="T978" s="9">
        <v>0.1</v>
      </c>
      <c r="U978" s="8">
        <v>1321740.0</v>
      </c>
      <c r="V978" s="8">
        <v>1.189566E7</v>
      </c>
      <c r="W978" s="10">
        <v>8593200.0</v>
      </c>
      <c r="X978" s="10">
        <v>3302460.0</v>
      </c>
    </row>
    <row r="979" ht="15.0" customHeight="1">
      <c r="A979" s="3" t="s">
        <v>2787</v>
      </c>
      <c r="B979" s="5">
        <v>43891.0</v>
      </c>
      <c r="C979" s="6">
        <v>2020.0</v>
      </c>
      <c r="D979" s="7" t="s">
        <v>894</v>
      </c>
      <c r="E979" s="7" t="s">
        <v>795</v>
      </c>
      <c r="F979" s="7" t="s">
        <v>50</v>
      </c>
      <c r="G979" s="5" t="s">
        <v>51</v>
      </c>
      <c r="H979" s="7" t="s">
        <v>344</v>
      </c>
      <c r="I979" s="7" t="s">
        <v>104</v>
      </c>
      <c r="J979" s="7" t="s">
        <v>743</v>
      </c>
      <c r="K979" s="7" t="s">
        <v>36</v>
      </c>
      <c r="L979" s="7" t="s">
        <v>37</v>
      </c>
      <c r="M979" s="7" t="s">
        <v>38</v>
      </c>
      <c r="N979" s="5">
        <v>43893.0</v>
      </c>
      <c r="O979" s="8">
        <v>165600.0</v>
      </c>
      <c r="P979" s="8">
        <v>254700.0</v>
      </c>
      <c r="Q979" s="8">
        <v>89100.0</v>
      </c>
      <c r="R979" s="8">
        <v>46.0</v>
      </c>
      <c r="S979" s="8">
        <v>1.17162E7</v>
      </c>
      <c r="T979" s="9">
        <v>0.09</v>
      </c>
      <c r="U979" s="8">
        <v>1054458.0</v>
      </c>
      <c r="V979" s="8">
        <v>1.0661742E7</v>
      </c>
      <c r="W979" s="10">
        <v>7617600.0</v>
      </c>
      <c r="X979" s="10">
        <v>3044142.0</v>
      </c>
    </row>
    <row r="980" ht="15.0" customHeight="1">
      <c r="A980" s="3" t="s">
        <v>2788</v>
      </c>
      <c r="B980" s="5">
        <v>43894.0</v>
      </c>
      <c r="C980" s="6">
        <v>2020.0</v>
      </c>
      <c r="D980" s="7" t="s">
        <v>554</v>
      </c>
      <c r="E980" s="7" t="s">
        <v>194</v>
      </c>
      <c r="F980" s="7" t="s">
        <v>31</v>
      </c>
      <c r="G980" s="5" t="s">
        <v>32</v>
      </c>
      <c r="H980" s="7" t="s">
        <v>33</v>
      </c>
      <c r="I980" s="7" t="s">
        <v>53</v>
      </c>
      <c r="J980" s="7" t="s">
        <v>1099</v>
      </c>
      <c r="K980" s="7" t="s">
        <v>36</v>
      </c>
      <c r="L980" s="7" t="s">
        <v>45</v>
      </c>
      <c r="M980" s="7" t="s">
        <v>38</v>
      </c>
      <c r="N980" s="5">
        <v>43895.0</v>
      </c>
      <c r="O980" s="8">
        <v>15750.0</v>
      </c>
      <c r="P980" s="8">
        <v>29250.0</v>
      </c>
      <c r="Q980" s="8">
        <v>13500.0</v>
      </c>
      <c r="R980" s="8">
        <v>20.0</v>
      </c>
      <c r="S980" s="8">
        <v>585000.0</v>
      </c>
      <c r="T980" s="9">
        <v>0.06</v>
      </c>
      <c r="U980" s="8">
        <v>35100.0</v>
      </c>
      <c r="V980" s="8">
        <v>549900.0</v>
      </c>
      <c r="W980" s="10">
        <v>315000.0</v>
      </c>
      <c r="X980" s="10">
        <v>234900.0</v>
      </c>
    </row>
    <row r="981" ht="15.0" customHeight="1">
      <c r="A981" s="3" t="s">
        <v>2789</v>
      </c>
      <c r="B981" s="5">
        <v>43896.0</v>
      </c>
      <c r="C981" s="6">
        <v>2020.0</v>
      </c>
      <c r="D981" s="7" t="s">
        <v>2790</v>
      </c>
      <c r="E981" s="7" t="s">
        <v>298</v>
      </c>
      <c r="F981" s="7" t="s">
        <v>50</v>
      </c>
      <c r="G981" s="5" t="s">
        <v>51</v>
      </c>
      <c r="H981" s="7" t="s">
        <v>151</v>
      </c>
      <c r="I981" s="7" t="s">
        <v>74</v>
      </c>
      <c r="J981" s="7" t="s">
        <v>160</v>
      </c>
      <c r="K981" s="7" t="s">
        <v>36</v>
      </c>
      <c r="L981" s="7" t="s">
        <v>37</v>
      </c>
      <c r="M981" s="7" t="s">
        <v>38</v>
      </c>
      <c r="N981" s="5">
        <v>43901.0</v>
      </c>
      <c r="O981" s="8">
        <v>52800.0</v>
      </c>
      <c r="P981" s="8">
        <v>85200.0</v>
      </c>
      <c r="Q981" s="8">
        <v>32400.0</v>
      </c>
      <c r="R981" s="8">
        <v>10.0</v>
      </c>
      <c r="S981" s="8">
        <v>852000.0</v>
      </c>
      <c r="T981" s="9">
        <v>0.09</v>
      </c>
      <c r="U981" s="8">
        <v>76680.0</v>
      </c>
      <c r="V981" s="8">
        <v>775320.0</v>
      </c>
      <c r="W981" s="10">
        <v>528000.0</v>
      </c>
      <c r="X981" s="10">
        <v>247320.0</v>
      </c>
    </row>
    <row r="982" ht="15.0" customHeight="1">
      <c r="A982" s="3" t="s">
        <v>2791</v>
      </c>
      <c r="B982" s="5">
        <v>43897.0</v>
      </c>
      <c r="C982" s="6">
        <v>2020.0</v>
      </c>
      <c r="D982" s="7" t="s">
        <v>2792</v>
      </c>
      <c r="E982" s="7" t="s">
        <v>263</v>
      </c>
      <c r="F982" s="7" t="s">
        <v>50</v>
      </c>
      <c r="G982" s="5" t="s">
        <v>51</v>
      </c>
      <c r="H982" s="7" t="s">
        <v>140</v>
      </c>
      <c r="I982" s="7" t="s">
        <v>53</v>
      </c>
      <c r="J982" s="7" t="s">
        <v>272</v>
      </c>
      <c r="K982" s="7" t="s">
        <v>36</v>
      </c>
      <c r="L982" s="7" t="s">
        <v>45</v>
      </c>
      <c r="M982" s="7" t="s">
        <v>38</v>
      </c>
      <c r="N982" s="5">
        <v>43899.0</v>
      </c>
      <c r="O982" s="8">
        <v>56250.0</v>
      </c>
      <c r="P982" s="8">
        <v>106200.0</v>
      </c>
      <c r="Q982" s="8">
        <v>49950.0</v>
      </c>
      <c r="R982" s="8">
        <v>29.0</v>
      </c>
      <c r="S982" s="8">
        <v>3079800.0</v>
      </c>
      <c r="T982" s="9">
        <v>0.07</v>
      </c>
      <c r="U982" s="8">
        <v>215586.00000000003</v>
      </c>
      <c r="V982" s="8">
        <v>2864214.0</v>
      </c>
      <c r="W982" s="10">
        <v>1631250.0</v>
      </c>
      <c r="X982" s="10">
        <v>1232964.0</v>
      </c>
    </row>
    <row r="983" ht="15.0" customHeight="1">
      <c r="A983" s="3" t="s">
        <v>2793</v>
      </c>
      <c r="B983" s="5">
        <v>43900.0</v>
      </c>
      <c r="C983" s="6">
        <v>2020.0</v>
      </c>
      <c r="D983" s="7" t="s">
        <v>198</v>
      </c>
      <c r="E983" s="7" t="s">
        <v>199</v>
      </c>
      <c r="F983" s="7" t="s">
        <v>50</v>
      </c>
      <c r="G983" s="5" t="s">
        <v>91</v>
      </c>
      <c r="H983" s="7" t="s">
        <v>200</v>
      </c>
      <c r="I983" s="7" t="s">
        <v>104</v>
      </c>
      <c r="J983" s="7" t="s">
        <v>399</v>
      </c>
      <c r="K983" s="7" t="s">
        <v>36</v>
      </c>
      <c r="L983" s="7" t="s">
        <v>37</v>
      </c>
      <c r="M983" s="7" t="s">
        <v>38</v>
      </c>
      <c r="N983" s="5">
        <v>43902.0</v>
      </c>
      <c r="O983" s="8">
        <v>51000.0</v>
      </c>
      <c r="P983" s="8">
        <v>81000.0</v>
      </c>
      <c r="Q983" s="8">
        <v>30000.0</v>
      </c>
      <c r="R983" s="8">
        <v>1.0</v>
      </c>
      <c r="S983" s="8">
        <v>81000.0</v>
      </c>
      <c r="T983" s="9">
        <v>0.0</v>
      </c>
      <c r="U983" s="8">
        <v>0.0</v>
      </c>
      <c r="V983" s="8">
        <v>81000.0</v>
      </c>
      <c r="W983" s="10">
        <v>51000.0</v>
      </c>
      <c r="X983" s="10">
        <v>30000.0</v>
      </c>
    </row>
    <row r="984" ht="15.0" customHeight="1">
      <c r="A984" s="3" t="s">
        <v>2794</v>
      </c>
      <c r="B984" s="5">
        <v>43900.0</v>
      </c>
      <c r="C984" s="6">
        <v>2020.0</v>
      </c>
      <c r="D984" s="7" t="s">
        <v>2795</v>
      </c>
      <c r="E984" s="7" t="s">
        <v>591</v>
      </c>
      <c r="F984" s="7" t="s">
        <v>50</v>
      </c>
      <c r="G984" s="5" t="s">
        <v>32</v>
      </c>
      <c r="H984" s="7" t="s">
        <v>189</v>
      </c>
      <c r="I984" s="7" t="s">
        <v>104</v>
      </c>
      <c r="J984" s="7" t="s">
        <v>1244</v>
      </c>
      <c r="K984" s="7" t="s">
        <v>36</v>
      </c>
      <c r="L984" s="7" t="s">
        <v>37</v>
      </c>
      <c r="M984" s="7" t="s">
        <v>38</v>
      </c>
      <c r="N984" s="5">
        <v>43902.0</v>
      </c>
      <c r="O984" s="8">
        <v>27600.0</v>
      </c>
      <c r="P984" s="8">
        <v>43200.0</v>
      </c>
      <c r="Q984" s="8">
        <v>15600.0</v>
      </c>
      <c r="R984" s="8">
        <v>6.0</v>
      </c>
      <c r="S984" s="8">
        <v>259200.0</v>
      </c>
      <c r="T984" s="9">
        <v>0.06</v>
      </c>
      <c r="U984" s="8">
        <v>15552.0</v>
      </c>
      <c r="V984" s="8">
        <v>243648.0</v>
      </c>
      <c r="W984" s="10">
        <v>165600.0</v>
      </c>
      <c r="X984" s="10">
        <v>78048.0</v>
      </c>
    </row>
    <row r="985" ht="15.0" customHeight="1">
      <c r="A985" s="3" t="s">
        <v>2796</v>
      </c>
      <c r="B985" s="5">
        <v>43900.0</v>
      </c>
      <c r="C985" s="6">
        <v>2020.0</v>
      </c>
      <c r="D985" s="7" t="s">
        <v>799</v>
      </c>
      <c r="E985" s="7" t="s">
        <v>49</v>
      </c>
      <c r="F985" s="7" t="s">
        <v>50</v>
      </c>
      <c r="G985" s="5" t="s">
        <v>68</v>
      </c>
      <c r="H985" s="7" t="s">
        <v>52</v>
      </c>
      <c r="I985" s="7" t="s">
        <v>74</v>
      </c>
      <c r="J985" s="7" t="s">
        <v>1143</v>
      </c>
      <c r="K985" s="7" t="s">
        <v>36</v>
      </c>
      <c r="L985" s="7" t="s">
        <v>45</v>
      </c>
      <c r="M985" s="7" t="s">
        <v>38</v>
      </c>
      <c r="N985" s="5">
        <v>43904.0</v>
      </c>
      <c r="O985" s="8">
        <v>13050.0</v>
      </c>
      <c r="P985" s="8">
        <v>27150.0</v>
      </c>
      <c r="Q985" s="8">
        <v>14100.0</v>
      </c>
      <c r="R985" s="8">
        <v>18.0</v>
      </c>
      <c r="S985" s="8">
        <v>488700.0</v>
      </c>
      <c r="T985" s="9">
        <v>0.06</v>
      </c>
      <c r="U985" s="8">
        <v>29322.0</v>
      </c>
      <c r="V985" s="8">
        <v>459378.0</v>
      </c>
      <c r="W985" s="10">
        <v>234900.0</v>
      </c>
      <c r="X985" s="10">
        <v>224478.0</v>
      </c>
    </row>
    <row r="986" ht="15.0" customHeight="1">
      <c r="A986" s="3" t="s">
        <v>2797</v>
      </c>
      <c r="B986" s="5">
        <v>43901.0</v>
      </c>
      <c r="C986" s="6">
        <v>2020.0</v>
      </c>
      <c r="D986" s="7" t="s">
        <v>1027</v>
      </c>
      <c r="E986" s="7" t="s">
        <v>156</v>
      </c>
      <c r="F986" s="7" t="s">
        <v>50</v>
      </c>
      <c r="G986" s="5" t="s">
        <v>51</v>
      </c>
      <c r="H986" s="7" t="s">
        <v>110</v>
      </c>
      <c r="I986" s="7" t="s">
        <v>92</v>
      </c>
      <c r="J986" s="7" t="s">
        <v>717</v>
      </c>
      <c r="K986" s="7" t="s">
        <v>61</v>
      </c>
      <c r="L986" s="7" t="s">
        <v>37</v>
      </c>
      <c r="M986" s="7" t="s">
        <v>38</v>
      </c>
      <c r="N986" s="5">
        <v>43903.0</v>
      </c>
      <c r="O986" s="8">
        <v>936000.0</v>
      </c>
      <c r="P986" s="8">
        <v>2339850.0</v>
      </c>
      <c r="Q986" s="8">
        <v>1403850.0</v>
      </c>
      <c r="R986" s="8">
        <v>24.0</v>
      </c>
      <c r="S986" s="8">
        <v>5.61564E7</v>
      </c>
      <c r="T986" s="9">
        <v>0.04</v>
      </c>
      <c r="U986" s="8">
        <v>2246256.0</v>
      </c>
      <c r="V986" s="8">
        <v>5.3910144E7</v>
      </c>
      <c r="W986" s="10">
        <v>2.2464E7</v>
      </c>
      <c r="X986" s="10">
        <v>3.1446144E7</v>
      </c>
    </row>
    <row r="987" ht="15.0" customHeight="1">
      <c r="A987" s="3" t="s">
        <v>2798</v>
      </c>
      <c r="B987" s="5">
        <v>43901.0</v>
      </c>
      <c r="C987" s="6">
        <v>2020.0</v>
      </c>
      <c r="D987" s="7" t="s">
        <v>1493</v>
      </c>
      <c r="E987" s="7" t="s">
        <v>85</v>
      </c>
      <c r="F987" s="7" t="s">
        <v>50</v>
      </c>
      <c r="G987" s="5" t="s">
        <v>91</v>
      </c>
      <c r="H987" s="7" t="s">
        <v>80</v>
      </c>
      <c r="I987" s="7" t="s">
        <v>74</v>
      </c>
      <c r="J987" s="7" t="s">
        <v>484</v>
      </c>
      <c r="K987" s="7" t="s">
        <v>61</v>
      </c>
      <c r="L987" s="7" t="s">
        <v>62</v>
      </c>
      <c r="M987" s="7" t="s">
        <v>63</v>
      </c>
      <c r="N987" s="5">
        <v>43901.0</v>
      </c>
      <c r="O987" s="8">
        <v>4184850.0</v>
      </c>
      <c r="P987" s="8">
        <v>6749850.0</v>
      </c>
      <c r="Q987" s="8">
        <v>2565000.0</v>
      </c>
      <c r="R987" s="8">
        <v>18.0</v>
      </c>
      <c r="S987" s="8">
        <v>1.214973E8</v>
      </c>
      <c r="T987" s="9">
        <v>0.09</v>
      </c>
      <c r="U987" s="8">
        <v>1.0934757E7</v>
      </c>
      <c r="V987" s="8">
        <v>1.10562543E8</v>
      </c>
      <c r="W987" s="10">
        <v>7.53273E7</v>
      </c>
      <c r="X987" s="10">
        <v>3.5235243E7</v>
      </c>
    </row>
    <row r="988" ht="15.0" customHeight="1">
      <c r="A988" s="3" t="s">
        <v>2799</v>
      </c>
      <c r="B988" s="5">
        <v>43902.0</v>
      </c>
      <c r="C988" s="6">
        <v>2020.0</v>
      </c>
      <c r="D988" s="7" t="s">
        <v>1585</v>
      </c>
      <c r="E988" s="7" t="s">
        <v>1586</v>
      </c>
      <c r="F988" s="7" t="s">
        <v>50</v>
      </c>
      <c r="G988" s="5" t="s">
        <v>91</v>
      </c>
      <c r="H988" s="7" t="s">
        <v>189</v>
      </c>
      <c r="I988" s="7" t="s">
        <v>53</v>
      </c>
      <c r="J988" s="7" t="s">
        <v>516</v>
      </c>
      <c r="K988" s="7" t="s">
        <v>36</v>
      </c>
      <c r="L988" s="7" t="s">
        <v>37</v>
      </c>
      <c r="M988" s="7" t="s">
        <v>38</v>
      </c>
      <c r="N988" s="5">
        <v>43903.0</v>
      </c>
      <c r="O988" s="8">
        <v>29100.0</v>
      </c>
      <c r="P988" s="8">
        <v>46200.0</v>
      </c>
      <c r="Q988" s="8">
        <v>17100.0</v>
      </c>
      <c r="R988" s="8">
        <v>18.0</v>
      </c>
      <c r="S988" s="8">
        <v>831600.0</v>
      </c>
      <c r="T988" s="9">
        <v>0.02</v>
      </c>
      <c r="U988" s="8">
        <v>16632.0</v>
      </c>
      <c r="V988" s="8">
        <v>814968.0</v>
      </c>
      <c r="W988" s="10">
        <v>523800.0</v>
      </c>
      <c r="X988" s="10">
        <v>291168.0</v>
      </c>
    </row>
    <row r="989" ht="15.0" customHeight="1">
      <c r="A989" s="3" t="s">
        <v>2800</v>
      </c>
      <c r="B989" s="5">
        <v>43902.0</v>
      </c>
      <c r="C989" s="6">
        <v>2020.0</v>
      </c>
      <c r="D989" s="7" t="s">
        <v>1711</v>
      </c>
      <c r="E989" s="7" t="s">
        <v>369</v>
      </c>
      <c r="F989" s="7" t="s">
        <v>50</v>
      </c>
      <c r="G989" s="5" t="s">
        <v>51</v>
      </c>
      <c r="H989" s="7" t="s">
        <v>200</v>
      </c>
      <c r="I989" s="7" t="s">
        <v>53</v>
      </c>
      <c r="J989" s="7" t="s">
        <v>981</v>
      </c>
      <c r="K989" s="7" t="s">
        <v>36</v>
      </c>
      <c r="L989" s="7" t="s">
        <v>45</v>
      </c>
      <c r="M989" s="7" t="s">
        <v>38</v>
      </c>
      <c r="N989" s="5">
        <v>43905.0</v>
      </c>
      <c r="O989" s="8">
        <v>38850.0</v>
      </c>
      <c r="P989" s="8">
        <v>59700.0</v>
      </c>
      <c r="Q989" s="8">
        <v>20850.0</v>
      </c>
      <c r="R989" s="8">
        <v>11.0</v>
      </c>
      <c r="S989" s="8">
        <v>656700.0</v>
      </c>
      <c r="T989" s="9">
        <v>0.07</v>
      </c>
      <c r="U989" s="8">
        <v>45969.00000000001</v>
      </c>
      <c r="V989" s="8">
        <v>610731.0</v>
      </c>
      <c r="W989" s="10">
        <v>427350.0</v>
      </c>
      <c r="X989" s="10">
        <v>183381.0</v>
      </c>
    </row>
    <row r="990" ht="15.0" customHeight="1">
      <c r="A990" s="2" t="s">
        <v>2801</v>
      </c>
      <c r="B990" s="5">
        <v>43903.0</v>
      </c>
      <c r="C990" s="6">
        <v>2020.0</v>
      </c>
      <c r="D990" s="7" t="s">
        <v>237</v>
      </c>
      <c r="E990" s="7" t="s">
        <v>238</v>
      </c>
      <c r="F990" s="7" t="s">
        <v>50</v>
      </c>
      <c r="G990" s="5" t="s">
        <v>91</v>
      </c>
      <c r="H990" s="7" t="s">
        <v>151</v>
      </c>
      <c r="I990" s="7" t="s">
        <v>92</v>
      </c>
      <c r="J990" s="7" t="s">
        <v>1612</v>
      </c>
      <c r="K990" s="7" t="s">
        <v>36</v>
      </c>
      <c r="L990" s="7" t="s">
        <v>45</v>
      </c>
      <c r="M990" s="7" t="s">
        <v>38</v>
      </c>
      <c r="N990" s="5">
        <v>43904.0</v>
      </c>
      <c r="O990" s="8">
        <v>40200.0</v>
      </c>
      <c r="P990" s="8">
        <v>91200.0</v>
      </c>
      <c r="Q990" s="8">
        <v>51000.0</v>
      </c>
      <c r="R990" s="8">
        <v>49.0</v>
      </c>
      <c r="S990" s="8">
        <v>4468800.0</v>
      </c>
      <c r="T990" s="9">
        <v>0.08</v>
      </c>
      <c r="U990" s="8">
        <v>357504.0</v>
      </c>
      <c r="V990" s="8">
        <v>4111296.0</v>
      </c>
      <c r="W990" s="10">
        <v>1969800.0</v>
      </c>
      <c r="X990" s="10">
        <v>2141496.0</v>
      </c>
    </row>
    <row r="991" ht="15.0" customHeight="1">
      <c r="A991" s="3" t="s">
        <v>2802</v>
      </c>
      <c r="B991" s="5">
        <v>43905.0</v>
      </c>
      <c r="C991" s="6">
        <v>2020.0</v>
      </c>
      <c r="D991" s="7" t="s">
        <v>376</v>
      </c>
      <c r="E991" s="7" t="s">
        <v>49</v>
      </c>
      <c r="F991" s="7" t="s">
        <v>50</v>
      </c>
      <c r="G991" s="5" t="s">
        <v>68</v>
      </c>
      <c r="H991" s="7" t="s">
        <v>52</v>
      </c>
      <c r="I991" s="7" t="s">
        <v>34</v>
      </c>
      <c r="J991" s="7" t="s">
        <v>473</v>
      </c>
      <c r="K991" s="7" t="s">
        <v>61</v>
      </c>
      <c r="L991" s="7" t="s">
        <v>37</v>
      </c>
      <c r="M991" s="7" t="s">
        <v>38</v>
      </c>
      <c r="N991" s="5">
        <v>43906.0</v>
      </c>
      <c r="O991" s="8">
        <v>817800.0</v>
      </c>
      <c r="P991" s="8">
        <v>1514550.0</v>
      </c>
      <c r="Q991" s="8">
        <v>696750.0</v>
      </c>
      <c r="R991" s="8">
        <v>42.0</v>
      </c>
      <c r="S991" s="8">
        <v>6.36111E7</v>
      </c>
      <c r="T991" s="9">
        <v>0.1</v>
      </c>
      <c r="U991" s="8">
        <v>6361110.0</v>
      </c>
      <c r="V991" s="8">
        <v>5.724999E7</v>
      </c>
      <c r="W991" s="10">
        <v>3.43476E7</v>
      </c>
      <c r="X991" s="10">
        <v>2.290239E7</v>
      </c>
    </row>
    <row r="992" ht="15.0" customHeight="1">
      <c r="A992" s="3" t="s">
        <v>2803</v>
      </c>
      <c r="B992" s="5">
        <v>43907.0</v>
      </c>
      <c r="C992" s="6">
        <v>2020.0</v>
      </c>
      <c r="D992" s="7" t="s">
        <v>321</v>
      </c>
      <c r="E992" s="7" t="s">
        <v>1750</v>
      </c>
      <c r="F992" s="7" t="s">
        <v>289</v>
      </c>
      <c r="G992" s="5" t="s">
        <v>91</v>
      </c>
      <c r="H992" s="7" t="s">
        <v>200</v>
      </c>
      <c r="I992" s="7" t="s">
        <v>104</v>
      </c>
      <c r="J992" s="7" t="s">
        <v>526</v>
      </c>
      <c r="K992" s="7" t="s">
        <v>36</v>
      </c>
      <c r="L992" s="7" t="s">
        <v>37</v>
      </c>
      <c r="M992" s="7" t="s">
        <v>38</v>
      </c>
      <c r="N992" s="5">
        <v>43909.0</v>
      </c>
      <c r="O992" s="8">
        <v>27600.0</v>
      </c>
      <c r="P992" s="8">
        <v>43200.0</v>
      </c>
      <c r="Q992" s="8">
        <v>15600.0</v>
      </c>
      <c r="R992" s="8">
        <v>40.0</v>
      </c>
      <c r="S992" s="8">
        <v>1728000.0</v>
      </c>
      <c r="T992" s="9">
        <v>0.0</v>
      </c>
      <c r="U992" s="8">
        <v>0.0</v>
      </c>
      <c r="V992" s="8">
        <v>1728000.0</v>
      </c>
      <c r="W992" s="10">
        <v>1104000.0</v>
      </c>
      <c r="X992" s="10">
        <v>624000.0</v>
      </c>
    </row>
    <row r="993" ht="15.0" customHeight="1">
      <c r="A993" s="3" t="s">
        <v>2804</v>
      </c>
      <c r="B993" s="5">
        <v>43908.0</v>
      </c>
      <c r="C993" s="6">
        <v>2020.0</v>
      </c>
      <c r="D993" s="7" t="s">
        <v>2805</v>
      </c>
      <c r="E993" s="7" t="s">
        <v>542</v>
      </c>
      <c r="F993" s="7" t="s">
        <v>31</v>
      </c>
      <c r="G993" s="5" t="s">
        <v>32</v>
      </c>
      <c r="H993" s="7" t="s">
        <v>43</v>
      </c>
      <c r="I993" s="7" t="s">
        <v>34</v>
      </c>
      <c r="J993" s="7" t="s">
        <v>190</v>
      </c>
      <c r="K993" s="7" t="s">
        <v>61</v>
      </c>
      <c r="L993" s="7" t="s">
        <v>37</v>
      </c>
      <c r="M993" s="7" t="s">
        <v>38</v>
      </c>
      <c r="N993" s="5">
        <v>43909.0</v>
      </c>
      <c r="O993" s="8">
        <v>95850.0</v>
      </c>
      <c r="P993" s="8">
        <v>299700.0</v>
      </c>
      <c r="Q993" s="8">
        <v>203850.0</v>
      </c>
      <c r="R993" s="8">
        <v>29.0</v>
      </c>
      <c r="S993" s="8">
        <v>8691300.0</v>
      </c>
      <c r="T993" s="9">
        <v>0.06</v>
      </c>
      <c r="U993" s="8">
        <v>521478.0</v>
      </c>
      <c r="V993" s="8">
        <v>8169822.0</v>
      </c>
      <c r="W993" s="10">
        <v>2779650.0</v>
      </c>
      <c r="X993" s="10">
        <v>5390172.0</v>
      </c>
    </row>
    <row r="994" ht="15.0" customHeight="1">
      <c r="A994" s="3" t="s">
        <v>2806</v>
      </c>
      <c r="B994" s="5">
        <v>43909.0</v>
      </c>
      <c r="C994" s="6">
        <v>2020.0</v>
      </c>
      <c r="D994" s="7" t="s">
        <v>2021</v>
      </c>
      <c r="E994" s="7" t="s">
        <v>139</v>
      </c>
      <c r="F994" s="7" t="s">
        <v>50</v>
      </c>
      <c r="G994" s="5" t="s">
        <v>51</v>
      </c>
      <c r="H994" s="7" t="s">
        <v>140</v>
      </c>
      <c r="I994" s="7" t="s">
        <v>34</v>
      </c>
      <c r="J994" s="7" t="s">
        <v>543</v>
      </c>
      <c r="K994" s="7" t="s">
        <v>36</v>
      </c>
      <c r="L994" s="7" t="s">
        <v>127</v>
      </c>
      <c r="M994" s="7" t="s">
        <v>55</v>
      </c>
      <c r="N994" s="5">
        <v>43911.0</v>
      </c>
      <c r="O994" s="8">
        <v>21900.0</v>
      </c>
      <c r="P994" s="8">
        <v>53550.0</v>
      </c>
      <c r="Q994" s="8">
        <v>31650.0</v>
      </c>
      <c r="R994" s="8">
        <v>10.0</v>
      </c>
      <c r="S994" s="8">
        <v>535500.0</v>
      </c>
      <c r="T994" s="9">
        <v>0.01</v>
      </c>
      <c r="U994" s="8">
        <v>5355.0</v>
      </c>
      <c r="V994" s="8">
        <v>530145.0</v>
      </c>
      <c r="W994" s="10">
        <v>219000.0</v>
      </c>
      <c r="X994" s="10">
        <v>311145.0</v>
      </c>
    </row>
    <row r="995" ht="15.0" customHeight="1">
      <c r="A995" s="3" t="s">
        <v>2807</v>
      </c>
      <c r="B995" s="5">
        <v>43910.0</v>
      </c>
      <c r="C995" s="6">
        <v>2020.0</v>
      </c>
      <c r="D995" s="7" t="s">
        <v>862</v>
      </c>
      <c r="E995" s="7" t="s">
        <v>298</v>
      </c>
      <c r="F995" s="7" t="s">
        <v>50</v>
      </c>
      <c r="G995" s="5" t="s">
        <v>51</v>
      </c>
      <c r="H995" s="7" t="s">
        <v>52</v>
      </c>
      <c r="I995" s="7" t="s">
        <v>74</v>
      </c>
      <c r="J995" s="7" t="s">
        <v>195</v>
      </c>
      <c r="K995" s="7" t="s">
        <v>61</v>
      </c>
      <c r="L995" s="7" t="s">
        <v>37</v>
      </c>
      <c r="M995" s="7" t="s">
        <v>38</v>
      </c>
      <c r="N995" s="5">
        <v>43912.0</v>
      </c>
      <c r="O995" s="8">
        <v>480300.00000000006</v>
      </c>
      <c r="P995" s="8">
        <v>2287200.0</v>
      </c>
      <c r="Q995" s="8">
        <v>1806900.0</v>
      </c>
      <c r="R995" s="8">
        <v>46.0</v>
      </c>
      <c r="S995" s="8">
        <v>1.052112E8</v>
      </c>
      <c r="T995" s="9">
        <v>0.01</v>
      </c>
      <c r="U995" s="8">
        <v>1052112.0</v>
      </c>
      <c r="V995" s="8">
        <v>1.04159088E8</v>
      </c>
      <c r="W995" s="10">
        <v>2.2093800000000004E7</v>
      </c>
      <c r="X995" s="10">
        <v>8.2065288E7</v>
      </c>
    </row>
    <row r="996" ht="15.0" customHeight="1">
      <c r="A996" s="3" t="s">
        <v>2808</v>
      </c>
      <c r="B996" s="5">
        <v>43912.0</v>
      </c>
      <c r="C996" s="6">
        <v>2020.0</v>
      </c>
      <c r="D996" s="7" t="s">
        <v>354</v>
      </c>
      <c r="E996" s="7" t="s">
        <v>355</v>
      </c>
      <c r="F996" s="7" t="s">
        <v>50</v>
      </c>
      <c r="G996" s="5" t="s">
        <v>91</v>
      </c>
      <c r="H996" s="7" t="s">
        <v>69</v>
      </c>
      <c r="I996" s="7" t="s">
        <v>74</v>
      </c>
      <c r="J996" s="7" t="s">
        <v>135</v>
      </c>
      <c r="K996" s="7" t="s">
        <v>36</v>
      </c>
      <c r="L996" s="7" t="s">
        <v>37</v>
      </c>
      <c r="M996" s="7" t="s">
        <v>38</v>
      </c>
      <c r="N996" s="5">
        <v>43919.0</v>
      </c>
      <c r="O996" s="8">
        <v>68850.0</v>
      </c>
      <c r="P996" s="8">
        <v>109200.0</v>
      </c>
      <c r="Q996" s="8">
        <v>40350.0</v>
      </c>
      <c r="R996" s="8">
        <v>18.0</v>
      </c>
      <c r="S996" s="8">
        <v>1965600.0</v>
      </c>
      <c r="T996" s="9">
        <v>0.09</v>
      </c>
      <c r="U996" s="8">
        <v>176904.0</v>
      </c>
      <c r="V996" s="8">
        <v>1788696.0</v>
      </c>
      <c r="W996" s="10">
        <v>1239300.0</v>
      </c>
      <c r="X996" s="10">
        <v>549396.0</v>
      </c>
    </row>
    <row r="997" ht="15.0" customHeight="1">
      <c r="A997" s="3" t="s">
        <v>2809</v>
      </c>
      <c r="B997" s="5">
        <v>43912.0</v>
      </c>
      <c r="C997" s="6">
        <v>2020.0</v>
      </c>
      <c r="D997" s="7" t="s">
        <v>354</v>
      </c>
      <c r="E997" s="7" t="s">
        <v>355</v>
      </c>
      <c r="F997" s="7" t="s">
        <v>50</v>
      </c>
      <c r="G997" s="5" t="s">
        <v>91</v>
      </c>
      <c r="H997" s="7" t="s">
        <v>69</v>
      </c>
      <c r="I997" s="7" t="s">
        <v>74</v>
      </c>
      <c r="J997" s="7" t="s">
        <v>120</v>
      </c>
      <c r="K997" s="7" t="s">
        <v>36</v>
      </c>
      <c r="L997" s="7" t="s">
        <v>45</v>
      </c>
      <c r="M997" s="7" t="s">
        <v>38</v>
      </c>
      <c r="N997" s="5">
        <v>43916.0</v>
      </c>
      <c r="O997" s="8">
        <v>10650.0</v>
      </c>
      <c r="P997" s="8">
        <v>17100.0</v>
      </c>
      <c r="Q997" s="8">
        <v>6450.0</v>
      </c>
      <c r="R997" s="8">
        <v>28.0</v>
      </c>
      <c r="S997" s="8">
        <v>478800.0</v>
      </c>
      <c r="T997" s="9">
        <v>0.09</v>
      </c>
      <c r="U997" s="8">
        <v>43092.0</v>
      </c>
      <c r="V997" s="8">
        <v>435708.0</v>
      </c>
      <c r="W997" s="10">
        <v>298200.0</v>
      </c>
      <c r="X997" s="10">
        <v>137508.0</v>
      </c>
    </row>
    <row r="998" ht="15.0" customHeight="1">
      <c r="A998" s="3" t="s">
        <v>2810</v>
      </c>
      <c r="B998" s="5">
        <v>43912.0</v>
      </c>
      <c r="C998" s="6">
        <v>2020.0</v>
      </c>
      <c r="D998" s="7" t="s">
        <v>2811</v>
      </c>
      <c r="E998" s="7" t="s">
        <v>621</v>
      </c>
      <c r="F998" s="7" t="s">
        <v>31</v>
      </c>
      <c r="G998" s="5" t="s">
        <v>91</v>
      </c>
      <c r="H998" s="7" t="s">
        <v>33</v>
      </c>
      <c r="I998" s="7" t="s">
        <v>34</v>
      </c>
      <c r="J998" s="7" t="s">
        <v>677</v>
      </c>
      <c r="K998" s="7" t="s">
        <v>36</v>
      </c>
      <c r="L998" s="7" t="s">
        <v>37</v>
      </c>
      <c r="M998" s="7" t="s">
        <v>38</v>
      </c>
      <c r="N998" s="5">
        <v>43914.0</v>
      </c>
      <c r="O998" s="8">
        <v>224250.0</v>
      </c>
      <c r="P998" s="8">
        <v>521399.99999999994</v>
      </c>
      <c r="Q998" s="8">
        <v>297149.99999999994</v>
      </c>
      <c r="R998" s="8">
        <v>10.0</v>
      </c>
      <c r="S998" s="8">
        <v>5213999.999999999</v>
      </c>
      <c r="T998" s="9">
        <v>0.06</v>
      </c>
      <c r="U998" s="8">
        <v>312839.99999999994</v>
      </c>
      <c r="V998" s="8">
        <v>4901159.999999999</v>
      </c>
      <c r="W998" s="10">
        <v>2242500.0</v>
      </c>
      <c r="X998" s="10">
        <v>2658659.999999999</v>
      </c>
    </row>
    <row r="999" ht="15.0" customHeight="1">
      <c r="A999" s="3" t="s">
        <v>2812</v>
      </c>
      <c r="B999" s="5">
        <v>43913.0</v>
      </c>
      <c r="C999" s="6">
        <v>2020.0</v>
      </c>
      <c r="D999" s="7" t="s">
        <v>1864</v>
      </c>
      <c r="E999" s="7" t="s">
        <v>1428</v>
      </c>
      <c r="F999" s="7" t="s">
        <v>50</v>
      </c>
      <c r="G999" s="5" t="s">
        <v>51</v>
      </c>
      <c r="H999" s="7" t="s">
        <v>110</v>
      </c>
      <c r="I999" s="7" t="s">
        <v>34</v>
      </c>
      <c r="J999" s="7" t="s">
        <v>75</v>
      </c>
      <c r="K999" s="7" t="s">
        <v>36</v>
      </c>
      <c r="L999" s="7" t="s">
        <v>45</v>
      </c>
      <c r="M999" s="7" t="s">
        <v>38</v>
      </c>
      <c r="N999" s="5">
        <v>43914.0</v>
      </c>
      <c r="O999" s="8">
        <v>16350.000000000002</v>
      </c>
      <c r="P999" s="8">
        <v>39000.0</v>
      </c>
      <c r="Q999" s="8">
        <v>22650.0</v>
      </c>
      <c r="R999" s="8">
        <v>8.0</v>
      </c>
      <c r="S999" s="8">
        <v>312000.0</v>
      </c>
      <c r="T999" s="9">
        <v>0.02</v>
      </c>
      <c r="U999" s="8">
        <v>6240.0</v>
      </c>
      <c r="V999" s="8">
        <v>305760.0</v>
      </c>
      <c r="W999" s="10">
        <v>130800.00000000001</v>
      </c>
      <c r="X999" s="10">
        <v>174960.0</v>
      </c>
    </row>
    <row r="1000" ht="15.0" customHeight="1">
      <c r="A1000" s="3" t="s">
        <v>2813</v>
      </c>
      <c r="B1000" s="5">
        <v>43914.0</v>
      </c>
      <c r="C1000" s="6">
        <v>2020.0</v>
      </c>
      <c r="D1000" s="7" t="s">
        <v>1410</v>
      </c>
      <c r="E1000" s="7" t="s">
        <v>716</v>
      </c>
      <c r="F1000" s="7" t="s">
        <v>289</v>
      </c>
      <c r="G1000" s="5" t="s">
        <v>51</v>
      </c>
      <c r="H1000" s="7" t="s">
        <v>140</v>
      </c>
      <c r="I1000" s="7" t="s">
        <v>53</v>
      </c>
      <c r="J1000" s="7" t="s">
        <v>467</v>
      </c>
      <c r="K1000" s="7" t="s">
        <v>36</v>
      </c>
      <c r="L1000" s="7" t="s">
        <v>45</v>
      </c>
      <c r="M1000" s="7" t="s">
        <v>38</v>
      </c>
      <c r="N1000" s="5">
        <v>43916.0</v>
      </c>
      <c r="O1000" s="8">
        <v>3600.0</v>
      </c>
      <c r="P1000" s="8">
        <v>18900.0</v>
      </c>
      <c r="Q1000" s="8">
        <v>15300.0</v>
      </c>
      <c r="R1000" s="8">
        <v>37.0</v>
      </c>
      <c r="S1000" s="8">
        <v>699300.0</v>
      </c>
      <c r="T1000" s="9">
        <v>0.03</v>
      </c>
      <c r="U1000" s="8">
        <v>20979.0</v>
      </c>
      <c r="V1000" s="8">
        <v>678321.0</v>
      </c>
      <c r="W1000" s="10">
        <v>133200.0</v>
      </c>
      <c r="X1000" s="10">
        <v>545121.0</v>
      </c>
    </row>
    <row r="1001" ht="15.0" customHeight="1">
      <c r="A1001" s="3" t="s">
        <v>2814</v>
      </c>
      <c r="B1001" s="5">
        <v>43914.0</v>
      </c>
      <c r="C1001" s="6">
        <v>2020.0</v>
      </c>
      <c r="D1001" s="7" t="s">
        <v>955</v>
      </c>
      <c r="E1001" s="7" t="s">
        <v>169</v>
      </c>
      <c r="F1001" s="7" t="s">
        <v>31</v>
      </c>
      <c r="G1001" s="5" t="s">
        <v>68</v>
      </c>
      <c r="H1001" s="7" t="s">
        <v>43</v>
      </c>
      <c r="I1001" s="7" t="s">
        <v>74</v>
      </c>
      <c r="J1001" s="7" t="s">
        <v>44</v>
      </c>
      <c r="K1001" s="7" t="s">
        <v>36</v>
      </c>
      <c r="L1001" s="7" t="s">
        <v>45</v>
      </c>
      <c r="M1001" s="7" t="s">
        <v>38</v>
      </c>
      <c r="N1001" s="5">
        <v>43918.0</v>
      </c>
      <c r="O1001" s="8">
        <v>35850.0</v>
      </c>
      <c r="P1001" s="8">
        <v>63900.0</v>
      </c>
      <c r="Q1001" s="8">
        <v>28050.0</v>
      </c>
      <c r="R1001" s="8">
        <v>44.0</v>
      </c>
      <c r="S1001" s="8">
        <v>2811600.0</v>
      </c>
      <c r="T1001" s="9">
        <v>0.01</v>
      </c>
      <c r="U1001" s="8">
        <v>28116.0</v>
      </c>
      <c r="V1001" s="8">
        <v>2783484.0</v>
      </c>
      <c r="W1001" s="10">
        <v>1577400.0</v>
      </c>
      <c r="X1001" s="10">
        <v>1206084.0</v>
      </c>
    </row>
    <row r="1002" ht="15.0" customHeight="1">
      <c r="A1002" s="2" t="s">
        <v>2815</v>
      </c>
      <c r="B1002" s="5">
        <v>43914.0</v>
      </c>
      <c r="C1002" s="6">
        <v>2020.0</v>
      </c>
      <c r="D1002" s="7" t="s">
        <v>839</v>
      </c>
      <c r="E1002" s="7" t="s">
        <v>220</v>
      </c>
      <c r="F1002" s="7" t="s">
        <v>50</v>
      </c>
      <c r="G1002" s="5" t="s">
        <v>32</v>
      </c>
      <c r="H1002" s="7" t="s">
        <v>189</v>
      </c>
      <c r="I1002" s="7" t="s">
        <v>92</v>
      </c>
      <c r="J1002" s="7" t="s">
        <v>165</v>
      </c>
      <c r="K1002" s="7" t="s">
        <v>36</v>
      </c>
      <c r="L1002" s="7" t="s">
        <v>127</v>
      </c>
      <c r="M1002" s="7" t="s">
        <v>38</v>
      </c>
      <c r="N1002" s="5">
        <v>43916.0</v>
      </c>
      <c r="O1002" s="8">
        <v>14100.0</v>
      </c>
      <c r="P1002" s="8">
        <v>31200.0</v>
      </c>
      <c r="Q1002" s="8">
        <v>17100.0</v>
      </c>
      <c r="R1002" s="8">
        <v>36.0</v>
      </c>
      <c r="S1002" s="8">
        <v>1123200.0</v>
      </c>
      <c r="T1002" s="9">
        <v>0.1</v>
      </c>
      <c r="U1002" s="8">
        <v>112320.0</v>
      </c>
      <c r="V1002" s="8">
        <v>1010880.0</v>
      </c>
      <c r="W1002" s="10">
        <v>507600.0</v>
      </c>
      <c r="X1002" s="10">
        <v>503280.0</v>
      </c>
    </row>
    <row r="1003" ht="15.0" customHeight="1">
      <c r="A1003" s="3" t="s">
        <v>2816</v>
      </c>
      <c r="B1003" s="5">
        <v>43914.0</v>
      </c>
      <c r="C1003" s="6">
        <v>2020.0</v>
      </c>
      <c r="D1003" s="7" t="s">
        <v>267</v>
      </c>
      <c r="E1003" s="7" t="s">
        <v>268</v>
      </c>
      <c r="F1003" s="7" t="s">
        <v>50</v>
      </c>
      <c r="G1003" s="5" t="s">
        <v>51</v>
      </c>
      <c r="H1003" s="7" t="s">
        <v>140</v>
      </c>
      <c r="I1003" s="7" t="s">
        <v>74</v>
      </c>
      <c r="J1003" s="7" t="s">
        <v>146</v>
      </c>
      <c r="K1003" s="7" t="s">
        <v>36</v>
      </c>
      <c r="L1003" s="7" t="s">
        <v>45</v>
      </c>
      <c r="M1003" s="7" t="s">
        <v>38</v>
      </c>
      <c r="N1003" s="5">
        <v>43919.0</v>
      </c>
      <c r="O1003" s="8">
        <v>27300.0</v>
      </c>
      <c r="P1003" s="8">
        <v>44700.0</v>
      </c>
      <c r="Q1003" s="8">
        <v>17400.0</v>
      </c>
      <c r="R1003" s="8">
        <v>45.0</v>
      </c>
      <c r="S1003" s="8">
        <v>2011500.0</v>
      </c>
      <c r="T1003" s="9">
        <v>0.05</v>
      </c>
      <c r="U1003" s="8">
        <v>100575.0</v>
      </c>
      <c r="V1003" s="8">
        <v>1910925.0</v>
      </c>
      <c r="W1003" s="10">
        <v>1228500.0</v>
      </c>
      <c r="X1003" s="10">
        <v>682425.0</v>
      </c>
    </row>
  </sheetData>
  <autoFilter ref="$A$3:$X$100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14"/>
    <col customWidth="1" min="3" max="3" width="15.14"/>
    <col customWidth="1" min="4" max="4" width="15.29"/>
    <col customWidth="1" min="5" max="5" width="13.57"/>
    <col customWidth="1" min="6" max="6" width="14.0"/>
    <col customWidth="1" min="7" max="7" width="15.29"/>
    <col customWidth="1" min="8" max="10" width="8.71"/>
    <col customWidth="1" min="11" max="11" width="21.43"/>
    <col customWidth="1" min="12" max="12" width="21.86"/>
    <col customWidth="1" min="13" max="13" width="19.14"/>
    <col customWidth="1" min="14" max="14" width="20.57"/>
    <col customWidth="1" min="15" max="15" width="19.29"/>
    <col customWidth="1" min="16" max="16" width="20.0"/>
    <col customWidth="1" min="17" max="26" width="8.71"/>
  </cols>
  <sheetData>
    <row r="2"/>
    <row r="3"/>
    <row r="4"/>
    <row r="5"/>
    <row r="6"/>
    <row r="7"/>
    <row r="8"/>
    <row r="9"/>
    <row r="10"/>
    <row r="11"/>
    <row r="12"/>
    <row r="13">
      <c r="K13" s="13"/>
      <c r="L13" s="12"/>
      <c r="M13" s="12"/>
      <c r="N13" s="12"/>
      <c r="O13" s="12"/>
      <c r="P13" s="12"/>
    </row>
    <row r="14">
      <c r="K14" s="13"/>
      <c r="L14" s="12"/>
      <c r="M14" s="12"/>
      <c r="N14" s="12"/>
      <c r="O14" s="12"/>
      <c r="P14" s="12"/>
    </row>
    <row r="15">
      <c r="K15" s="13"/>
      <c r="L15" s="12"/>
      <c r="M15" s="12"/>
      <c r="N15" s="12"/>
      <c r="O15" s="12"/>
      <c r="P15" s="12"/>
    </row>
    <row r="17">
      <c r="A17" s="3" t="s">
        <v>2821</v>
      </c>
      <c r="B17" s="3" t="s">
        <v>5</v>
      </c>
    </row>
    <row r="18">
      <c r="A18" s="3" t="s">
        <v>12</v>
      </c>
      <c r="B18" s="4">
        <v>2016.0</v>
      </c>
      <c r="C18" s="4">
        <v>2017.0</v>
      </c>
      <c r="D18" s="4">
        <v>2018.0</v>
      </c>
      <c r="E18" s="4">
        <v>2019.0</v>
      </c>
      <c r="F18" s="4">
        <v>2020.0</v>
      </c>
      <c r="G18" s="4" t="s">
        <v>2819</v>
      </c>
    </row>
    <row r="19">
      <c r="A19" s="11" t="s">
        <v>75</v>
      </c>
      <c r="B19" s="12">
        <v>768450.0000000001</v>
      </c>
      <c r="C19" s="12">
        <v>2468850.0000000005</v>
      </c>
      <c r="D19" s="12">
        <v>1242600.0000000002</v>
      </c>
      <c r="E19" s="12">
        <v>228900.00000000003</v>
      </c>
      <c r="F19" s="12">
        <v>506850.00000000006</v>
      </c>
      <c r="G19" s="12">
        <v>5215650.000000001</v>
      </c>
    </row>
    <row r="20">
      <c r="A20" s="11" t="s">
        <v>243</v>
      </c>
      <c r="B20" s="12">
        <v>6482700.0</v>
      </c>
      <c r="C20" s="12">
        <v>1.4553E7</v>
      </c>
      <c r="D20" s="12">
        <v>2.07711E7</v>
      </c>
      <c r="E20" s="12">
        <v>4498200.0</v>
      </c>
      <c r="F20" s="12">
        <v>2249100.0</v>
      </c>
      <c r="G20" s="12">
        <v>4.85541E7</v>
      </c>
    </row>
    <row r="21" ht="15.75" customHeight="1">
      <c r="A21" s="11" t="s">
        <v>269</v>
      </c>
      <c r="B21" s="12">
        <v>1040550.0</v>
      </c>
      <c r="C21" s="12">
        <v>4013550.0</v>
      </c>
      <c r="D21" s="12"/>
      <c r="E21" s="12"/>
      <c r="F21" s="12">
        <v>4905450.0</v>
      </c>
      <c r="G21" s="12">
        <v>9959550.0</v>
      </c>
    </row>
    <row r="22" ht="15.75" customHeight="1">
      <c r="A22" s="11" t="s">
        <v>1129</v>
      </c>
      <c r="B22" s="12"/>
      <c r="C22" s="12">
        <v>4.04256E7</v>
      </c>
      <c r="D22" s="12">
        <v>2.5266E7</v>
      </c>
      <c r="E22" s="12">
        <v>5053200.0</v>
      </c>
      <c r="F22" s="12"/>
      <c r="G22" s="12">
        <v>7.07448E7</v>
      </c>
    </row>
    <row r="23" ht="15.75" customHeight="1">
      <c r="A23" s="11" t="s">
        <v>717</v>
      </c>
      <c r="B23" s="12"/>
      <c r="C23" s="12">
        <v>4.4928E7</v>
      </c>
      <c r="D23" s="12">
        <v>2.5272E7</v>
      </c>
      <c r="E23" s="12">
        <v>2.0592E7</v>
      </c>
      <c r="F23" s="12">
        <v>2.2464E7</v>
      </c>
      <c r="G23" s="12">
        <v>1.13256E8</v>
      </c>
    </row>
    <row r="24" ht="15.75" customHeight="1">
      <c r="A24" s="11" t="s">
        <v>399</v>
      </c>
      <c r="B24" s="12">
        <v>2601000.0</v>
      </c>
      <c r="C24" s="12">
        <v>3978000.0</v>
      </c>
      <c r="D24" s="12">
        <v>1836000.0</v>
      </c>
      <c r="E24" s="12">
        <v>918000.0</v>
      </c>
      <c r="F24" s="12">
        <v>1989000.0</v>
      </c>
      <c r="G24" s="12">
        <v>1.1322E7</v>
      </c>
    </row>
    <row r="25" ht="15.75" customHeight="1">
      <c r="A25" s="11" t="s">
        <v>824</v>
      </c>
      <c r="B25" s="12"/>
      <c r="C25" s="12">
        <v>7510800.0</v>
      </c>
      <c r="D25" s="12">
        <v>7510800.0</v>
      </c>
      <c r="E25" s="12"/>
      <c r="F25" s="12"/>
      <c r="G25" s="12">
        <v>1.50216E7</v>
      </c>
    </row>
    <row r="26" ht="15.75" customHeight="1">
      <c r="A26" s="11" t="s">
        <v>584</v>
      </c>
      <c r="B26" s="12">
        <v>3.45384E7</v>
      </c>
      <c r="C26" s="12">
        <v>6.65496E7</v>
      </c>
      <c r="D26" s="12">
        <v>7581600.0</v>
      </c>
      <c r="E26" s="12">
        <v>1.17936E7</v>
      </c>
      <c r="F26" s="12">
        <v>4.29624E7</v>
      </c>
      <c r="G26" s="12">
        <v>1.634256E8</v>
      </c>
    </row>
    <row r="27" ht="15.75" customHeight="1">
      <c r="A27" s="11" t="s">
        <v>697</v>
      </c>
      <c r="B27" s="12"/>
      <c r="C27" s="12">
        <v>1.05264E7</v>
      </c>
      <c r="D27" s="12">
        <v>1.60992E7</v>
      </c>
      <c r="E27" s="12">
        <v>3.34368E7</v>
      </c>
      <c r="F27" s="12"/>
      <c r="G27" s="12">
        <v>6.00624E7</v>
      </c>
    </row>
    <row r="28" ht="15.75" customHeight="1">
      <c r="A28" s="11" t="s">
        <v>264</v>
      </c>
      <c r="B28" s="12">
        <v>4153800.0</v>
      </c>
      <c r="C28" s="12"/>
      <c r="D28" s="12">
        <v>2.16591E7</v>
      </c>
      <c r="E28" s="12">
        <v>1.69119E7</v>
      </c>
      <c r="F28" s="12"/>
      <c r="G28" s="12">
        <v>4.27248E7</v>
      </c>
    </row>
    <row r="29" ht="15.75" customHeight="1">
      <c r="A29" s="11" t="s">
        <v>1224</v>
      </c>
      <c r="B29" s="12"/>
      <c r="C29" s="12">
        <v>902400.0</v>
      </c>
      <c r="D29" s="12">
        <v>2622600.0</v>
      </c>
      <c r="E29" s="12"/>
      <c r="F29" s="12"/>
      <c r="G29" s="12">
        <v>3525000.0</v>
      </c>
    </row>
    <row r="30" ht="15.75" customHeight="1">
      <c r="A30" s="11" t="s">
        <v>195</v>
      </c>
      <c r="B30" s="12">
        <v>2.61174E7</v>
      </c>
      <c r="C30" s="12">
        <v>4.91025E7</v>
      </c>
      <c r="D30" s="12">
        <v>5.928E7</v>
      </c>
      <c r="E30" s="12">
        <v>5.06577E7</v>
      </c>
      <c r="F30" s="12">
        <v>4.82562E7</v>
      </c>
      <c r="G30" s="12">
        <v>2.334138E8</v>
      </c>
      <c r="K30" s="15" t="s">
        <v>2823</v>
      </c>
      <c r="L30" s="15" t="s">
        <v>2824</v>
      </c>
      <c r="M30" s="4" t="s">
        <v>2825</v>
      </c>
    </row>
    <row r="31" ht="15.75" customHeight="1">
      <c r="A31" s="11" t="s">
        <v>1047</v>
      </c>
      <c r="B31" s="12"/>
      <c r="C31" s="12">
        <v>3.903E7</v>
      </c>
      <c r="D31" s="12">
        <v>2341800.0</v>
      </c>
      <c r="E31" s="12">
        <v>3.27852E7</v>
      </c>
      <c r="F31" s="12"/>
      <c r="G31" s="12">
        <v>7.4157E7</v>
      </c>
      <c r="K31" s="13" t="s">
        <v>976</v>
      </c>
      <c r="L31" s="15">
        <v>0.19999999999999998</v>
      </c>
      <c r="M31" s="12">
        <v>3.4647774E7</v>
      </c>
    </row>
    <row r="32" ht="15.75" customHeight="1">
      <c r="A32" s="11" t="s">
        <v>2264</v>
      </c>
      <c r="B32" s="12"/>
      <c r="C32" s="12"/>
      <c r="D32" s="12"/>
      <c r="E32" s="12">
        <v>28800.0</v>
      </c>
      <c r="F32" s="12"/>
      <c r="G32" s="12">
        <v>28800.0</v>
      </c>
      <c r="K32" s="13" t="s">
        <v>198</v>
      </c>
      <c r="L32" s="15">
        <v>0.31</v>
      </c>
      <c r="M32" s="12">
        <v>3.37658595E7</v>
      </c>
    </row>
    <row r="33" ht="15.75" customHeight="1">
      <c r="A33" s="11" t="s">
        <v>1158</v>
      </c>
      <c r="B33" s="12"/>
      <c r="C33" s="12">
        <v>1945800.0</v>
      </c>
      <c r="D33" s="12">
        <v>993600.0</v>
      </c>
      <c r="E33" s="12"/>
      <c r="F33" s="12"/>
      <c r="G33" s="12">
        <v>2939400.0</v>
      </c>
      <c r="K33" s="13" t="s">
        <v>1171</v>
      </c>
      <c r="L33" s="15">
        <v>0.12000000000000001</v>
      </c>
      <c r="M33" s="12">
        <v>3.8069154E7</v>
      </c>
    </row>
    <row r="34" ht="15.75" customHeight="1">
      <c r="A34" s="11" t="s">
        <v>299</v>
      </c>
      <c r="B34" s="12">
        <v>3168000.0</v>
      </c>
      <c r="C34" s="12"/>
      <c r="D34" s="12">
        <v>4800000.0</v>
      </c>
      <c r="E34" s="12"/>
      <c r="F34" s="12"/>
      <c r="G34" s="12">
        <v>7968000.0</v>
      </c>
      <c r="K34" s="13" t="s">
        <v>351</v>
      </c>
      <c r="L34" s="15">
        <v>0.22</v>
      </c>
      <c r="M34" s="12">
        <v>5.6094846E7</v>
      </c>
    </row>
    <row r="35" ht="15.75" customHeight="1">
      <c r="A35" s="11" t="s">
        <v>627</v>
      </c>
      <c r="B35" s="12">
        <v>1842600.0</v>
      </c>
      <c r="C35" s="12">
        <v>5029800.0</v>
      </c>
      <c r="D35" s="12">
        <v>2041800.0</v>
      </c>
      <c r="E35" s="12">
        <v>2888400.0</v>
      </c>
      <c r="F35" s="12"/>
      <c r="G35" s="12">
        <v>1.18026E7</v>
      </c>
    </row>
    <row r="36" ht="15.75" customHeight="1">
      <c r="A36" s="11" t="s">
        <v>135</v>
      </c>
      <c r="B36" s="12">
        <v>1652400.0</v>
      </c>
      <c r="C36" s="12">
        <v>963900.0</v>
      </c>
      <c r="D36" s="12">
        <v>8055450.0</v>
      </c>
      <c r="E36" s="12"/>
      <c r="F36" s="12">
        <v>4681800.0</v>
      </c>
      <c r="G36" s="12">
        <v>1.535355E7</v>
      </c>
    </row>
    <row r="37" ht="15.75" customHeight="1">
      <c r="A37" s="11" t="s">
        <v>327</v>
      </c>
      <c r="B37" s="12">
        <v>1873200.0</v>
      </c>
      <c r="C37" s="12">
        <v>3880200.0</v>
      </c>
      <c r="D37" s="12">
        <v>7091400.0</v>
      </c>
      <c r="E37" s="12"/>
      <c r="F37" s="12">
        <v>4147800.0</v>
      </c>
      <c r="G37" s="12">
        <v>1.69926E7</v>
      </c>
    </row>
    <row r="38" ht="15.75" customHeight="1">
      <c r="A38" s="11" t="s">
        <v>1085</v>
      </c>
      <c r="B38" s="12"/>
      <c r="C38" s="12">
        <v>5668350.0</v>
      </c>
      <c r="D38" s="12">
        <v>5026650.0</v>
      </c>
      <c r="E38" s="12"/>
      <c r="F38" s="12"/>
      <c r="G38" s="12">
        <v>1.0695E7</v>
      </c>
    </row>
    <row r="39" ht="15.75" customHeight="1">
      <c r="A39" s="11" t="s">
        <v>1804</v>
      </c>
      <c r="B39" s="12"/>
      <c r="C39" s="12"/>
      <c r="D39" s="12">
        <v>3071100.0</v>
      </c>
      <c r="E39" s="12"/>
      <c r="F39" s="12"/>
      <c r="G39" s="12">
        <v>3071100.0</v>
      </c>
      <c r="K39" s="3" t="s">
        <v>2826</v>
      </c>
      <c r="L39" s="3" t="s">
        <v>5</v>
      </c>
    </row>
    <row r="40" ht="15.75" customHeight="1">
      <c r="A40" s="11" t="s">
        <v>277</v>
      </c>
      <c r="B40" s="12">
        <v>2887500.0</v>
      </c>
      <c r="C40" s="12">
        <v>8332500.0</v>
      </c>
      <c r="D40" s="12">
        <v>1155000.0</v>
      </c>
      <c r="E40" s="12">
        <v>9240000.0</v>
      </c>
      <c r="F40" s="12"/>
      <c r="G40" s="12">
        <v>2.1615E7</v>
      </c>
      <c r="K40" s="15" t="s">
        <v>2827</v>
      </c>
      <c r="L40" s="16">
        <v>2016.0</v>
      </c>
      <c r="M40" s="16">
        <v>2017.0</v>
      </c>
      <c r="N40" s="16">
        <v>2018.0</v>
      </c>
      <c r="O40" s="16">
        <v>2019.0</v>
      </c>
      <c r="P40" s="16">
        <v>2020.0</v>
      </c>
    </row>
    <row r="41" ht="15.75" customHeight="1">
      <c r="A41" s="11" t="s">
        <v>992</v>
      </c>
      <c r="B41" s="12"/>
      <c r="C41" s="12">
        <v>7029450.0</v>
      </c>
      <c r="D41" s="12">
        <v>4.53009E7</v>
      </c>
      <c r="E41" s="12">
        <v>3.59283E7</v>
      </c>
      <c r="F41" s="12"/>
      <c r="G41" s="12">
        <v>8.825865E7</v>
      </c>
      <c r="K41" s="13" t="s">
        <v>195</v>
      </c>
      <c r="L41" s="17">
        <v>1074900.0</v>
      </c>
      <c r="M41" s="17">
        <v>1669500.0</v>
      </c>
      <c r="N41" s="17">
        <v>2035500.0</v>
      </c>
      <c r="O41" s="17">
        <v>2630100.0</v>
      </c>
      <c r="P41" s="17">
        <v>1074900.0</v>
      </c>
    </row>
    <row r="42" ht="15.75" customHeight="1">
      <c r="A42" s="11" t="s">
        <v>739</v>
      </c>
      <c r="B42" s="12"/>
      <c r="C42" s="12">
        <v>1.15515E7</v>
      </c>
      <c r="D42" s="12">
        <v>815400.0</v>
      </c>
      <c r="E42" s="12">
        <v>1.012455E7</v>
      </c>
      <c r="F42" s="12"/>
      <c r="G42" s="12">
        <v>2.249145E7</v>
      </c>
      <c r="K42" s="13" t="s">
        <v>484</v>
      </c>
      <c r="L42" s="17">
        <v>7424850.0</v>
      </c>
      <c r="M42" s="17">
        <v>1.99794E7</v>
      </c>
      <c r="N42" s="17">
        <v>1.80897E7</v>
      </c>
      <c r="O42" s="17">
        <v>1.99794E7</v>
      </c>
      <c r="P42" s="17">
        <v>4184850.0</v>
      </c>
    </row>
    <row r="43" ht="15.75" customHeight="1">
      <c r="A43" s="11" t="s">
        <v>1012</v>
      </c>
      <c r="B43" s="12"/>
      <c r="C43" s="12">
        <v>1948350.0000000005</v>
      </c>
      <c r="D43" s="12">
        <v>1.0307400000000002E7</v>
      </c>
      <c r="E43" s="12">
        <v>5090850.000000001</v>
      </c>
      <c r="F43" s="12"/>
      <c r="G43" s="12">
        <v>1.7346600000000004E7</v>
      </c>
      <c r="K43" s="13" t="s">
        <v>365</v>
      </c>
      <c r="L43" s="17">
        <v>2682450.0</v>
      </c>
      <c r="M43" s="17">
        <v>5364900.0</v>
      </c>
      <c r="N43" s="17">
        <v>5364900.0</v>
      </c>
      <c r="O43" s="17">
        <v>5364900.0</v>
      </c>
      <c r="P43" s="17"/>
    </row>
    <row r="44" ht="15.75" customHeight="1">
      <c r="A44" s="11" t="s">
        <v>1605</v>
      </c>
      <c r="B44" s="12"/>
      <c r="C44" s="12"/>
      <c r="D44" s="12">
        <v>4132800.0</v>
      </c>
      <c r="E44" s="12"/>
      <c r="F44" s="12"/>
      <c r="G44" s="12">
        <v>4132800.0</v>
      </c>
      <c r="K44" s="13" t="s">
        <v>1105</v>
      </c>
      <c r="L44" s="17"/>
      <c r="M44" s="17">
        <v>4734150.0</v>
      </c>
      <c r="N44" s="17">
        <v>1.420245E7</v>
      </c>
      <c r="O44" s="17">
        <v>4734150.0</v>
      </c>
      <c r="P44" s="17"/>
    </row>
    <row r="45" ht="15.75" customHeight="1">
      <c r="A45" s="11" t="s">
        <v>126</v>
      </c>
      <c r="B45" s="12">
        <v>4360500.0</v>
      </c>
      <c r="C45" s="12">
        <v>820800.0</v>
      </c>
      <c r="D45" s="12">
        <v>1077300.0</v>
      </c>
      <c r="E45" s="12"/>
      <c r="F45" s="12"/>
      <c r="G45" s="12">
        <v>6258600.0</v>
      </c>
      <c r="K45" s="13" t="s">
        <v>978</v>
      </c>
      <c r="L45" s="17"/>
      <c r="M45" s="17">
        <v>1.700955E7</v>
      </c>
      <c r="N45" s="17">
        <v>2.834925E7</v>
      </c>
      <c r="O45" s="17">
        <v>1.13397E7</v>
      </c>
      <c r="P45" s="17"/>
    </row>
    <row r="46" ht="15.75" customHeight="1">
      <c r="A46" s="11" t="s">
        <v>889</v>
      </c>
      <c r="B46" s="12"/>
      <c r="C46" s="12">
        <v>1106999.9999999998</v>
      </c>
      <c r="D46" s="12">
        <v>3443999.9999999995</v>
      </c>
      <c r="E46" s="12">
        <v>2152499.9999999995</v>
      </c>
      <c r="F46" s="12"/>
      <c r="G46" s="12">
        <v>6703499.999999998</v>
      </c>
      <c r="K46" s="13" t="s">
        <v>81</v>
      </c>
      <c r="L46" s="17">
        <v>2981700.0</v>
      </c>
      <c r="M46" s="17">
        <v>1490850.0</v>
      </c>
      <c r="N46" s="17">
        <v>4472550.0</v>
      </c>
      <c r="O46" s="17">
        <v>4472550.0</v>
      </c>
      <c r="P46" s="17"/>
    </row>
    <row r="47" ht="15.75" customHeight="1">
      <c r="A47" s="11" t="s">
        <v>803</v>
      </c>
      <c r="B47" s="12"/>
      <c r="C47" s="12">
        <v>1263600.0</v>
      </c>
      <c r="D47" s="12">
        <v>3738150.0</v>
      </c>
      <c r="E47" s="12"/>
      <c r="F47" s="12"/>
      <c r="G47" s="12">
        <v>5001750.0</v>
      </c>
      <c r="K47" s="13" t="s">
        <v>308</v>
      </c>
      <c r="L47" s="17">
        <v>9390000.0</v>
      </c>
      <c r="M47" s="17">
        <v>2347500.0</v>
      </c>
      <c r="N47" s="17">
        <v>4695000.0</v>
      </c>
      <c r="O47" s="17">
        <v>4695000.0</v>
      </c>
      <c r="P47" s="17"/>
    </row>
    <row r="48" ht="15.75" customHeight="1">
      <c r="A48" s="11" t="s">
        <v>654</v>
      </c>
      <c r="B48" s="12">
        <v>1725000.0</v>
      </c>
      <c r="C48" s="12">
        <v>862500.0</v>
      </c>
      <c r="D48" s="12">
        <v>787500.0</v>
      </c>
      <c r="E48" s="12">
        <v>3637500.0</v>
      </c>
      <c r="F48" s="12">
        <v>1275000.0</v>
      </c>
      <c r="G48" s="12">
        <v>8287500.0</v>
      </c>
    </row>
    <row r="49" ht="15.75" customHeight="1">
      <c r="A49" s="11" t="s">
        <v>595</v>
      </c>
      <c r="B49" s="12">
        <v>3503250.0</v>
      </c>
      <c r="C49" s="12">
        <v>7317900.0</v>
      </c>
      <c r="D49" s="12">
        <v>6539400.0</v>
      </c>
      <c r="E49" s="12">
        <v>1.066545E7</v>
      </c>
      <c r="F49" s="12">
        <v>3814650.0</v>
      </c>
      <c r="G49" s="12">
        <v>3.184065E7</v>
      </c>
    </row>
    <row r="50" ht="15.75" customHeight="1">
      <c r="A50" s="11" t="s">
        <v>1244</v>
      </c>
      <c r="B50" s="12"/>
      <c r="C50" s="12">
        <v>496800.0</v>
      </c>
      <c r="D50" s="12">
        <v>3808800.0</v>
      </c>
      <c r="E50" s="12">
        <v>1269600.0</v>
      </c>
      <c r="F50" s="12">
        <v>165600.0</v>
      </c>
      <c r="G50" s="12">
        <v>5740800.0</v>
      </c>
    </row>
    <row r="51" ht="15.75" customHeight="1">
      <c r="A51" s="11" t="s">
        <v>878</v>
      </c>
      <c r="B51" s="12"/>
      <c r="C51" s="12">
        <v>1695600.0</v>
      </c>
      <c r="D51" s="12"/>
      <c r="E51" s="12">
        <v>1318800.0</v>
      </c>
      <c r="F51" s="12">
        <v>612300.0</v>
      </c>
      <c r="G51" s="12">
        <v>3626700.0</v>
      </c>
    </row>
    <row r="52" ht="15.75" customHeight="1">
      <c r="A52" s="11" t="s">
        <v>184</v>
      </c>
      <c r="B52" s="12">
        <v>214650.0</v>
      </c>
      <c r="C52" s="12">
        <v>1073250.0</v>
      </c>
      <c r="D52" s="12">
        <v>882450.0</v>
      </c>
      <c r="E52" s="12">
        <v>1955700.0</v>
      </c>
      <c r="F52" s="12">
        <v>1645650.0</v>
      </c>
      <c r="G52" s="12">
        <v>5771700.0</v>
      </c>
    </row>
    <row r="53" ht="15.75" customHeight="1">
      <c r="A53" s="11" t="s">
        <v>303</v>
      </c>
      <c r="B53" s="12">
        <v>4665600.0</v>
      </c>
      <c r="C53" s="12">
        <v>2880000.0</v>
      </c>
      <c r="D53" s="12">
        <v>460800.0</v>
      </c>
      <c r="E53" s="12">
        <v>2304000.0</v>
      </c>
      <c r="F53" s="12">
        <v>2016000.0</v>
      </c>
      <c r="G53" s="12">
        <v>1.23264E7</v>
      </c>
    </row>
    <row r="54" ht="15.75" customHeight="1">
      <c r="A54" s="11" t="s">
        <v>516</v>
      </c>
      <c r="B54" s="12">
        <v>3113700.0</v>
      </c>
      <c r="C54" s="12">
        <v>1629600.0</v>
      </c>
      <c r="D54" s="12">
        <v>1629600.0</v>
      </c>
      <c r="E54" s="12">
        <v>1862400.0</v>
      </c>
      <c r="F54" s="12">
        <v>523800.0</v>
      </c>
      <c r="G54" s="12">
        <v>8759100.0</v>
      </c>
    </row>
    <row r="55" ht="15.75" customHeight="1">
      <c r="A55" s="11" t="s">
        <v>771</v>
      </c>
      <c r="B55" s="12"/>
      <c r="C55" s="12">
        <v>2988450.0</v>
      </c>
      <c r="D55" s="12">
        <v>4568550.0</v>
      </c>
      <c r="E55" s="12">
        <v>3469350.0</v>
      </c>
      <c r="F55" s="12"/>
      <c r="G55" s="12">
        <v>1.102635E7</v>
      </c>
    </row>
    <row r="56" ht="15.75" customHeight="1">
      <c r="A56" s="11" t="s">
        <v>115</v>
      </c>
      <c r="B56" s="12">
        <v>3.2418E7</v>
      </c>
      <c r="C56" s="12">
        <v>3782100.0</v>
      </c>
      <c r="D56" s="12"/>
      <c r="E56" s="12">
        <v>1.45881E7</v>
      </c>
      <c r="F56" s="12"/>
      <c r="G56" s="12">
        <v>5.07882E7</v>
      </c>
    </row>
    <row r="57" ht="15.75" customHeight="1">
      <c r="A57" s="11" t="s">
        <v>613</v>
      </c>
      <c r="B57" s="12">
        <v>1176000.0</v>
      </c>
      <c r="C57" s="12">
        <v>1800750.0</v>
      </c>
      <c r="D57" s="12">
        <v>1176000.0</v>
      </c>
      <c r="E57" s="12">
        <v>1764000.0</v>
      </c>
      <c r="F57" s="12">
        <v>1837500.0</v>
      </c>
      <c r="G57" s="12">
        <v>7754250.0</v>
      </c>
    </row>
    <row r="58" ht="15.75" customHeight="1">
      <c r="A58" s="11" t="s">
        <v>859</v>
      </c>
      <c r="B58" s="12"/>
      <c r="C58" s="12">
        <v>506250.0</v>
      </c>
      <c r="D58" s="12"/>
      <c r="E58" s="12"/>
      <c r="F58" s="12"/>
      <c r="G58" s="12">
        <v>506250.0</v>
      </c>
    </row>
    <row r="59" ht="15.75" customHeight="1">
      <c r="A59" s="11" t="s">
        <v>526</v>
      </c>
      <c r="B59" s="12">
        <v>303600.0</v>
      </c>
      <c r="C59" s="12"/>
      <c r="D59" s="12">
        <v>1766400.0</v>
      </c>
      <c r="E59" s="12">
        <v>1932000.0</v>
      </c>
      <c r="F59" s="12">
        <v>1987200.0</v>
      </c>
      <c r="G59" s="12">
        <v>5989200.0</v>
      </c>
    </row>
    <row r="60" ht="15.75" customHeight="1">
      <c r="A60" s="11" t="s">
        <v>787</v>
      </c>
      <c r="B60" s="12"/>
      <c r="C60" s="12">
        <v>859350.0</v>
      </c>
      <c r="D60" s="12">
        <v>5105550.0</v>
      </c>
      <c r="E60" s="12"/>
      <c r="F60" s="12"/>
      <c r="G60" s="12">
        <v>5964900.0</v>
      </c>
    </row>
    <row r="61" ht="15.75" customHeight="1">
      <c r="A61" s="11" t="s">
        <v>1272</v>
      </c>
      <c r="B61" s="12"/>
      <c r="C61" s="12">
        <v>1600800.0</v>
      </c>
      <c r="D61" s="12"/>
      <c r="E61" s="12">
        <v>496800.0</v>
      </c>
      <c r="F61" s="12"/>
      <c r="G61" s="12">
        <v>2097600.0</v>
      </c>
    </row>
    <row r="62" ht="15.75" customHeight="1">
      <c r="A62" s="11" t="s">
        <v>254</v>
      </c>
      <c r="B62" s="12">
        <v>8744400.0</v>
      </c>
      <c r="C62" s="12">
        <v>1.68642E7</v>
      </c>
      <c r="D62" s="12">
        <v>3.99744E7</v>
      </c>
      <c r="E62" s="12">
        <v>1.12428E7</v>
      </c>
      <c r="F62" s="12">
        <v>7078800.0</v>
      </c>
      <c r="G62" s="12">
        <v>8.39046E7</v>
      </c>
    </row>
    <row r="63" ht="15.75" customHeight="1">
      <c r="A63" s="11" t="s">
        <v>497</v>
      </c>
      <c r="B63" s="12">
        <v>766500.0</v>
      </c>
      <c r="C63" s="12">
        <v>6460500.0</v>
      </c>
      <c r="D63" s="12">
        <v>6734250.0</v>
      </c>
      <c r="E63" s="12">
        <v>1204500.0</v>
      </c>
      <c r="F63" s="12">
        <v>1259250.0</v>
      </c>
      <c r="G63" s="12">
        <v>1.6425E7</v>
      </c>
    </row>
    <row r="64" ht="15.75" customHeight="1">
      <c r="A64" s="11" t="s">
        <v>35</v>
      </c>
      <c r="B64" s="12">
        <v>1531200.0</v>
      </c>
      <c r="C64" s="12">
        <v>2587200.0</v>
      </c>
      <c r="D64" s="12"/>
      <c r="E64" s="12">
        <v>686400.0</v>
      </c>
      <c r="F64" s="12"/>
      <c r="G64" s="12">
        <v>4804800.0</v>
      </c>
    </row>
    <row r="65" ht="15.75" customHeight="1">
      <c r="A65" s="11" t="s">
        <v>1099</v>
      </c>
      <c r="B65" s="12"/>
      <c r="C65" s="12">
        <v>488250.0</v>
      </c>
      <c r="D65" s="12"/>
      <c r="E65" s="12">
        <v>425250.0</v>
      </c>
      <c r="F65" s="12">
        <v>315000.0</v>
      </c>
      <c r="G65" s="12">
        <v>1228500.0</v>
      </c>
    </row>
    <row r="66" ht="15.75" customHeight="1">
      <c r="A66" s="11" t="s">
        <v>1472</v>
      </c>
      <c r="B66" s="12"/>
      <c r="C66" s="12"/>
      <c r="D66" s="12">
        <v>4636800.0</v>
      </c>
      <c r="E66" s="12"/>
      <c r="F66" s="12"/>
      <c r="G66" s="12">
        <v>4636800.0</v>
      </c>
    </row>
    <row r="67" ht="15.75" customHeight="1">
      <c r="A67" s="11" t="s">
        <v>345</v>
      </c>
      <c r="B67" s="12">
        <v>1610400.0</v>
      </c>
      <c r="C67" s="12"/>
      <c r="D67" s="12">
        <v>950400.0</v>
      </c>
      <c r="E67" s="12"/>
      <c r="F67" s="12"/>
      <c r="G67" s="12">
        <v>2560800.0</v>
      </c>
    </row>
    <row r="68" ht="15.75" customHeight="1">
      <c r="A68" s="11" t="s">
        <v>863</v>
      </c>
      <c r="B68" s="12"/>
      <c r="C68" s="12">
        <v>1065600.0</v>
      </c>
      <c r="D68" s="12"/>
      <c r="E68" s="12">
        <v>1094400.0</v>
      </c>
      <c r="F68" s="12"/>
      <c r="G68" s="12">
        <v>2160000.0</v>
      </c>
    </row>
    <row r="69" ht="15.75" customHeight="1">
      <c r="A69" s="11" t="s">
        <v>998</v>
      </c>
      <c r="B69" s="12"/>
      <c r="C69" s="12">
        <v>1004400.0000000001</v>
      </c>
      <c r="D69" s="12">
        <v>2203200.0000000005</v>
      </c>
      <c r="E69" s="12"/>
      <c r="F69" s="12"/>
      <c r="G69" s="12">
        <v>3207600.0000000005</v>
      </c>
    </row>
    <row r="70" ht="15.75" customHeight="1">
      <c r="A70" s="11" t="s">
        <v>493</v>
      </c>
      <c r="B70" s="12">
        <v>491700.0</v>
      </c>
      <c r="C70" s="12">
        <v>983400.0</v>
      </c>
      <c r="D70" s="12">
        <v>536400.0</v>
      </c>
      <c r="E70" s="12">
        <v>1028100.0</v>
      </c>
      <c r="F70" s="12"/>
      <c r="G70" s="12">
        <v>3039600.0</v>
      </c>
    </row>
    <row r="71" ht="15.75" customHeight="1">
      <c r="A71" s="11" t="s">
        <v>1735</v>
      </c>
      <c r="B71" s="12"/>
      <c r="C71" s="12"/>
      <c r="D71" s="12">
        <v>239400.0</v>
      </c>
      <c r="E71" s="12">
        <v>3231900.0</v>
      </c>
      <c r="F71" s="12"/>
      <c r="G71" s="12">
        <v>3471300.0</v>
      </c>
    </row>
    <row r="72" ht="15.75" customHeight="1">
      <c r="A72" s="11" t="s">
        <v>282</v>
      </c>
      <c r="B72" s="12">
        <v>9616200.0</v>
      </c>
      <c r="C72" s="12">
        <v>1.10484E7</v>
      </c>
      <c r="D72" s="12"/>
      <c r="E72" s="12">
        <v>9002400.0</v>
      </c>
      <c r="F72" s="12">
        <v>8593200.0</v>
      </c>
      <c r="G72" s="12">
        <v>3.82602E7</v>
      </c>
    </row>
    <row r="73" ht="15.75" customHeight="1">
      <c r="A73" s="11" t="s">
        <v>449</v>
      </c>
      <c r="B73" s="12">
        <v>452100.0</v>
      </c>
      <c r="C73" s="12">
        <v>246600.0</v>
      </c>
      <c r="D73" s="12">
        <v>2424900.0</v>
      </c>
      <c r="E73" s="12"/>
      <c r="F73" s="12"/>
      <c r="G73" s="12">
        <v>3123600.0</v>
      </c>
    </row>
    <row r="74" ht="15.75" customHeight="1">
      <c r="A74" s="11" t="s">
        <v>538</v>
      </c>
      <c r="B74" s="12">
        <v>1559400.0</v>
      </c>
      <c r="C74" s="12">
        <v>5729100.0</v>
      </c>
      <c r="D74" s="12">
        <v>1695000.0</v>
      </c>
      <c r="E74" s="12">
        <v>1491600.0</v>
      </c>
      <c r="F74" s="12">
        <v>1152600.0</v>
      </c>
      <c r="G74" s="12">
        <v>1.16277E7</v>
      </c>
    </row>
    <row r="75" ht="15.75" customHeight="1">
      <c r="A75" s="11" t="s">
        <v>212</v>
      </c>
      <c r="B75" s="12">
        <v>6532500.000000001</v>
      </c>
      <c r="C75" s="12"/>
      <c r="D75" s="12"/>
      <c r="E75" s="12"/>
      <c r="F75" s="12"/>
      <c r="G75" s="12">
        <v>6532500.000000001</v>
      </c>
    </row>
    <row r="76" ht="15.75" customHeight="1">
      <c r="A76" s="11" t="s">
        <v>99</v>
      </c>
      <c r="B76" s="12">
        <v>1.15128E7</v>
      </c>
      <c r="C76" s="12">
        <v>2638350.0</v>
      </c>
      <c r="D76" s="12">
        <v>5196750.0</v>
      </c>
      <c r="E76" s="12">
        <v>79950.0</v>
      </c>
      <c r="F76" s="12">
        <v>159900.0</v>
      </c>
      <c r="G76" s="12">
        <v>1.958775E7</v>
      </c>
    </row>
    <row r="77" ht="15.75" customHeight="1">
      <c r="A77" s="11" t="s">
        <v>1446</v>
      </c>
      <c r="B77" s="12"/>
      <c r="C77" s="12"/>
      <c r="D77" s="12">
        <v>1624350.0</v>
      </c>
      <c r="E77" s="12">
        <v>285600.0</v>
      </c>
      <c r="F77" s="12"/>
      <c r="G77" s="12">
        <v>1909950.0</v>
      </c>
    </row>
    <row r="78" ht="15.75" customHeight="1">
      <c r="A78" s="11" t="s">
        <v>1278</v>
      </c>
      <c r="B78" s="12"/>
      <c r="C78" s="12">
        <v>518700.0</v>
      </c>
      <c r="D78" s="12">
        <v>1310400.0</v>
      </c>
      <c r="E78" s="12"/>
      <c r="F78" s="12"/>
      <c r="G78" s="12">
        <v>1829100.0</v>
      </c>
    </row>
    <row r="79" ht="15.75" customHeight="1">
      <c r="A79" s="11" t="s">
        <v>1143</v>
      </c>
      <c r="B79" s="12"/>
      <c r="C79" s="12">
        <v>587250.0</v>
      </c>
      <c r="D79" s="12">
        <v>730800.0</v>
      </c>
      <c r="E79" s="12">
        <v>652500.0</v>
      </c>
      <c r="F79" s="12">
        <v>234900.0</v>
      </c>
      <c r="G79" s="12">
        <v>2205450.0</v>
      </c>
    </row>
    <row r="80" ht="15.75" customHeight="1">
      <c r="A80" s="11" t="s">
        <v>467</v>
      </c>
      <c r="B80" s="12">
        <v>36000.0</v>
      </c>
      <c r="C80" s="12">
        <v>165600.0</v>
      </c>
      <c r="D80" s="12">
        <v>363600.0</v>
      </c>
      <c r="E80" s="12">
        <v>644400.0</v>
      </c>
      <c r="F80" s="12">
        <v>133200.0</v>
      </c>
      <c r="G80" s="12">
        <v>1342800.0</v>
      </c>
    </row>
    <row r="81" ht="15.75" customHeight="1">
      <c r="A81" s="11" t="s">
        <v>543</v>
      </c>
      <c r="B81" s="12">
        <v>1073100.0</v>
      </c>
      <c r="C81" s="12">
        <v>1905300.0</v>
      </c>
      <c r="D81" s="12">
        <v>416100.0</v>
      </c>
      <c r="E81" s="12"/>
      <c r="F81" s="12">
        <v>219000.0</v>
      </c>
      <c r="G81" s="12">
        <v>3613500.0</v>
      </c>
    </row>
    <row r="82" ht="15.75" customHeight="1">
      <c r="A82" s="11" t="s">
        <v>190</v>
      </c>
      <c r="B82" s="12">
        <v>6613650.0</v>
      </c>
      <c r="C82" s="12">
        <v>479250.0</v>
      </c>
      <c r="D82" s="12">
        <v>5559300.0</v>
      </c>
      <c r="E82" s="12">
        <v>1.30356E7</v>
      </c>
      <c r="F82" s="12">
        <v>4504950.0</v>
      </c>
      <c r="G82" s="12">
        <v>3.019275E7</v>
      </c>
    </row>
    <row r="83" ht="15.75" customHeight="1">
      <c r="A83" s="11" t="s">
        <v>502</v>
      </c>
      <c r="B83" s="12">
        <v>5552700.0</v>
      </c>
      <c r="C83" s="12">
        <v>2140800.0</v>
      </c>
      <c r="D83" s="12">
        <v>6823800.0</v>
      </c>
      <c r="E83" s="12">
        <v>7024500.0</v>
      </c>
      <c r="F83" s="12">
        <v>3278100.0</v>
      </c>
      <c r="G83" s="12">
        <v>2.48199E7</v>
      </c>
    </row>
    <row r="84" ht="15.75" customHeight="1">
      <c r="A84" s="11" t="s">
        <v>567</v>
      </c>
      <c r="B84" s="12">
        <v>265050.0</v>
      </c>
      <c r="C84" s="12">
        <v>1687950.0</v>
      </c>
      <c r="D84" s="12">
        <v>1381050.0</v>
      </c>
      <c r="E84" s="12">
        <v>306900.0</v>
      </c>
      <c r="F84" s="12"/>
      <c r="G84" s="12">
        <v>3640950.0</v>
      </c>
    </row>
    <row r="85" ht="15.75" customHeight="1">
      <c r="A85" s="11" t="s">
        <v>563</v>
      </c>
      <c r="B85" s="12">
        <v>2782500.0</v>
      </c>
      <c r="C85" s="12">
        <v>4147500.0</v>
      </c>
      <c r="D85" s="12">
        <v>5040000.0</v>
      </c>
      <c r="E85" s="12">
        <v>1365000.0</v>
      </c>
      <c r="F85" s="12">
        <v>2782500.0</v>
      </c>
      <c r="G85" s="12">
        <v>1.61175E7</v>
      </c>
    </row>
    <row r="86" ht="15.75" customHeight="1">
      <c r="A86" s="11" t="s">
        <v>551</v>
      </c>
      <c r="B86" s="12">
        <v>2205600.0</v>
      </c>
      <c r="C86" s="12">
        <v>1.48878E7</v>
      </c>
      <c r="D86" s="12">
        <v>1.18551E7</v>
      </c>
      <c r="E86" s="12"/>
      <c r="F86" s="12"/>
      <c r="G86" s="12">
        <v>2.89485E7</v>
      </c>
    </row>
    <row r="87" ht="15.75" customHeight="1">
      <c r="A87" s="11" t="s">
        <v>1002</v>
      </c>
      <c r="B87" s="12"/>
      <c r="C87" s="12">
        <v>327750.0</v>
      </c>
      <c r="D87" s="12"/>
      <c r="E87" s="12"/>
      <c r="F87" s="12"/>
      <c r="G87" s="12">
        <v>327750.0</v>
      </c>
    </row>
    <row r="88" ht="15.75" customHeight="1">
      <c r="A88" s="11" t="s">
        <v>743</v>
      </c>
      <c r="B88" s="12"/>
      <c r="C88" s="12">
        <v>9604800.0</v>
      </c>
      <c r="D88" s="12">
        <v>165600.0</v>
      </c>
      <c r="E88" s="12"/>
      <c r="F88" s="12">
        <v>1.47384E7</v>
      </c>
      <c r="G88" s="12">
        <v>2.45088E7</v>
      </c>
    </row>
    <row r="89" ht="15.75" customHeight="1">
      <c r="A89" s="11" t="s">
        <v>484</v>
      </c>
      <c r="B89" s="12">
        <v>1.798182E8</v>
      </c>
      <c r="C89" s="12">
        <v>4.597941E8</v>
      </c>
      <c r="D89" s="12">
        <v>3.7974615E8</v>
      </c>
      <c r="E89" s="12">
        <v>7.613784E8</v>
      </c>
      <c r="F89" s="12">
        <v>7.53273E7</v>
      </c>
      <c r="G89" s="12">
        <v>1.85606415E9</v>
      </c>
    </row>
    <row r="90" ht="15.75" customHeight="1">
      <c r="A90" s="11" t="s">
        <v>60</v>
      </c>
      <c r="B90" s="12">
        <v>4.6125E7</v>
      </c>
      <c r="C90" s="12"/>
      <c r="D90" s="12">
        <v>9.45E7</v>
      </c>
      <c r="E90" s="12">
        <v>4.725E7</v>
      </c>
      <c r="F90" s="12"/>
      <c r="G90" s="12">
        <v>1.87875E8</v>
      </c>
    </row>
    <row r="91" ht="15.75" customHeight="1">
      <c r="A91" s="11" t="s">
        <v>1612</v>
      </c>
      <c r="B91" s="12"/>
      <c r="C91" s="12"/>
      <c r="D91" s="12">
        <v>1206000.0</v>
      </c>
      <c r="E91" s="12"/>
      <c r="F91" s="12">
        <v>1969800.0</v>
      </c>
      <c r="G91" s="12">
        <v>3175800.0</v>
      </c>
    </row>
    <row r="92" ht="15.75" customHeight="1">
      <c r="A92" s="11" t="s">
        <v>318</v>
      </c>
      <c r="B92" s="12">
        <v>1181250.0</v>
      </c>
      <c r="C92" s="12">
        <v>675000.0</v>
      </c>
      <c r="D92" s="12">
        <v>4016250.0</v>
      </c>
      <c r="E92" s="12">
        <v>3678750.0</v>
      </c>
      <c r="F92" s="12"/>
      <c r="G92" s="12">
        <v>9551250.0</v>
      </c>
    </row>
    <row r="93" ht="15.75" customHeight="1">
      <c r="A93" s="11" t="s">
        <v>1291</v>
      </c>
      <c r="B93" s="12"/>
      <c r="C93" s="12">
        <v>110400.0</v>
      </c>
      <c r="D93" s="12">
        <v>1324800.0</v>
      </c>
      <c r="E93" s="12">
        <v>303600.0</v>
      </c>
      <c r="F93" s="12"/>
      <c r="G93" s="12">
        <v>1738800.0</v>
      </c>
    </row>
    <row r="94" ht="15.75" customHeight="1">
      <c r="A94" s="11" t="s">
        <v>1189</v>
      </c>
      <c r="B94" s="12"/>
      <c r="C94" s="12">
        <v>1242600.0000000002</v>
      </c>
      <c r="D94" s="12">
        <v>686700.0000000001</v>
      </c>
      <c r="E94" s="12"/>
      <c r="F94" s="12">
        <v>654000.0000000001</v>
      </c>
      <c r="G94" s="12">
        <v>2583300.0000000005</v>
      </c>
    </row>
    <row r="95" ht="15.75" customHeight="1">
      <c r="A95" s="11" t="s">
        <v>1006</v>
      </c>
      <c r="B95" s="12"/>
      <c r="C95" s="12">
        <v>1648500.0</v>
      </c>
      <c r="D95" s="12"/>
      <c r="E95" s="12"/>
      <c r="F95" s="12"/>
      <c r="G95" s="12">
        <v>1648500.0</v>
      </c>
    </row>
    <row r="96" ht="15.75" customHeight="1">
      <c r="A96" s="11" t="s">
        <v>365</v>
      </c>
      <c r="B96" s="12">
        <v>5364900.0</v>
      </c>
      <c r="C96" s="12">
        <v>1.2071025E8</v>
      </c>
      <c r="D96" s="12">
        <v>4.023675E7</v>
      </c>
      <c r="E96" s="12">
        <v>6.706125E7</v>
      </c>
      <c r="F96" s="12"/>
      <c r="G96" s="12">
        <v>2.3337315E8</v>
      </c>
    </row>
    <row r="97" ht="15.75" customHeight="1">
      <c r="A97" s="11" t="s">
        <v>680</v>
      </c>
      <c r="B97" s="12"/>
      <c r="C97" s="12">
        <v>2.02947E7</v>
      </c>
      <c r="D97" s="12">
        <v>1663500.0</v>
      </c>
      <c r="E97" s="12"/>
      <c r="F97" s="12"/>
      <c r="G97" s="12">
        <v>2.19582E7</v>
      </c>
    </row>
    <row r="98" ht="15.75" customHeight="1">
      <c r="A98" s="11" t="s">
        <v>452</v>
      </c>
      <c r="B98" s="12">
        <v>393300.0</v>
      </c>
      <c r="C98" s="12">
        <v>65550.0</v>
      </c>
      <c r="D98" s="12">
        <v>3146400.0</v>
      </c>
      <c r="E98" s="12">
        <v>3343050.0</v>
      </c>
      <c r="F98" s="12"/>
      <c r="G98" s="12">
        <v>6948300.0</v>
      </c>
    </row>
    <row r="99" ht="15.75" customHeight="1">
      <c r="A99" s="11" t="s">
        <v>259</v>
      </c>
      <c r="B99" s="12">
        <v>1.4553E7</v>
      </c>
      <c r="C99" s="12">
        <v>3.81612E7</v>
      </c>
      <c r="D99" s="12">
        <v>1.09956E7</v>
      </c>
      <c r="E99" s="12">
        <v>1.90806E7</v>
      </c>
      <c r="F99" s="12"/>
      <c r="G99" s="12">
        <v>8.27904E7</v>
      </c>
    </row>
    <row r="100" ht="15.75" customHeight="1">
      <c r="A100" s="11" t="s">
        <v>44</v>
      </c>
      <c r="B100" s="12">
        <v>1039650.0</v>
      </c>
      <c r="C100" s="12">
        <v>932100.0</v>
      </c>
      <c r="D100" s="12">
        <v>286800.0</v>
      </c>
      <c r="E100" s="12">
        <v>3083100.0</v>
      </c>
      <c r="F100" s="12">
        <v>1577400.0</v>
      </c>
      <c r="G100" s="12">
        <v>6919050.0</v>
      </c>
    </row>
    <row r="101" ht="15.75" customHeight="1">
      <c r="A101" s="11" t="s">
        <v>412</v>
      </c>
      <c r="B101" s="12">
        <v>1097250.0</v>
      </c>
      <c r="C101" s="12">
        <v>1516200.0</v>
      </c>
      <c r="D101" s="12">
        <v>399000.0</v>
      </c>
      <c r="E101" s="12">
        <v>857850.0</v>
      </c>
      <c r="F101" s="12"/>
      <c r="G101" s="12">
        <v>3870300.0</v>
      </c>
    </row>
    <row r="102" ht="15.75" customHeight="1">
      <c r="A102" s="11" t="s">
        <v>571</v>
      </c>
      <c r="B102" s="12">
        <v>6.0957000000000015E7</v>
      </c>
      <c r="C102" s="12">
        <v>5.587725000000001E7</v>
      </c>
      <c r="D102" s="12">
        <v>4.673370000000001E7</v>
      </c>
      <c r="E102" s="12"/>
      <c r="F102" s="12">
        <v>1.0159500000000002E7</v>
      </c>
      <c r="G102" s="12">
        <v>1.7372745000000003E8</v>
      </c>
    </row>
    <row r="103" ht="15.75" customHeight="1">
      <c r="A103" s="11" t="s">
        <v>174</v>
      </c>
      <c r="B103" s="12">
        <v>4914000.0</v>
      </c>
      <c r="C103" s="12">
        <v>1776600.0</v>
      </c>
      <c r="D103" s="12">
        <v>3288600.0</v>
      </c>
      <c r="E103" s="12"/>
      <c r="F103" s="12">
        <v>831600.0</v>
      </c>
      <c r="G103" s="12">
        <v>1.08108E7</v>
      </c>
    </row>
    <row r="104" ht="15.75" customHeight="1">
      <c r="A104" s="11" t="s">
        <v>521</v>
      </c>
      <c r="B104" s="12">
        <v>2.76444E7</v>
      </c>
      <c r="C104" s="12">
        <v>2.879625E7</v>
      </c>
      <c r="D104" s="12"/>
      <c r="E104" s="12"/>
      <c r="F104" s="12"/>
      <c r="G104" s="12">
        <v>5.644065E7</v>
      </c>
    </row>
    <row r="105" ht="15.75" customHeight="1">
      <c r="A105" s="11" t="s">
        <v>931</v>
      </c>
      <c r="B105" s="12"/>
      <c r="C105" s="12">
        <v>3294150.0</v>
      </c>
      <c r="D105" s="12"/>
      <c r="E105" s="12">
        <v>1.449426E8</v>
      </c>
      <c r="F105" s="12"/>
      <c r="G105" s="12">
        <v>1.4823675E8</v>
      </c>
    </row>
    <row r="106" ht="15.75" customHeight="1">
      <c r="A106" s="11" t="s">
        <v>1105</v>
      </c>
      <c r="B106" s="12"/>
      <c r="C106" s="12">
        <v>1.4675865E8</v>
      </c>
      <c r="D106" s="12">
        <v>3.976686E8</v>
      </c>
      <c r="E106" s="12">
        <v>1.1835375E8</v>
      </c>
      <c r="F106" s="12"/>
      <c r="G106" s="12">
        <v>6.62781E8</v>
      </c>
    </row>
    <row r="107" ht="15.75" customHeight="1">
      <c r="A107" s="11" t="s">
        <v>512</v>
      </c>
      <c r="B107" s="12">
        <v>877500.0</v>
      </c>
      <c r="C107" s="12">
        <v>1199250.0</v>
      </c>
      <c r="D107" s="12">
        <v>117000.0</v>
      </c>
      <c r="E107" s="12">
        <v>789750.0</v>
      </c>
      <c r="F107" s="12"/>
      <c r="G107" s="12">
        <v>2983500.0</v>
      </c>
    </row>
    <row r="108" ht="15.75" customHeight="1">
      <c r="A108" s="11" t="s">
        <v>2638</v>
      </c>
      <c r="B108" s="12"/>
      <c r="C108" s="12"/>
      <c r="D108" s="12"/>
      <c r="E108" s="12">
        <v>1.214955E7</v>
      </c>
      <c r="F108" s="12"/>
      <c r="G108" s="12">
        <v>1.214955E7</v>
      </c>
    </row>
    <row r="109" ht="15.75" customHeight="1">
      <c r="A109" s="11" t="s">
        <v>417</v>
      </c>
      <c r="B109" s="12">
        <v>5821200.0</v>
      </c>
      <c r="C109" s="12"/>
      <c r="D109" s="12"/>
      <c r="E109" s="12">
        <v>5464800.0</v>
      </c>
      <c r="F109" s="12"/>
      <c r="G109" s="12">
        <v>1.1286E7</v>
      </c>
    </row>
    <row r="110" ht="15.75" customHeight="1">
      <c r="A110" s="11" t="s">
        <v>978</v>
      </c>
      <c r="B110" s="12"/>
      <c r="C110" s="12">
        <v>5.8399455E8</v>
      </c>
      <c r="D110" s="12">
        <v>1.1226303E9</v>
      </c>
      <c r="E110" s="12">
        <v>1.8710505E8</v>
      </c>
      <c r="F110" s="12"/>
      <c r="G110" s="12">
        <v>1.8937299E9</v>
      </c>
    </row>
    <row r="111" ht="15.75" customHeight="1">
      <c r="A111" s="11" t="s">
        <v>339</v>
      </c>
      <c r="B111" s="12">
        <v>1.15026E7</v>
      </c>
      <c r="C111" s="12">
        <v>1.11999E7</v>
      </c>
      <c r="D111" s="12">
        <v>1.69512E7</v>
      </c>
      <c r="E111" s="12">
        <v>9081000.0</v>
      </c>
      <c r="F111" s="12">
        <v>6356700.0</v>
      </c>
      <c r="G111" s="12">
        <v>5.50914E7</v>
      </c>
    </row>
    <row r="112" ht="15.75" customHeight="1">
      <c r="A112" s="11" t="s">
        <v>229</v>
      </c>
      <c r="B112" s="12">
        <v>2047650.0</v>
      </c>
      <c r="C112" s="12">
        <v>1598850.0</v>
      </c>
      <c r="D112" s="12">
        <v>392700.0</v>
      </c>
      <c r="E112" s="12">
        <v>3366000.0</v>
      </c>
      <c r="F112" s="12"/>
      <c r="G112" s="12">
        <v>7405200.0</v>
      </c>
    </row>
    <row r="113" ht="15.75" customHeight="1">
      <c r="A113" s="11" t="s">
        <v>776</v>
      </c>
      <c r="B113" s="12"/>
      <c r="C113" s="12">
        <v>3680100.0</v>
      </c>
      <c r="D113" s="12">
        <v>4854600.0</v>
      </c>
      <c r="E113" s="12">
        <v>3758400.0</v>
      </c>
      <c r="F113" s="12"/>
      <c r="G113" s="12">
        <v>1.22931E7</v>
      </c>
    </row>
    <row r="114" ht="15.75" customHeight="1">
      <c r="A114" s="11" t="s">
        <v>54</v>
      </c>
      <c r="B114" s="12">
        <v>1518300.0</v>
      </c>
      <c r="C114" s="12">
        <v>1409850.0</v>
      </c>
      <c r="D114" s="12">
        <v>976050.0</v>
      </c>
      <c r="E114" s="12">
        <v>578400.0</v>
      </c>
      <c r="F114" s="12"/>
      <c r="G114" s="12">
        <v>4482600.0</v>
      </c>
    </row>
    <row r="115" ht="15.75" customHeight="1">
      <c r="A115" s="11" t="s">
        <v>81</v>
      </c>
      <c r="B115" s="12">
        <v>5.814315E7</v>
      </c>
      <c r="C115" s="12">
        <v>2.38536E7</v>
      </c>
      <c r="D115" s="12">
        <v>1.8337455E8</v>
      </c>
      <c r="E115" s="12">
        <v>1.4759415E8</v>
      </c>
      <c r="F115" s="12"/>
      <c r="G115" s="12">
        <v>4.1296545E8</v>
      </c>
    </row>
    <row r="116" ht="15.75" customHeight="1">
      <c r="A116" s="11" t="s">
        <v>677</v>
      </c>
      <c r="B116" s="12"/>
      <c r="C116" s="12">
        <v>1.098825E7</v>
      </c>
      <c r="D116" s="12">
        <v>2.3322E7</v>
      </c>
      <c r="E116" s="12">
        <v>3.588E7</v>
      </c>
      <c r="F116" s="12">
        <v>2242500.0</v>
      </c>
      <c r="G116" s="12">
        <v>7.243275E7</v>
      </c>
    </row>
    <row r="117" ht="15.75" customHeight="1">
      <c r="A117" s="11" t="s">
        <v>165</v>
      </c>
      <c r="B117" s="12">
        <v>56400.0</v>
      </c>
      <c r="C117" s="12">
        <v>1212600.0</v>
      </c>
      <c r="D117" s="12">
        <v>507600.0</v>
      </c>
      <c r="E117" s="12">
        <v>1184400.0</v>
      </c>
      <c r="F117" s="12">
        <v>1057500.0</v>
      </c>
      <c r="G117" s="12">
        <v>4018500.0</v>
      </c>
    </row>
    <row r="118" ht="15.75" customHeight="1">
      <c r="A118" s="11" t="s">
        <v>1093</v>
      </c>
      <c r="B118" s="12"/>
      <c r="C118" s="12">
        <v>1469700.0</v>
      </c>
      <c r="D118" s="12"/>
      <c r="E118" s="12">
        <v>95850.0</v>
      </c>
      <c r="F118" s="12"/>
      <c r="G118" s="12">
        <v>1565550.0</v>
      </c>
    </row>
    <row r="119" ht="15.75" customHeight="1">
      <c r="A119" s="11" t="s">
        <v>313</v>
      </c>
      <c r="B119" s="12">
        <v>1648800.0</v>
      </c>
      <c r="C119" s="12">
        <v>1545750.0</v>
      </c>
      <c r="D119" s="12"/>
      <c r="E119" s="12"/>
      <c r="F119" s="12">
        <v>1099200.0</v>
      </c>
      <c r="G119" s="12">
        <v>4293750.0</v>
      </c>
    </row>
    <row r="120" ht="15.75" customHeight="1">
      <c r="A120" s="11" t="s">
        <v>120</v>
      </c>
      <c r="B120" s="12">
        <v>937200.0</v>
      </c>
      <c r="C120" s="12"/>
      <c r="D120" s="12">
        <v>575100.0</v>
      </c>
      <c r="E120" s="12">
        <v>575100.0</v>
      </c>
      <c r="F120" s="12">
        <v>298200.0</v>
      </c>
      <c r="G120" s="12">
        <v>2385600.0</v>
      </c>
    </row>
    <row r="121" ht="15.75" customHeight="1">
      <c r="A121" s="11" t="s">
        <v>404</v>
      </c>
      <c r="B121" s="12">
        <v>4332900.0</v>
      </c>
      <c r="C121" s="12">
        <v>4666200.0</v>
      </c>
      <c r="D121" s="12">
        <v>1.449855E7</v>
      </c>
      <c r="E121" s="12">
        <v>1.183215E7</v>
      </c>
      <c r="F121" s="12"/>
      <c r="G121" s="12">
        <v>3.53298E7</v>
      </c>
    </row>
    <row r="122" ht="15.75" customHeight="1">
      <c r="A122" s="11" t="s">
        <v>796</v>
      </c>
      <c r="B122" s="12"/>
      <c r="C122" s="12">
        <v>607200.0</v>
      </c>
      <c r="D122" s="12">
        <v>3194400.0</v>
      </c>
      <c r="E122" s="12">
        <v>1980000.0</v>
      </c>
      <c r="F122" s="12"/>
      <c r="G122" s="12">
        <v>5781600.0</v>
      </c>
    </row>
    <row r="123" ht="15.75" customHeight="1">
      <c r="A123" s="11" t="s">
        <v>533</v>
      </c>
      <c r="B123" s="12">
        <v>918000.0</v>
      </c>
      <c r="C123" s="12">
        <v>137700.0</v>
      </c>
      <c r="D123" s="12">
        <v>3098250.0</v>
      </c>
      <c r="E123" s="12">
        <v>3979800.0</v>
      </c>
      <c r="F123" s="12"/>
      <c r="G123" s="12">
        <v>8133750.0</v>
      </c>
    </row>
    <row r="124" ht="15.75" customHeight="1">
      <c r="A124" s="11" t="s">
        <v>86</v>
      </c>
      <c r="B124" s="12">
        <v>833850.0000000002</v>
      </c>
      <c r="C124" s="12">
        <v>621300.0000000001</v>
      </c>
      <c r="D124" s="12"/>
      <c r="E124" s="12">
        <v>1209900.0000000002</v>
      </c>
      <c r="F124" s="12"/>
      <c r="G124" s="12">
        <v>2665050.000000001</v>
      </c>
    </row>
    <row r="125" ht="15.75" customHeight="1">
      <c r="A125" s="11" t="s">
        <v>105</v>
      </c>
      <c r="B125" s="12">
        <v>4547700.0</v>
      </c>
      <c r="C125" s="12">
        <v>513450.0</v>
      </c>
      <c r="D125" s="12">
        <v>3227400.0</v>
      </c>
      <c r="E125" s="12"/>
      <c r="F125" s="12"/>
      <c r="G125" s="12">
        <v>8288550.0</v>
      </c>
    </row>
    <row r="126" ht="15.75" customHeight="1">
      <c r="A126" s="11" t="s">
        <v>428</v>
      </c>
      <c r="B126" s="12">
        <v>683100.0</v>
      </c>
      <c r="C126" s="12">
        <v>1366200.0</v>
      </c>
      <c r="D126" s="12">
        <v>504900.0</v>
      </c>
      <c r="E126" s="12"/>
      <c r="F126" s="12">
        <v>1930500.0</v>
      </c>
      <c r="G126" s="12">
        <v>4484700.0</v>
      </c>
    </row>
    <row r="127" ht="15.75" customHeight="1">
      <c r="A127" s="11" t="s">
        <v>574</v>
      </c>
      <c r="B127" s="12">
        <v>392400.00000000006</v>
      </c>
      <c r="C127" s="12"/>
      <c r="D127" s="12">
        <v>3629700.000000001</v>
      </c>
      <c r="E127" s="12">
        <v>2844900.0000000005</v>
      </c>
      <c r="F127" s="12"/>
      <c r="G127" s="12">
        <v>6867000.000000002</v>
      </c>
    </row>
    <row r="128" ht="15.75" customHeight="1">
      <c r="A128" s="11" t="s">
        <v>2229</v>
      </c>
      <c r="B128" s="12"/>
      <c r="C128" s="12"/>
      <c r="D128" s="12"/>
      <c r="E128" s="12">
        <v>7880250.0</v>
      </c>
      <c r="F128" s="12"/>
      <c r="G128" s="12">
        <v>7880250.0</v>
      </c>
    </row>
    <row r="129" ht="15.75" customHeight="1">
      <c r="A129" s="11" t="s">
        <v>903</v>
      </c>
      <c r="B129" s="12"/>
      <c r="C129" s="12">
        <v>2148300.0</v>
      </c>
      <c r="D129" s="12">
        <v>3257100.0</v>
      </c>
      <c r="E129" s="12">
        <v>3257100.0</v>
      </c>
      <c r="F129" s="12">
        <v>762300.0</v>
      </c>
      <c r="G129" s="12">
        <v>9424800.0</v>
      </c>
    </row>
    <row r="130" ht="15.75" customHeight="1">
      <c r="A130" s="11" t="s">
        <v>1065</v>
      </c>
      <c r="B130" s="12"/>
      <c r="C130" s="12">
        <v>6920550.0</v>
      </c>
      <c r="D130" s="12">
        <v>9556950.0</v>
      </c>
      <c r="E130" s="12">
        <v>1.58184E7</v>
      </c>
      <c r="F130" s="12">
        <v>1.45002E7</v>
      </c>
      <c r="G130" s="12">
        <v>4.67961E7</v>
      </c>
    </row>
    <row r="131" ht="15.75" customHeight="1">
      <c r="A131" s="11" t="s">
        <v>373</v>
      </c>
      <c r="B131" s="12">
        <v>1.457505E7</v>
      </c>
      <c r="C131" s="12">
        <v>1.36827E7</v>
      </c>
      <c r="D131" s="12"/>
      <c r="E131" s="12"/>
      <c r="F131" s="12">
        <v>2.43909E7</v>
      </c>
      <c r="G131" s="12">
        <v>5.264865E7</v>
      </c>
    </row>
    <row r="132" ht="15.75" customHeight="1">
      <c r="A132" s="11" t="s">
        <v>1351</v>
      </c>
      <c r="B132" s="12"/>
      <c r="C132" s="12">
        <v>1027650.0000000001</v>
      </c>
      <c r="D132" s="12">
        <v>1873950.0000000002</v>
      </c>
      <c r="E132" s="12">
        <v>4231500.000000001</v>
      </c>
      <c r="F132" s="12"/>
      <c r="G132" s="12">
        <v>7133100.000000002</v>
      </c>
    </row>
    <row r="133" ht="15.75" customHeight="1">
      <c r="A133" s="11" t="s">
        <v>294</v>
      </c>
      <c r="B133" s="12">
        <v>1522200.0</v>
      </c>
      <c r="C133" s="12">
        <v>1752300.0</v>
      </c>
      <c r="D133" s="12">
        <v>814200.0</v>
      </c>
      <c r="E133" s="12">
        <v>2070900.0</v>
      </c>
      <c r="F133" s="12"/>
      <c r="G133" s="12">
        <v>6159600.0</v>
      </c>
    </row>
    <row r="134" ht="15.75" customHeight="1">
      <c r="A134" s="11" t="s">
        <v>146</v>
      </c>
      <c r="B134" s="12">
        <v>682500.0</v>
      </c>
      <c r="C134" s="12"/>
      <c r="D134" s="12">
        <v>81900.0</v>
      </c>
      <c r="E134" s="12">
        <v>873600.0</v>
      </c>
      <c r="F134" s="12">
        <v>1228500.0</v>
      </c>
      <c r="G134" s="12">
        <v>2866500.0</v>
      </c>
    </row>
    <row r="135" ht="15.75" customHeight="1">
      <c r="A135" s="11" t="s">
        <v>394</v>
      </c>
      <c r="B135" s="12">
        <v>1320000.0</v>
      </c>
      <c r="C135" s="12">
        <v>3672000.0</v>
      </c>
      <c r="D135" s="12">
        <v>888000.0</v>
      </c>
      <c r="E135" s="12">
        <v>2880000.0</v>
      </c>
      <c r="F135" s="12"/>
      <c r="G135" s="12">
        <v>8760000.0</v>
      </c>
    </row>
    <row r="136" ht="15.75" customHeight="1">
      <c r="A136" s="11" t="s">
        <v>1255</v>
      </c>
      <c r="B136" s="12"/>
      <c r="C136" s="12">
        <v>986850.0</v>
      </c>
      <c r="D136" s="12">
        <v>1124550.0</v>
      </c>
      <c r="E136" s="12"/>
      <c r="F136" s="12">
        <v>1032750.0</v>
      </c>
      <c r="G136" s="12">
        <v>3144150.0</v>
      </c>
    </row>
    <row r="137" ht="15.75" customHeight="1">
      <c r="A137" s="11" t="s">
        <v>457</v>
      </c>
      <c r="B137" s="12">
        <v>1164000.0</v>
      </c>
      <c r="C137" s="12"/>
      <c r="D137" s="12"/>
      <c r="E137" s="12">
        <v>2619000.0</v>
      </c>
      <c r="F137" s="12"/>
      <c r="G137" s="12">
        <v>3783000.0</v>
      </c>
    </row>
    <row r="138" ht="15.75" customHeight="1">
      <c r="A138" s="11" t="s">
        <v>179</v>
      </c>
      <c r="B138" s="12">
        <v>6392400.0</v>
      </c>
      <c r="C138" s="12"/>
      <c r="D138" s="12"/>
      <c r="E138" s="12"/>
      <c r="F138" s="12"/>
      <c r="G138" s="12">
        <v>6392400.0</v>
      </c>
    </row>
    <row r="139" ht="15.75" customHeight="1">
      <c r="A139" s="11" t="s">
        <v>1513</v>
      </c>
      <c r="B139" s="12"/>
      <c r="C139" s="12"/>
      <c r="D139" s="12">
        <v>817800.0</v>
      </c>
      <c r="E139" s="12">
        <v>507600.0</v>
      </c>
      <c r="F139" s="12"/>
      <c r="G139" s="12">
        <v>1325400.0</v>
      </c>
    </row>
    <row r="140" ht="15.75" customHeight="1">
      <c r="A140" s="11" t="s">
        <v>208</v>
      </c>
      <c r="B140" s="12">
        <v>1796250.0</v>
      </c>
      <c r="C140" s="12">
        <v>3305100.0</v>
      </c>
      <c r="D140" s="12">
        <v>9053100.0</v>
      </c>
      <c r="E140" s="12">
        <v>5532450.0</v>
      </c>
      <c r="F140" s="12">
        <v>2730300.0</v>
      </c>
      <c r="G140" s="12">
        <v>2.24172E7</v>
      </c>
    </row>
    <row r="141" ht="15.75" customHeight="1">
      <c r="A141" s="11" t="s">
        <v>160</v>
      </c>
      <c r="B141" s="12">
        <v>4012800.0</v>
      </c>
      <c r="C141" s="12">
        <v>1689600.0</v>
      </c>
      <c r="D141" s="12">
        <v>4012800.0</v>
      </c>
      <c r="E141" s="12">
        <v>1795200.0</v>
      </c>
      <c r="F141" s="12">
        <v>1742400.0</v>
      </c>
      <c r="G141" s="12">
        <v>1.32528E7</v>
      </c>
    </row>
    <row r="142" ht="15.75" customHeight="1">
      <c r="A142" s="11" t="s">
        <v>753</v>
      </c>
      <c r="B142" s="12"/>
      <c r="C142" s="12">
        <v>3.8052E7</v>
      </c>
      <c r="D142" s="12">
        <v>1.89E7</v>
      </c>
      <c r="E142" s="12">
        <v>2.8224E7</v>
      </c>
      <c r="F142" s="12">
        <v>6552000.0</v>
      </c>
      <c r="G142" s="12">
        <v>9.1728E7</v>
      </c>
    </row>
    <row r="143" ht="15.75" customHeight="1">
      <c r="A143" s="11" t="s">
        <v>141</v>
      </c>
      <c r="B143" s="12">
        <v>936000.0</v>
      </c>
      <c r="C143" s="12">
        <v>897000.0</v>
      </c>
      <c r="D143" s="12">
        <v>838500.0</v>
      </c>
      <c r="E143" s="12">
        <v>331500.0</v>
      </c>
      <c r="F143" s="12">
        <v>1696500.0</v>
      </c>
      <c r="G143" s="12">
        <v>4699500.0</v>
      </c>
    </row>
    <row r="144" ht="15.75" customHeight="1">
      <c r="A144" s="11" t="s">
        <v>1294</v>
      </c>
      <c r="B144" s="12"/>
      <c r="C144" s="12">
        <v>1168500.0</v>
      </c>
      <c r="D144" s="12"/>
      <c r="E144" s="12"/>
      <c r="F144" s="12"/>
      <c r="G144" s="12">
        <v>1168500.0</v>
      </c>
    </row>
    <row r="145" ht="15.75" customHeight="1">
      <c r="A145" s="11" t="s">
        <v>70</v>
      </c>
      <c r="B145" s="12">
        <v>229500.0</v>
      </c>
      <c r="C145" s="12">
        <v>283500.0</v>
      </c>
      <c r="D145" s="12">
        <v>999000.0</v>
      </c>
      <c r="E145" s="12">
        <v>418500.0</v>
      </c>
      <c r="F145" s="12">
        <v>810000.0</v>
      </c>
      <c r="G145" s="12">
        <v>2740500.0</v>
      </c>
    </row>
    <row r="146" ht="15.75" customHeight="1">
      <c r="A146" s="11" t="s">
        <v>224</v>
      </c>
      <c r="B146" s="12">
        <v>2498400.0</v>
      </c>
      <c r="C146" s="12">
        <v>2498400.0</v>
      </c>
      <c r="D146" s="12">
        <v>832800.0</v>
      </c>
      <c r="E146" s="12">
        <v>1145100.0</v>
      </c>
      <c r="F146" s="12"/>
      <c r="G146" s="12">
        <v>6974700.0</v>
      </c>
    </row>
    <row r="147" ht="15.75" customHeight="1">
      <c r="A147" s="11" t="s">
        <v>462</v>
      </c>
      <c r="B147" s="12">
        <v>1021800.0</v>
      </c>
      <c r="C147" s="12">
        <v>1709550.0</v>
      </c>
      <c r="D147" s="12">
        <v>1866750.0</v>
      </c>
      <c r="E147" s="12">
        <v>176850.0</v>
      </c>
      <c r="F147" s="12"/>
      <c r="G147" s="12">
        <v>4774950.0</v>
      </c>
    </row>
    <row r="148" ht="15.75" customHeight="1">
      <c r="A148" s="11" t="s">
        <v>272</v>
      </c>
      <c r="B148" s="12">
        <v>1631250.0</v>
      </c>
      <c r="C148" s="12">
        <v>8718750.0</v>
      </c>
      <c r="D148" s="12">
        <v>7875000.0</v>
      </c>
      <c r="E148" s="12">
        <v>2981250.0</v>
      </c>
      <c r="F148" s="12">
        <v>1631250.0</v>
      </c>
      <c r="G148" s="12">
        <v>2.28375E7</v>
      </c>
    </row>
    <row r="149" ht="15.75" customHeight="1">
      <c r="A149" s="11" t="s">
        <v>843</v>
      </c>
      <c r="B149" s="12"/>
      <c r="C149" s="12">
        <v>348750.0</v>
      </c>
      <c r="D149" s="12">
        <v>334800.0</v>
      </c>
      <c r="E149" s="12">
        <v>1701900.0</v>
      </c>
      <c r="F149" s="12"/>
      <c r="G149" s="12">
        <v>2385450.0</v>
      </c>
    </row>
    <row r="150" ht="15.75" customHeight="1">
      <c r="A150" s="11" t="s">
        <v>204</v>
      </c>
      <c r="B150" s="12">
        <v>1.102665E7</v>
      </c>
      <c r="C150" s="12">
        <v>1.752315E7</v>
      </c>
      <c r="D150" s="12">
        <v>2.12202E7</v>
      </c>
      <c r="E150" s="12">
        <v>7273800.0</v>
      </c>
      <c r="F150" s="12"/>
      <c r="G150" s="12">
        <v>5.70438E7</v>
      </c>
    </row>
    <row r="151" ht="15.75" customHeight="1">
      <c r="A151" s="11" t="s">
        <v>1261</v>
      </c>
      <c r="B151" s="12"/>
      <c r="C151" s="12">
        <v>4410000.0</v>
      </c>
      <c r="D151" s="12">
        <v>5953500.0</v>
      </c>
      <c r="E151" s="12">
        <v>1.0143E7</v>
      </c>
      <c r="F151" s="12">
        <v>7938000.0</v>
      </c>
      <c r="G151" s="12">
        <v>2.84445E7</v>
      </c>
    </row>
    <row r="152" ht="15.75" customHeight="1">
      <c r="A152" s="11" t="s">
        <v>331</v>
      </c>
      <c r="B152" s="12">
        <v>6.72549E7</v>
      </c>
      <c r="C152" s="12">
        <v>5453100.0</v>
      </c>
      <c r="D152" s="12">
        <v>5.99841E7</v>
      </c>
      <c r="E152" s="12"/>
      <c r="F152" s="12"/>
      <c r="G152" s="12">
        <v>1.326921E8</v>
      </c>
    </row>
    <row r="153" ht="15.75" customHeight="1">
      <c r="A153" s="11" t="s">
        <v>1487</v>
      </c>
      <c r="B153" s="12"/>
      <c r="C153" s="12"/>
      <c r="D153" s="12">
        <v>7760400.0</v>
      </c>
      <c r="E153" s="12"/>
      <c r="F153" s="12"/>
      <c r="G153" s="12">
        <v>7760400.0</v>
      </c>
    </row>
    <row r="154" ht="15.75" customHeight="1">
      <c r="A154" s="11" t="s">
        <v>649</v>
      </c>
      <c r="B154" s="12">
        <v>2.14761E7</v>
      </c>
      <c r="C154" s="12">
        <v>3.66357E7</v>
      </c>
      <c r="D154" s="12">
        <v>3.53724E7</v>
      </c>
      <c r="E154" s="12"/>
      <c r="F154" s="12"/>
      <c r="G154" s="12">
        <v>9.34842E7</v>
      </c>
    </row>
    <row r="155" ht="15.75" customHeight="1">
      <c r="A155" s="11" t="s">
        <v>490</v>
      </c>
      <c r="B155" s="12">
        <v>7909650.0</v>
      </c>
      <c r="C155" s="12">
        <v>7128450.0</v>
      </c>
      <c r="D155" s="12">
        <v>2538900.0</v>
      </c>
      <c r="E155" s="12">
        <v>2232000.0</v>
      </c>
      <c r="F155" s="12"/>
      <c r="G155" s="12">
        <v>1.9809E7</v>
      </c>
    </row>
    <row r="156" ht="15.75" customHeight="1">
      <c r="A156" s="11" t="s">
        <v>445</v>
      </c>
      <c r="B156" s="12">
        <v>9055200.0</v>
      </c>
      <c r="C156" s="12">
        <v>1.4553E7</v>
      </c>
      <c r="D156" s="12"/>
      <c r="E156" s="12"/>
      <c r="F156" s="12"/>
      <c r="G156" s="12">
        <v>2.36082E7</v>
      </c>
    </row>
    <row r="157" ht="15.75" customHeight="1">
      <c r="A157" s="11" t="s">
        <v>433</v>
      </c>
      <c r="B157" s="12">
        <v>8593500.000000002</v>
      </c>
      <c r="C157" s="12"/>
      <c r="D157" s="12"/>
      <c r="E157" s="12">
        <v>1.2637500000000002E7</v>
      </c>
      <c r="F157" s="12">
        <v>9604500.000000002</v>
      </c>
      <c r="G157" s="12">
        <v>3.0835500000000007E7</v>
      </c>
    </row>
    <row r="158" ht="15.75" customHeight="1">
      <c r="A158" s="11" t="s">
        <v>93</v>
      </c>
      <c r="B158" s="12">
        <v>2.11731E7</v>
      </c>
      <c r="C158" s="12">
        <v>2.198745E7</v>
      </c>
      <c r="D158" s="12">
        <v>2.11731E7</v>
      </c>
      <c r="E158" s="12">
        <v>5.293275E7</v>
      </c>
      <c r="F158" s="12">
        <v>2.035875E7</v>
      </c>
      <c r="G158" s="12">
        <v>1.3762515E8</v>
      </c>
    </row>
    <row r="159" ht="15.75" customHeight="1">
      <c r="A159" s="11" t="s">
        <v>152</v>
      </c>
      <c r="B159" s="12">
        <v>3.67155E7</v>
      </c>
      <c r="C159" s="12">
        <v>6.11925E7</v>
      </c>
      <c r="D159" s="12">
        <v>2.325315E7</v>
      </c>
      <c r="E159" s="12">
        <v>3.793935E7</v>
      </c>
      <c r="F159" s="12"/>
      <c r="G159" s="12">
        <v>1.591005E8</v>
      </c>
    </row>
    <row r="160" ht="15.75" customHeight="1">
      <c r="A160" s="11" t="s">
        <v>473</v>
      </c>
      <c r="B160" s="12">
        <v>2.8623E7</v>
      </c>
      <c r="C160" s="12">
        <v>1.2267E7</v>
      </c>
      <c r="D160" s="12">
        <v>2.28984E7</v>
      </c>
      <c r="E160" s="12">
        <v>3.35298E7</v>
      </c>
      <c r="F160" s="12">
        <v>5.80638E7</v>
      </c>
      <c r="G160" s="12">
        <v>1.55382E8</v>
      </c>
    </row>
    <row r="161" ht="15.75" customHeight="1">
      <c r="A161" s="11" t="s">
        <v>308</v>
      </c>
      <c r="B161" s="12">
        <v>1.36155E8</v>
      </c>
      <c r="C161" s="12">
        <v>1.4085E7</v>
      </c>
      <c r="D161" s="12">
        <v>1.431975E8</v>
      </c>
      <c r="E161" s="12">
        <v>1.54935E8</v>
      </c>
      <c r="F161" s="12"/>
      <c r="G161" s="12">
        <v>4.483725E8</v>
      </c>
    </row>
    <row r="162" ht="15.75" customHeight="1">
      <c r="A162" s="11" t="s">
        <v>981</v>
      </c>
      <c r="B162" s="12"/>
      <c r="C162" s="12">
        <v>427350.0</v>
      </c>
      <c r="D162" s="12">
        <v>699300.0</v>
      </c>
      <c r="E162" s="12">
        <v>3962700.0</v>
      </c>
      <c r="F162" s="12">
        <v>582750.0</v>
      </c>
      <c r="G162" s="12">
        <v>5672100.0</v>
      </c>
    </row>
    <row r="163" ht="15.75" customHeight="1">
      <c r="A163" s="11" t="s">
        <v>335</v>
      </c>
      <c r="B163" s="12">
        <v>1513800.0</v>
      </c>
      <c r="C163" s="12">
        <v>104400.0</v>
      </c>
      <c r="D163" s="12">
        <v>3184200.0</v>
      </c>
      <c r="E163" s="12">
        <v>2035800.0</v>
      </c>
      <c r="F163" s="12">
        <v>1200600.0</v>
      </c>
      <c r="G163" s="12">
        <v>8038800.0</v>
      </c>
    </row>
    <row r="164" ht="15.75" customHeight="1">
      <c r="A164" s="11" t="s">
        <v>380</v>
      </c>
      <c r="B164" s="12">
        <v>1740000.0</v>
      </c>
      <c r="C164" s="12">
        <v>478500.0</v>
      </c>
      <c r="D164" s="12">
        <v>1827000.0</v>
      </c>
      <c r="E164" s="12">
        <v>2697000.0</v>
      </c>
      <c r="F164" s="12"/>
      <c r="G164" s="12">
        <v>6742500.0</v>
      </c>
    </row>
    <row r="165" ht="15.75" customHeight="1">
      <c r="A165" s="11" t="s">
        <v>322</v>
      </c>
      <c r="B165" s="12">
        <v>2416050.0</v>
      </c>
      <c r="C165" s="12">
        <v>1.059345E7</v>
      </c>
      <c r="D165" s="12">
        <v>2.917845E7</v>
      </c>
      <c r="E165" s="12">
        <v>1.877085E7</v>
      </c>
      <c r="F165" s="12"/>
      <c r="G165" s="12">
        <v>6.09588E7</v>
      </c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57"/>
    <col customWidth="1" min="2" max="2" width="19.0"/>
    <col customWidth="1" min="3" max="3" width="14.0"/>
    <col customWidth="1" min="4" max="4" width="15.86"/>
    <col customWidth="1" min="5" max="5" width="14.0"/>
    <col customWidth="1" min="6" max="6" width="12.86"/>
    <col customWidth="1" min="7" max="7" width="15.86"/>
    <col customWidth="1" min="8" max="10" width="17.29"/>
    <col customWidth="1" min="11" max="11" width="42.57"/>
    <col customWidth="1" min="12" max="12" width="19.57"/>
    <col customWidth="1" min="13" max="14" width="16.29"/>
    <col customWidth="1" min="15" max="15" width="19.57"/>
    <col customWidth="1" min="16" max="16" width="21.29"/>
    <col customWidth="1" min="17" max="26" width="8.71"/>
  </cols>
  <sheetData>
    <row r="1">
      <c r="A1" s="3" t="s">
        <v>2817</v>
      </c>
      <c r="B1" s="3" t="s">
        <v>2828</v>
      </c>
    </row>
    <row r="2">
      <c r="A2" s="3" t="s">
        <v>2823</v>
      </c>
      <c r="B2" s="4">
        <v>2016.0</v>
      </c>
      <c r="C2" s="4">
        <v>2017.0</v>
      </c>
      <c r="D2" s="4">
        <v>2018.0</v>
      </c>
      <c r="E2" s="4">
        <v>2019.0</v>
      </c>
      <c r="F2" s="4">
        <v>2020.0</v>
      </c>
    </row>
    <row r="3">
      <c r="A3" s="11" t="s">
        <v>278</v>
      </c>
      <c r="B3" s="12">
        <v>1313099.9999999998</v>
      </c>
      <c r="C3" s="12">
        <v>4367249.999999999</v>
      </c>
      <c r="D3" s="12">
        <v>2836049.9999999995</v>
      </c>
      <c r="E3" s="12">
        <v>1615499.9999999998</v>
      </c>
      <c r="F3" s="12">
        <v>3636899.999999999</v>
      </c>
      <c r="K3" s="3" t="s">
        <v>2818</v>
      </c>
      <c r="L3" s="16" t="s">
        <v>2829</v>
      </c>
    </row>
    <row r="4">
      <c r="A4" s="11" t="s">
        <v>36</v>
      </c>
      <c r="B4" s="12">
        <v>1.58253E7</v>
      </c>
      <c r="C4" s="12">
        <v>2.655255E7</v>
      </c>
      <c r="D4" s="12">
        <v>2.9838E7</v>
      </c>
      <c r="E4" s="12">
        <v>2.47206E7</v>
      </c>
      <c r="F4" s="12">
        <v>5909550.0</v>
      </c>
      <c r="K4" s="16" t="s">
        <v>2830</v>
      </c>
      <c r="L4" s="16">
        <v>2016.0</v>
      </c>
      <c r="M4" s="16">
        <v>2017.0</v>
      </c>
      <c r="N4" s="16">
        <v>2018.0</v>
      </c>
      <c r="O4" s="16">
        <v>2019.0</v>
      </c>
      <c r="P4" s="16">
        <v>2020.0</v>
      </c>
    </row>
    <row r="5">
      <c r="A5" s="11" t="s">
        <v>61</v>
      </c>
      <c r="B5" s="12">
        <v>2.80265295E7</v>
      </c>
      <c r="C5" s="12">
        <v>5.03493E7</v>
      </c>
      <c r="D5" s="12">
        <v>6.88548E7</v>
      </c>
      <c r="E5" s="12">
        <v>5.37411E7</v>
      </c>
      <c r="F5" s="12">
        <v>1.020495E7</v>
      </c>
      <c r="K5" s="13" t="s">
        <v>289</v>
      </c>
      <c r="L5" s="12"/>
      <c r="M5" s="12"/>
      <c r="N5" s="12"/>
      <c r="O5" s="12"/>
      <c r="P5" s="12"/>
    </row>
    <row r="6">
      <c r="K6" s="13" t="s">
        <v>278</v>
      </c>
      <c r="L6" s="12"/>
      <c r="M6" s="12">
        <v>6470617.5</v>
      </c>
      <c r="N6" s="12">
        <v>879840.0</v>
      </c>
      <c r="O6" s="12"/>
      <c r="P6" s="12"/>
    </row>
    <row r="7">
      <c r="K7" s="13" t="s">
        <v>36</v>
      </c>
      <c r="L7" s="12">
        <v>2.73120645E7</v>
      </c>
      <c r="M7" s="12">
        <v>6.7420149E7</v>
      </c>
      <c r="N7" s="12">
        <v>6.69703695E7</v>
      </c>
      <c r="O7" s="12">
        <v>1.995339E8</v>
      </c>
      <c r="P7" s="12">
        <v>5.06126355E7</v>
      </c>
    </row>
    <row r="8">
      <c r="K8" s="13" t="s">
        <v>61</v>
      </c>
      <c r="L8" s="12"/>
      <c r="M8" s="12">
        <v>1.26047994E8</v>
      </c>
      <c r="N8" s="12">
        <v>5.47952499E8</v>
      </c>
      <c r="O8" s="12">
        <v>1.669260135E8</v>
      </c>
      <c r="P8" s="12">
        <v>1.5708762E7</v>
      </c>
    </row>
    <row r="9">
      <c r="K9" s="13" t="s">
        <v>31</v>
      </c>
      <c r="L9" s="12"/>
      <c r="M9" s="12"/>
      <c r="N9" s="12"/>
      <c r="O9" s="12"/>
      <c r="P9" s="12"/>
    </row>
    <row r="10">
      <c r="K10" s="13" t="s">
        <v>278</v>
      </c>
      <c r="L10" s="12"/>
      <c r="M10" s="12">
        <v>1.3192755599999997E8</v>
      </c>
      <c r="N10" s="12"/>
      <c r="O10" s="12">
        <v>7925892.0</v>
      </c>
      <c r="P10" s="12">
        <v>5.603166899999999E7</v>
      </c>
    </row>
    <row r="11">
      <c r="K11" s="13" t="s">
        <v>36</v>
      </c>
      <c r="L11" s="12">
        <v>7.1114763E7</v>
      </c>
      <c r="M11" s="12">
        <v>2.040918765E8</v>
      </c>
      <c r="N11" s="12">
        <v>3.332839725E8</v>
      </c>
      <c r="O11" s="12">
        <v>1.534203855E8</v>
      </c>
      <c r="P11" s="12">
        <v>1.00589439E8</v>
      </c>
    </row>
    <row r="12">
      <c r="K12" s="13" t="s">
        <v>61</v>
      </c>
      <c r="L12" s="12">
        <v>4.463545935E8</v>
      </c>
      <c r="M12" s="12">
        <v>7.33285791E8</v>
      </c>
      <c r="N12" s="12">
        <v>1.1119596165E9</v>
      </c>
      <c r="O12" s="12">
        <v>6.73490949E8</v>
      </c>
      <c r="P12" s="12">
        <v>4.98956745E7</v>
      </c>
    </row>
    <row r="13">
      <c r="K13" s="13" t="s">
        <v>50</v>
      </c>
      <c r="L13" s="12"/>
      <c r="M13" s="12"/>
      <c r="N13" s="12"/>
      <c r="O13" s="12"/>
      <c r="P13" s="12"/>
    </row>
    <row r="14">
      <c r="K14" s="13" t="s">
        <v>278</v>
      </c>
      <c r="L14" s="12">
        <v>8.728849199999999E7</v>
      </c>
      <c r="M14" s="12">
        <v>4.447574549999999E7</v>
      </c>
      <c r="N14" s="12">
        <v>3.130035E7</v>
      </c>
      <c r="O14" s="12">
        <v>4.0409016E7</v>
      </c>
      <c r="P14" s="12">
        <v>4.099126499999999E7</v>
      </c>
    </row>
    <row r="15">
      <c r="K15" s="13" t="s">
        <v>36</v>
      </c>
      <c r="L15" s="12">
        <v>5.24213805E8</v>
      </c>
      <c r="M15" s="12">
        <v>1.001593923E9</v>
      </c>
      <c r="N15" s="12">
        <v>9.11842416E8</v>
      </c>
      <c r="O15" s="12">
        <v>8.04734826E8</v>
      </c>
      <c r="P15" s="12">
        <v>1.53243948E8</v>
      </c>
    </row>
    <row r="16">
      <c r="K16" s="13" t="s">
        <v>61</v>
      </c>
      <c r="L16" s="12">
        <v>7.496229984300001E8</v>
      </c>
      <c r="M16" s="12">
        <v>1.661731656E9</v>
      </c>
      <c r="N16" s="12">
        <v>2.4502144515E9</v>
      </c>
      <c r="O16" s="12">
        <v>2.209313373E9</v>
      </c>
      <c r="P16" s="12">
        <v>4.51828092E8</v>
      </c>
    </row>
    <row r="19">
      <c r="A19" s="3" t="s">
        <v>2831</v>
      </c>
      <c r="B19" s="4" t="s">
        <v>2820</v>
      </c>
      <c r="C19" s="4" t="s">
        <v>2817</v>
      </c>
    </row>
    <row r="20">
      <c r="A20" s="11" t="s">
        <v>50</v>
      </c>
      <c r="B20" s="12">
        <v>4.89738970743E9</v>
      </c>
      <c r="C20" s="12">
        <v>2.305269795E8</v>
      </c>
      <c r="K20" s="3" t="s">
        <v>2823</v>
      </c>
      <c r="L20" s="4" t="s">
        <v>2822</v>
      </c>
      <c r="N20" s="15" t="s">
        <v>2823</v>
      </c>
      <c r="O20" s="15" t="s">
        <v>2824</v>
      </c>
      <c r="P20" s="4" t="s">
        <v>2825</v>
      </c>
    </row>
    <row r="21" ht="15.75" customHeight="1">
      <c r="A21" s="11" t="s">
        <v>31</v>
      </c>
      <c r="B21" s="12">
        <v>1.758873678E9</v>
      </c>
      <c r="C21" s="12">
        <v>7.552185E7</v>
      </c>
      <c r="K21" s="16">
        <v>2016.0</v>
      </c>
      <c r="L21" s="12">
        <v>3866.0</v>
      </c>
      <c r="N21" s="13" t="s">
        <v>351</v>
      </c>
      <c r="O21" s="18">
        <v>0.22</v>
      </c>
      <c r="P21" s="12">
        <v>5.6094846E7</v>
      </c>
    </row>
    <row r="22" ht="15.75" customHeight="1">
      <c r="A22" s="11" t="s">
        <v>289</v>
      </c>
      <c r="B22" s="12">
        <v>5.152097445E8</v>
      </c>
      <c r="C22" s="12">
        <v>2.174265E7</v>
      </c>
      <c r="K22" s="16">
        <v>2017.0</v>
      </c>
      <c r="L22" s="12">
        <v>6200.0</v>
      </c>
      <c r="N22" s="13" t="s">
        <v>1171</v>
      </c>
      <c r="O22" s="18">
        <v>0.12000000000000001</v>
      </c>
      <c r="P22" s="12">
        <v>3.8069154E7</v>
      </c>
    </row>
    <row r="23" ht="15.75" customHeight="1">
      <c r="A23" s="11" t="s">
        <v>2819</v>
      </c>
      <c r="B23" s="12">
        <v>7.17147312993E9</v>
      </c>
      <c r="C23" s="12">
        <v>3.277914795E8</v>
      </c>
      <c r="K23" s="16">
        <v>2018.0</v>
      </c>
      <c r="L23" s="12">
        <v>7415.0</v>
      </c>
      <c r="N23" s="13" t="s">
        <v>976</v>
      </c>
      <c r="O23" s="18">
        <v>0.19999999999999998</v>
      </c>
      <c r="P23" s="12">
        <v>3.4647774E7</v>
      </c>
    </row>
    <row r="24" ht="15.75" customHeight="1">
      <c r="K24" s="16">
        <v>2019.0</v>
      </c>
      <c r="L24" s="12">
        <v>6217.0</v>
      </c>
      <c r="N24" s="13" t="s">
        <v>198</v>
      </c>
      <c r="O24" s="18">
        <v>0.31</v>
      </c>
      <c r="P24" s="12">
        <v>3.37658595E7</v>
      </c>
    </row>
    <row r="25" ht="15.75" customHeight="1">
      <c r="K25" s="16">
        <v>2020.0</v>
      </c>
      <c r="L25" s="12">
        <v>2321.0</v>
      </c>
      <c r="N25" s="13" t="s">
        <v>1849</v>
      </c>
      <c r="O25" s="18">
        <v>0.22</v>
      </c>
      <c r="P25" s="12">
        <v>2.9902338E7</v>
      </c>
    </row>
    <row r="26" ht="15.75" customHeight="1"/>
    <row r="27" ht="15.75" customHeight="1">
      <c r="A27" s="3" t="s">
        <v>2821</v>
      </c>
      <c r="B27" s="3" t="s">
        <v>5</v>
      </c>
    </row>
    <row r="28" ht="15.75" customHeight="1">
      <c r="A28" s="3" t="s">
        <v>12</v>
      </c>
      <c r="B28" s="4">
        <v>2016.0</v>
      </c>
      <c r="C28" s="4">
        <v>2017.0</v>
      </c>
      <c r="D28" s="4">
        <v>2018.0</v>
      </c>
      <c r="E28" s="4">
        <v>2019.0</v>
      </c>
      <c r="F28" s="4">
        <v>2020.0</v>
      </c>
      <c r="G28" s="4" t="s">
        <v>2819</v>
      </c>
    </row>
    <row r="29" ht="15.75" customHeight="1">
      <c r="A29" s="11" t="s">
        <v>584</v>
      </c>
      <c r="B29" s="12">
        <v>3.45384E7</v>
      </c>
      <c r="C29" s="12">
        <v>6.65496E7</v>
      </c>
      <c r="D29" s="12">
        <v>7581600.0</v>
      </c>
      <c r="E29" s="12">
        <v>1.17936E7</v>
      </c>
      <c r="F29" s="12">
        <v>4.29624E7</v>
      </c>
      <c r="G29" s="12">
        <v>1.634256E8</v>
      </c>
    </row>
    <row r="30" ht="15.75" customHeight="1">
      <c r="A30" s="11" t="s">
        <v>195</v>
      </c>
      <c r="B30" s="12">
        <v>2.61174E7</v>
      </c>
      <c r="C30" s="12">
        <v>4.91025E7</v>
      </c>
      <c r="D30" s="12">
        <v>5.928E7</v>
      </c>
      <c r="E30" s="12">
        <v>5.06577E7</v>
      </c>
      <c r="F30" s="12">
        <v>4.82562E7</v>
      </c>
      <c r="G30" s="12">
        <v>2.334138E8</v>
      </c>
    </row>
    <row r="31" ht="15.75" customHeight="1">
      <c r="A31" s="11" t="s">
        <v>484</v>
      </c>
      <c r="B31" s="12">
        <v>1.798182E8</v>
      </c>
      <c r="C31" s="12">
        <v>4.597941E8</v>
      </c>
      <c r="D31" s="12">
        <v>3.7974615E8</v>
      </c>
      <c r="E31" s="12">
        <v>7.613784E8</v>
      </c>
      <c r="F31" s="12">
        <v>7.53273E7</v>
      </c>
      <c r="G31" s="12">
        <v>1.85606415E9</v>
      </c>
    </row>
    <row r="32" ht="15.75" customHeight="1">
      <c r="A32" s="11" t="s">
        <v>60</v>
      </c>
      <c r="B32" s="12">
        <v>4.6125E7</v>
      </c>
      <c r="C32" s="12"/>
      <c r="D32" s="12">
        <v>9.45E7</v>
      </c>
      <c r="E32" s="12">
        <v>4.725E7</v>
      </c>
      <c r="F32" s="12"/>
      <c r="G32" s="12">
        <v>1.87875E8</v>
      </c>
    </row>
    <row r="33" ht="15.75" customHeight="1">
      <c r="A33" s="11" t="s">
        <v>365</v>
      </c>
      <c r="B33" s="12">
        <v>5364900.0</v>
      </c>
      <c r="C33" s="12">
        <v>1.2071025E8</v>
      </c>
      <c r="D33" s="12">
        <v>4.023675E7</v>
      </c>
      <c r="E33" s="12">
        <v>6.706125E7</v>
      </c>
      <c r="F33" s="12"/>
      <c r="G33" s="12">
        <v>2.3337315E8</v>
      </c>
    </row>
    <row r="34" ht="15.75" customHeight="1">
      <c r="A34" s="11" t="s">
        <v>571</v>
      </c>
      <c r="B34" s="12">
        <v>6.0957000000000015E7</v>
      </c>
      <c r="C34" s="12">
        <v>5.587725000000001E7</v>
      </c>
      <c r="D34" s="12">
        <v>4.673370000000001E7</v>
      </c>
      <c r="E34" s="12"/>
      <c r="F34" s="12">
        <v>1.0159500000000002E7</v>
      </c>
      <c r="G34" s="12">
        <v>1.7372745000000003E8</v>
      </c>
    </row>
    <row r="35" ht="15.75" customHeight="1">
      <c r="A35" s="11" t="s">
        <v>931</v>
      </c>
      <c r="B35" s="12"/>
      <c r="C35" s="12">
        <v>3294150.0</v>
      </c>
      <c r="D35" s="12"/>
      <c r="E35" s="12">
        <v>1.449426E8</v>
      </c>
      <c r="F35" s="12"/>
      <c r="G35" s="12">
        <v>1.4823675E8</v>
      </c>
    </row>
    <row r="36" ht="15.75" customHeight="1">
      <c r="A36" s="11" t="s">
        <v>1105</v>
      </c>
      <c r="B36" s="12"/>
      <c r="C36" s="12">
        <v>1.4675865E8</v>
      </c>
      <c r="D36" s="12">
        <v>3.976686E8</v>
      </c>
      <c r="E36" s="12">
        <v>1.1835375E8</v>
      </c>
      <c r="F36" s="12"/>
      <c r="G36" s="12">
        <v>6.62781E8</v>
      </c>
    </row>
    <row r="37" ht="15.75" customHeight="1">
      <c r="A37" s="11" t="s">
        <v>978</v>
      </c>
      <c r="B37" s="12"/>
      <c r="C37" s="12">
        <v>5.8399455E8</v>
      </c>
      <c r="D37" s="12">
        <v>1.1226303E9</v>
      </c>
      <c r="E37" s="12">
        <v>1.8710505E8</v>
      </c>
      <c r="F37" s="12"/>
      <c r="G37" s="12">
        <v>1.8937299E9</v>
      </c>
    </row>
    <row r="38" ht="15.75" customHeight="1">
      <c r="A38" s="11" t="s">
        <v>81</v>
      </c>
      <c r="B38" s="12">
        <v>5.814315E7</v>
      </c>
      <c r="C38" s="12">
        <v>2.38536E7</v>
      </c>
      <c r="D38" s="12">
        <v>1.8337455E8</v>
      </c>
      <c r="E38" s="12">
        <v>1.4759415E8</v>
      </c>
      <c r="F38" s="12"/>
      <c r="G38" s="12">
        <v>4.1296545E8</v>
      </c>
    </row>
    <row r="39" ht="15.75" customHeight="1">
      <c r="A39" s="11" t="s">
        <v>331</v>
      </c>
      <c r="B39" s="12">
        <v>6.72549E7</v>
      </c>
      <c r="C39" s="12">
        <v>5453100.0</v>
      </c>
      <c r="D39" s="12">
        <v>5.99841E7</v>
      </c>
      <c r="E39" s="12"/>
      <c r="F39" s="12"/>
      <c r="G39" s="12">
        <v>1.326921E8</v>
      </c>
    </row>
    <row r="40" ht="15.75" customHeight="1">
      <c r="A40" s="11" t="s">
        <v>93</v>
      </c>
      <c r="B40" s="12">
        <v>2.11731E7</v>
      </c>
      <c r="C40" s="12">
        <v>2.198745E7</v>
      </c>
      <c r="D40" s="12">
        <v>2.11731E7</v>
      </c>
      <c r="E40" s="12">
        <v>5.293275E7</v>
      </c>
      <c r="F40" s="12">
        <v>2.035875E7</v>
      </c>
      <c r="G40" s="12">
        <v>1.3762515E8</v>
      </c>
      <c r="K40" s="3" t="s">
        <v>2826</v>
      </c>
      <c r="L40" s="3" t="s">
        <v>5</v>
      </c>
    </row>
    <row r="41" ht="15.75" customHeight="1">
      <c r="A41" s="11" t="s">
        <v>152</v>
      </c>
      <c r="B41" s="12">
        <v>3.67155E7</v>
      </c>
      <c r="C41" s="12">
        <v>6.11925E7</v>
      </c>
      <c r="D41" s="12">
        <v>2.325315E7</v>
      </c>
      <c r="E41" s="12">
        <v>3.793935E7</v>
      </c>
      <c r="F41" s="12"/>
      <c r="G41" s="12">
        <v>1.591005E8</v>
      </c>
      <c r="K41" s="15" t="s">
        <v>2827</v>
      </c>
      <c r="L41" s="16">
        <v>2016.0</v>
      </c>
      <c r="M41" s="16">
        <v>2017.0</v>
      </c>
      <c r="N41" s="16">
        <v>2018.0</v>
      </c>
      <c r="O41" s="16">
        <v>2019.0</v>
      </c>
      <c r="P41" s="16">
        <v>2020.0</v>
      </c>
    </row>
    <row r="42" ht="15.75" customHeight="1">
      <c r="A42" s="11" t="s">
        <v>473</v>
      </c>
      <c r="B42" s="12">
        <v>2.8623E7</v>
      </c>
      <c r="C42" s="12">
        <v>1.2267E7</v>
      </c>
      <c r="D42" s="12">
        <v>2.28984E7</v>
      </c>
      <c r="E42" s="12">
        <v>3.35298E7</v>
      </c>
      <c r="F42" s="12">
        <v>5.80638E7</v>
      </c>
      <c r="G42" s="12">
        <v>1.55382E8</v>
      </c>
      <c r="K42" s="13" t="s">
        <v>484</v>
      </c>
      <c r="L42" s="17">
        <v>7424850.0</v>
      </c>
      <c r="M42" s="17">
        <v>1.99794E7</v>
      </c>
      <c r="N42" s="17">
        <v>1.80897E7</v>
      </c>
      <c r="O42" s="17">
        <v>1.99794E7</v>
      </c>
      <c r="P42" s="17">
        <v>4184850.0</v>
      </c>
    </row>
    <row r="43" ht="15.75" customHeight="1">
      <c r="A43" s="11" t="s">
        <v>308</v>
      </c>
      <c r="B43" s="12">
        <v>1.36155E8</v>
      </c>
      <c r="C43" s="12">
        <v>1.4085E7</v>
      </c>
      <c r="D43" s="12">
        <v>1.431975E8</v>
      </c>
      <c r="E43" s="12">
        <v>1.54935E8</v>
      </c>
      <c r="F43" s="12"/>
      <c r="G43" s="12">
        <v>4.483725E8</v>
      </c>
      <c r="K43" s="13" t="s">
        <v>978</v>
      </c>
      <c r="L43" s="17"/>
      <c r="M43" s="17">
        <v>1.700955E7</v>
      </c>
      <c r="N43" s="17">
        <v>2.834925E7</v>
      </c>
      <c r="O43" s="17">
        <v>1.13397E7</v>
      </c>
      <c r="P43" s="17"/>
    </row>
    <row r="44" ht="15.75" customHeight="1">
      <c r="K44" s="13" t="s">
        <v>365</v>
      </c>
      <c r="L44" s="17">
        <v>2682450.0</v>
      </c>
      <c r="M44" s="17">
        <v>5364900.0</v>
      </c>
      <c r="N44" s="17">
        <v>5364900.0</v>
      </c>
      <c r="O44" s="17">
        <v>5364900.0</v>
      </c>
      <c r="P44" s="17"/>
    </row>
    <row r="45" ht="15.75" customHeight="1">
      <c r="K45" s="13" t="s">
        <v>1105</v>
      </c>
      <c r="L45" s="17"/>
      <c r="M45" s="17">
        <v>4734150.0</v>
      </c>
      <c r="N45" s="17">
        <v>1.420245E7</v>
      </c>
      <c r="O45" s="17">
        <v>4734150.0</v>
      </c>
      <c r="P45" s="17"/>
    </row>
    <row r="46" ht="15.75" customHeight="1">
      <c r="K46" s="13" t="s">
        <v>308</v>
      </c>
      <c r="L46" s="17">
        <v>9390000.0</v>
      </c>
      <c r="M46" s="17">
        <v>2347500.0</v>
      </c>
      <c r="N46" s="17">
        <v>4695000.0</v>
      </c>
      <c r="O46" s="17">
        <v>4695000.0</v>
      </c>
      <c r="P46" s="17"/>
    </row>
    <row r="47" ht="15.75" customHeight="1">
      <c r="K47" s="13" t="s">
        <v>195</v>
      </c>
      <c r="L47" s="17">
        <v>1074900.0</v>
      </c>
      <c r="M47" s="17">
        <v>1669500.0</v>
      </c>
      <c r="N47" s="17">
        <v>2035500.0</v>
      </c>
      <c r="O47" s="17">
        <v>2630100.0</v>
      </c>
      <c r="P47" s="17">
        <v>1074900.0</v>
      </c>
    </row>
    <row r="48" ht="15.75" customHeight="1">
      <c r="K48" s="13" t="s">
        <v>81</v>
      </c>
      <c r="L48" s="17">
        <v>2981700.0</v>
      </c>
      <c r="M48" s="17">
        <v>1490850.0</v>
      </c>
      <c r="N48" s="17">
        <v>4472550.0</v>
      </c>
      <c r="O48" s="17">
        <v>4472550.0</v>
      </c>
      <c r="P48" s="1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8.71"/>
  </cols>
  <sheetData>
    <row r="4">
      <c r="U4" s="19"/>
      <c r="V4" s="19"/>
      <c r="W4" s="19"/>
      <c r="X4" s="19"/>
      <c r="Y4" s="19"/>
      <c r="Z4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O28" s="3"/>
    </row>
    <row r="29" ht="15.75" customHeight="1"/>
    <row r="30" ht="15.75" customHeight="1">
      <c r="O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2023-08-19T05:32:32Z</dcterms:created>
  <dc:creator>Moch Ardi Firmansyah</dc:creator>
</cp:coreProperties>
</file>